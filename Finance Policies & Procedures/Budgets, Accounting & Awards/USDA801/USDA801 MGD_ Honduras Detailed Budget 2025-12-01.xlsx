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Budgets, Accounting &amp; Awards/USDA801/"/>
    </mc:Choice>
  </mc:AlternateContent>
  <xr:revisionPtr revIDLastSave="20" documentId="13_ncr:1_{04992026-258C-49FF-AE07-3AB9FA87CEEE}" xr6:coauthVersionLast="47" xr6:coauthVersionMax="47" xr10:uidLastSave="{1D82D57D-E357-46C4-9FAA-149B2DFCF2E9}"/>
  <bookViews>
    <workbookView xWindow="-96" yWindow="-96" windowWidth="23232" windowHeight="12552" tabRatio="820" activeTab="1" xr2:uid="{00000000-000D-0000-FFFF-FFFF00000000}"/>
  </bookViews>
  <sheets>
    <sheet name="USDA Budget Summary" sheetId="28" r:id="rId1"/>
    <sheet name="Program Budget" sheetId="4" r:id="rId2"/>
    <sheet name="FEREMA Sub Budget" sheetId="48" r:id="rId3"/>
    <sheet name="Personnel &amp; LOE Summary" sheetId="39" r:id="rId4"/>
    <sheet name="LRP Budget Summary" sheetId="47" r:id="rId5"/>
    <sheet name="LOE Breakdown by Year" sheetId="30" r:id="rId6"/>
    <sheet name="Indirect Calculations" sheetId="41" r:id="rId7"/>
    <sheet name="Commodity Calculator" sheetId="46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definedNames>
    <definedName name="\A" localSheetId="2">#REF!</definedName>
    <definedName name="\A">#REF!</definedName>
    <definedName name="\P" localSheetId="2">#REF!</definedName>
    <definedName name="\P">#REF!</definedName>
    <definedName name="\S" localSheetId="2">#REF!</definedName>
    <definedName name="\S">#REF!</definedName>
    <definedName name="_" localSheetId="2" hidden="1">[1]IPA!#REF!</definedName>
    <definedName name="_" hidden="1">#REF!</definedName>
    <definedName name="__" localSheetId="2" hidden="1">[2]IPA!#REF!</definedName>
    <definedName name="__" hidden="1">#REF!</definedName>
    <definedName name="___" localSheetId="2" hidden="1">[1]IPA!#REF!</definedName>
    <definedName name="___" hidden="1">#REF!</definedName>
    <definedName name="_______sho1" localSheetId="2">'[3]Detailed Budget-SAVE'!#REF!</definedName>
    <definedName name="_______sho1">#REF!</definedName>
    <definedName name="__1_0__123Grap" localSheetId="2" hidden="1">#REF!</definedName>
    <definedName name="__1_0__123Grap" hidden="1">#REF!</definedName>
    <definedName name="__123Graph_A" localSheetId="2" hidden="1">[2]IPA!#REF!</definedName>
    <definedName name="__123Graph_A" hidden="1">#REF!</definedName>
    <definedName name="__123Graph_B" localSheetId="2" hidden="1">[2]IPA!#REF!</definedName>
    <definedName name="__123Graph_B" hidden="1">#REF!</definedName>
    <definedName name="__123Graph_C" localSheetId="2" hidden="1">[2]IPA!#REF!</definedName>
    <definedName name="__123Graph_C" hidden="1">#REF!</definedName>
    <definedName name="__2DAI_1">#N/A</definedName>
    <definedName name="__3FEE">#N/A</definedName>
    <definedName name="__AFP1">#N/A</definedName>
    <definedName name="__AFP2">#N/A</definedName>
    <definedName name="__AFP3">#N/A</definedName>
    <definedName name="__AFP4">#N/A</definedName>
    <definedName name="__AMP1">#N/A</definedName>
    <definedName name="__AMP2">#N/A</definedName>
    <definedName name="__AMP3">#N/A</definedName>
    <definedName name="__AMP4">#N/A</definedName>
    <definedName name="__B" localSheetId="2" hidden="1">[2]IPA!#REF!</definedName>
    <definedName name="__B" hidden="1">#REF!</definedName>
    <definedName name="__C" localSheetId="2" hidden="1">[2]IPA!#REF!</definedName>
    <definedName name="__C" hidden="1">#REF!</definedName>
    <definedName name="__DAI4">#N/A</definedName>
    <definedName name="__EES1">#N/A</definedName>
    <definedName name="__EES2">#N/A</definedName>
    <definedName name="__EES3">#N/A</definedName>
    <definedName name="__EES4">#N/A</definedName>
    <definedName name="__EXT1">#N/A</definedName>
    <definedName name="__EXT2">#N/A</definedName>
    <definedName name="__EXT3">#N/A</definedName>
    <definedName name="__EXT4">#N/A</definedName>
    <definedName name="__FCP1">#N/A</definedName>
    <definedName name="__FCP2">#N/A</definedName>
    <definedName name="__FCP3">#N/A</definedName>
    <definedName name="__FCP4">#N/A</definedName>
    <definedName name="__FRI1">#N/A</definedName>
    <definedName name="__FRI4">#N/A</definedName>
    <definedName name="__HRA1">#N/A</definedName>
    <definedName name="__HRA2">#N/A</definedName>
    <definedName name="__HRA3">#N/A</definedName>
    <definedName name="__HRA4">#N/A</definedName>
    <definedName name="__inf1" localSheetId="2">#REF!</definedName>
    <definedName name="__inf1">#REF!</definedName>
    <definedName name="__KEY2" localSheetId="2" hidden="1">#REF!</definedName>
    <definedName name="__KEY2" hidden="1">#REF!</definedName>
    <definedName name="__LT4" localSheetId="2">[4]Parameters!$B$40</definedName>
    <definedName name="__LT4">#REF!</definedName>
    <definedName name="__ODC1">#N/A</definedName>
    <definedName name="__ODC2">#N/A</definedName>
    <definedName name="__POL1">#N/A</definedName>
    <definedName name="__POL2">#N/A</definedName>
    <definedName name="__POL3">#N/A</definedName>
    <definedName name="__POL4">#N/A</definedName>
    <definedName name="__TOT1">#N/A</definedName>
    <definedName name="__TOT2">#N/A</definedName>
    <definedName name="__TRV1">#N/A</definedName>
    <definedName name="__TRV2">#N/A</definedName>
    <definedName name="_060" localSheetId="2">#REF!</definedName>
    <definedName name="_060">#REF!</definedName>
    <definedName name="_1_0__123Grap" localSheetId="2" hidden="1">#REF!</definedName>
    <definedName name="_1_0__123Grap" hidden="1">#REF!</definedName>
    <definedName name="_1_1" localSheetId="2">#REF!</definedName>
    <definedName name="_1_1">#REF!</definedName>
    <definedName name="_13th_and_14th_month" localSheetId="2">[5]Parameters!$D$62</definedName>
    <definedName name="_13th_and_14th_month">#REF!</definedName>
    <definedName name="_2__123Graph_ACHART_3" localSheetId="2" hidden="1">[6]Rates!$C$3:$P$3</definedName>
    <definedName name="_2__123Graph_ACHART_3" hidden="1">#REF!</definedName>
    <definedName name="_2_0__123Grap" localSheetId="2" hidden="1">#REF!</definedName>
    <definedName name="_2_0__123Grap" hidden="1">#REF!</definedName>
    <definedName name="_2_1034" localSheetId="2">#REF!</definedName>
    <definedName name="_2_1034">#REF!</definedName>
    <definedName name="_2DAI_1">#N/A</definedName>
    <definedName name="_3_0__123Grap" localSheetId="2" hidden="1">#REF!</definedName>
    <definedName name="_3_0__123Grap" hidden="1">#REF!</definedName>
    <definedName name="_3_1440">#REF!</definedName>
    <definedName name="_3FEE">#N/A</definedName>
    <definedName name="_4__123Graph_BCHART_3" localSheetId="2" hidden="1">[6]Rates!$C$4:$P$4</definedName>
    <definedName name="_4__123Graph_BCHART_3" hidden="1">#REF!</definedName>
    <definedName name="_4_0__123Grap" localSheetId="2" hidden="1">#REF!</definedName>
    <definedName name="_4_0__123Grap" hidden="1">#REF!</definedName>
    <definedName name="_4_2" localSheetId="2">#REF!</definedName>
    <definedName name="_4_2">#REF!</definedName>
    <definedName name="_5_3" localSheetId="2">#REF!</definedName>
    <definedName name="_5_3">#REF!</definedName>
    <definedName name="_6__123Graph_XCHART_3" localSheetId="2" hidden="1">[6]Rates!$C$2:$P$2</definedName>
    <definedName name="_6__123Graph_XCHART_3" hidden="1">#REF!</definedName>
    <definedName name="_8_0__123Grap" localSheetId="2" hidden="1">#REF!</definedName>
    <definedName name="_8_0__123Grap" hidden="1">#REF!</definedName>
    <definedName name="_AFP1">#N/A</definedName>
    <definedName name="_AFP2">#N/A</definedName>
    <definedName name="_AFP3">#N/A</definedName>
    <definedName name="_AFP4">#N/A</definedName>
    <definedName name="_AMP1">#N/A</definedName>
    <definedName name="_AMP2">#N/A</definedName>
    <definedName name="_AMP3">#N/A</definedName>
    <definedName name="_AMP4">#N/A</definedName>
    <definedName name="_DAI4">#N/A</definedName>
    <definedName name="_EES1">#N/A</definedName>
    <definedName name="_EES2">#N/A</definedName>
    <definedName name="_EES3">#N/A</definedName>
    <definedName name="_EES4">#N/A</definedName>
    <definedName name="_EXT1">#N/A</definedName>
    <definedName name="_EXT2">#N/A</definedName>
    <definedName name="_EXT3">#N/A</definedName>
    <definedName name="_EXT4">#N/A</definedName>
    <definedName name="_FCP1">#N/A</definedName>
    <definedName name="_FCP2">#N/A</definedName>
    <definedName name="_FCP3">#N/A</definedName>
    <definedName name="_FCP4">#N/A</definedName>
    <definedName name="_xlnm._FilterDatabase" localSheetId="2" hidden="1">'FEREMA Sub Budget'!$A$11:$Z$11</definedName>
    <definedName name="_FRI1">#N/A</definedName>
    <definedName name="_FRI4">#N/A</definedName>
    <definedName name="_hos1" localSheetId="2">[7]Parameters!$A$433</definedName>
    <definedName name="_hos1">#REF!</definedName>
    <definedName name="_hos10" localSheetId="2">[7]Parameters!$A$442</definedName>
    <definedName name="_hos10">#REF!</definedName>
    <definedName name="_hos11" localSheetId="2">[7]Parameters!$A$443</definedName>
    <definedName name="_hos11">#REF!</definedName>
    <definedName name="_hos12" localSheetId="2">[7]Parameters!$A$444</definedName>
    <definedName name="_hos12">#REF!</definedName>
    <definedName name="_hos13" localSheetId="2">[7]Parameters!$A$445</definedName>
    <definedName name="_hos13">#REF!</definedName>
    <definedName name="_hos14" localSheetId="2">[7]Parameters!$A$446</definedName>
    <definedName name="_hos14">#REF!</definedName>
    <definedName name="_hos15" localSheetId="2">[7]Parameters!$A$447</definedName>
    <definedName name="_hos15">#REF!</definedName>
    <definedName name="_hos16" localSheetId="2">[7]Parameters!$A$448</definedName>
    <definedName name="_hos16">#REF!</definedName>
    <definedName name="_hos17" localSheetId="2">[7]Parameters!$A$449</definedName>
    <definedName name="_hos17">#REF!</definedName>
    <definedName name="_hos18" localSheetId="2">[7]Parameters!$A$450</definedName>
    <definedName name="_hos18">#REF!</definedName>
    <definedName name="_hos19" localSheetId="2">[7]Parameters!$A$451</definedName>
    <definedName name="_hos19">#REF!</definedName>
    <definedName name="_hos2" localSheetId="2">[7]Parameters!$A$434</definedName>
    <definedName name="_hos2">#REF!</definedName>
    <definedName name="_hos20" localSheetId="2">[7]Parameters!$A$452</definedName>
    <definedName name="_hos20">#REF!</definedName>
    <definedName name="_hos21" localSheetId="2">[7]Parameters!$A$453</definedName>
    <definedName name="_hos21">#REF!</definedName>
    <definedName name="_hos3" localSheetId="2">[7]Parameters!$A$435</definedName>
    <definedName name="_hos3">#REF!</definedName>
    <definedName name="_hos4" localSheetId="2">[7]Parameters!$A$436</definedName>
    <definedName name="_hos4">#REF!</definedName>
    <definedName name="_hos5" localSheetId="2">[7]Parameters!$A$437</definedName>
    <definedName name="_hos5">#REF!</definedName>
    <definedName name="_hos6" localSheetId="2">[7]Parameters!$A$438</definedName>
    <definedName name="_hos6">#REF!</definedName>
    <definedName name="_hos7" localSheetId="2">[7]Parameters!$A$439</definedName>
    <definedName name="_hos7">#REF!</definedName>
    <definedName name="_hos8" localSheetId="2">[7]Parameters!$A$440</definedName>
    <definedName name="_hos8">#REF!</definedName>
    <definedName name="_hos9" localSheetId="2">[7]Parameters!$A$441</definedName>
    <definedName name="_hos9">#REF!</definedName>
    <definedName name="_HRA1">#N/A</definedName>
    <definedName name="_HRA2">#N/A</definedName>
    <definedName name="_HRA3">#N/A</definedName>
    <definedName name="_HRA4">#N/A</definedName>
    <definedName name="_inf1" localSheetId="2">#REF!</definedName>
    <definedName name="_inf1">#REF!</definedName>
    <definedName name="_Key1" localSheetId="2" hidden="1">#REF!</definedName>
    <definedName name="_Key1" hidden="1">#REF!</definedName>
    <definedName name="_key2" localSheetId="2" hidden="1">#REF!</definedName>
    <definedName name="_key2" hidden="1">#REF!</definedName>
    <definedName name="_ldfkjañsdl" localSheetId="2" hidden="1">'[8]sample labor calc'!#REF!</definedName>
    <definedName name="_ldfkjañsdl" hidden="1">#REF!</definedName>
    <definedName name="_LT4" localSheetId="2">[4]Parameters!$B$40</definedName>
    <definedName name="_LT4">#REF!</definedName>
    <definedName name="_no1" localSheetId="2" hidden="1">{#N/A,#N/A,FALSE,"ManLoading"}</definedName>
    <definedName name="_no1" hidden="1">{#N/A,#N/A,FALSE,"ManLoading"}</definedName>
    <definedName name="_odc1" localSheetId="2" hidden="1">{#N/A,#N/A,FALSE,"ManLoading"}</definedName>
    <definedName name="_odc1" hidden="1">{#N/A,#N/A,FALSE,"ManLoading"}</definedName>
    <definedName name="_odc2" localSheetId="2" hidden="1">{#N/A,#N/A,FALSE,"ManLoading"}</definedName>
    <definedName name="_odc2" hidden="1">{#N/A,#N/A,FALSE,"ManLoading"}</definedName>
    <definedName name="_Order1" hidden="1">255</definedName>
    <definedName name="_Order2" hidden="1">255</definedName>
    <definedName name="_POL1">#N/A</definedName>
    <definedName name="_POL2">#N/A</definedName>
    <definedName name="_POL3">#N/A</definedName>
    <definedName name="_POL4">#N/A</definedName>
    <definedName name="_sho1" localSheetId="2">'[3]Detailed Budget-SAVE'!#REF!</definedName>
    <definedName name="_sho1">#REF!</definedName>
    <definedName name="_Sort" localSheetId="2" hidden="1">#REF!</definedName>
    <definedName name="_Sort" hidden="1">#REF!</definedName>
    <definedName name="_sort1" localSheetId="2" hidden="1">#REF!</definedName>
    <definedName name="_sort1" hidden="1">#REF!</definedName>
    <definedName name="_sub10" localSheetId="2">[7]Parameters!$H$26</definedName>
    <definedName name="_sub10">#REF!</definedName>
    <definedName name="_tcn1" localSheetId="2">[7]Parameters!$A$117</definedName>
    <definedName name="_tcn1">#REF!</definedName>
    <definedName name="_tcn10" localSheetId="2">[7]Parameters!$A$126</definedName>
    <definedName name="_tcn10">#REF!</definedName>
    <definedName name="_tcn2" localSheetId="2">[7]Parameters!$A$118</definedName>
    <definedName name="_tcn2">#REF!</definedName>
    <definedName name="_tcn3" localSheetId="2">[7]Parameters!$A$119</definedName>
    <definedName name="_tcn3">#REF!</definedName>
    <definedName name="_tcn4" localSheetId="2">[7]Parameters!$A$120</definedName>
    <definedName name="_tcn4">#REF!</definedName>
    <definedName name="_tcn5" localSheetId="2">[7]Parameters!$A$121</definedName>
    <definedName name="_tcn5">#REF!</definedName>
    <definedName name="_tcn6" localSheetId="2">[7]Parameters!$A$122</definedName>
    <definedName name="_tcn6">#REF!</definedName>
    <definedName name="_tcn7" localSheetId="2">[7]Parameters!$A$123</definedName>
    <definedName name="_tcn7">#REF!</definedName>
    <definedName name="_tcn8" localSheetId="2">[7]Parameters!$A$124</definedName>
    <definedName name="_tcn8">#REF!</definedName>
    <definedName name="_tcn9" localSheetId="2">[7]Parameters!$A$125</definedName>
    <definedName name="_tcn9">#REF!</definedName>
    <definedName name="_TOT1">#N/A</definedName>
    <definedName name="_TOT2">#N/A</definedName>
    <definedName name="_TRV1">#N/A</definedName>
    <definedName name="_TRV2">#N/A</definedName>
    <definedName name="_us1" localSheetId="2">[7]Parameters!$A$39</definedName>
    <definedName name="_us1">#REF!</definedName>
    <definedName name="_us10" localSheetId="2">[7]Parameters!$A$48</definedName>
    <definedName name="_us10">#REF!</definedName>
    <definedName name="_us11" localSheetId="2">[7]Parameters!$A$49</definedName>
    <definedName name="_us11">#REF!</definedName>
    <definedName name="_us12" localSheetId="2">[7]Parameters!$A$50</definedName>
    <definedName name="_us12">#REF!</definedName>
    <definedName name="_us13" localSheetId="2">[7]Parameters!$A$51</definedName>
    <definedName name="_us13">#REF!</definedName>
    <definedName name="_us14" localSheetId="2">[7]Parameters!$A$52</definedName>
    <definedName name="_us14">#REF!</definedName>
    <definedName name="_us15" localSheetId="2">[7]Parameters!$A$53</definedName>
    <definedName name="_us15">#REF!</definedName>
    <definedName name="_us16" localSheetId="2">[7]Parameters!$A$54</definedName>
    <definedName name="_us16">#REF!</definedName>
    <definedName name="_us17" localSheetId="2">[7]Parameters!$A$55</definedName>
    <definedName name="_us17">#REF!</definedName>
    <definedName name="_us18" localSheetId="2">[7]Parameters!$A$56</definedName>
    <definedName name="_us18">#REF!</definedName>
    <definedName name="_us19" localSheetId="2">[7]Parameters!$A$57</definedName>
    <definedName name="_us19">#REF!</definedName>
    <definedName name="_us2" localSheetId="2">[7]Parameters!$A$40</definedName>
    <definedName name="_us2">#REF!</definedName>
    <definedName name="_us20" localSheetId="2">[7]Parameters!$A$58</definedName>
    <definedName name="_us20">#REF!</definedName>
    <definedName name="_us21" localSheetId="2">[7]Parameters!$A$59</definedName>
    <definedName name="_us21">#REF!</definedName>
    <definedName name="_us22" localSheetId="2">[7]Parameters!$A$60</definedName>
    <definedName name="_us22">#REF!</definedName>
    <definedName name="_us23" localSheetId="2">[7]Parameters!$A$61</definedName>
    <definedName name="_us23">#REF!</definedName>
    <definedName name="_us24" localSheetId="2">[7]Parameters!$A$62</definedName>
    <definedName name="_us24">#REF!</definedName>
    <definedName name="_us25" localSheetId="2">[7]Parameters!$A$63</definedName>
    <definedName name="_us25">#REF!</definedName>
    <definedName name="_us26" localSheetId="2">[7]Parameters!$A$64</definedName>
    <definedName name="_us26">#REF!</definedName>
    <definedName name="_us27" localSheetId="2">[7]Parameters!$A$65</definedName>
    <definedName name="_us27">#REF!</definedName>
    <definedName name="_us28" localSheetId="2">[7]Parameters!$A$66</definedName>
    <definedName name="_us28">#REF!</definedName>
    <definedName name="_us29" localSheetId="2">[7]Parameters!$A$67</definedName>
    <definedName name="_us29">#REF!</definedName>
    <definedName name="_us3" localSheetId="2">[7]Parameters!$A$41</definedName>
    <definedName name="_us3">#REF!</definedName>
    <definedName name="_us30" localSheetId="2">[7]Parameters!$A$68</definedName>
    <definedName name="_us30">#REF!</definedName>
    <definedName name="_us31" localSheetId="2">[7]Parameters!$A$69</definedName>
    <definedName name="_us31">#REF!</definedName>
    <definedName name="_us32" localSheetId="2">[7]Parameters!$A$70</definedName>
    <definedName name="_us32">#REF!</definedName>
    <definedName name="_us33" localSheetId="2">[7]Parameters!$A$71</definedName>
    <definedName name="_us33">#REF!</definedName>
    <definedName name="_us34" localSheetId="2">[7]Parameters!$A$72</definedName>
    <definedName name="_us34">#REF!</definedName>
    <definedName name="_us35" localSheetId="2">[7]Parameters!$A$73</definedName>
    <definedName name="_us35">#REF!</definedName>
    <definedName name="_us36" localSheetId="2">[7]Parameters!$A$74</definedName>
    <definedName name="_us36">#REF!</definedName>
    <definedName name="_us37" localSheetId="2">[7]Parameters!$A$75</definedName>
    <definedName name="_us37">#REF!</definedName>
    <definedName name="_us38" localSheetId="2">[7]Parameters!$A$76</definedName>
    <definedName name="_us38">#REF!</definedName>
    <definedName name="_us39" localSheetId="2">[7]Parameters!$A$77</definedName>
    <definedName name="_us39">#REF!</definedName>
    <definedName name="_us4" localSheetId="2">[7]Parameters!$A$42</definedName>
    <definedName name="_us4">#REF!</definedName>
    <definedName name="_us40" localSheetId="2">[7]Parameters!$A$78</definedName>
    <definedName name="_us40">#REF!</definedName>
    <definedName name="_us41" localSheetId="2">[7]Parameters!$A$79</definedName>
    <definedName name="_us41">#REF!</definedName>
    <definedName name="_us42" localSheetId="2">[7]Parameters!$A$80</definedName>
    <definedName name="_us42">#REF!</definedName>
    <definedName name="_us43" localSheetId="2">[7]Parameters!$A$81</definedName>
    <definedName name="_us43">#REF!</definedName>
    <definedName name="_us44" localSheetId="2">[7]Parameters!$A$82</definedName>
    <definedName name="_us44">#REF!</definedName>
    <definedName name="_us45" localSheetId="2">[7]Parameters!$A$83</definedName>
    <definedName name="_us45">#REF!</definedName>
    <definedName name="_us46" localSheetId="2">[7]Parameters!$A$84</definedName>
    <definedName name="_us46">#REF!</definedName>
    <definedName name="_us47" localSheetId="2">[7]Parameters!$A$85</definedName>
    <definedName name="_us47">#REF!</definedName>
    <definedName name="_us48" localSheetId="2">[7]Parameters!$A$86</definedName>
    <definedName name="_us48">#REF!</definedName>
    <definedName name="_us49" localSheetId="2">[7]Parameters!$A$87</definedName>
    <definedName name="_us49">#REF!</definedName>
    <definedName name="_us5" localSheetId="2">[7]Parameters!$A$43</definedName>
    <definedName name="_us5">#REF!</definedName>
    <definedName name="_us50" localSheetId="2">[7]Parameters!$A$88</definedName>
    <definedName name="_us50">#REF!</definedName>
    <definedName name="_us51" localSheetId="2">[7]Parameters!$A$89</definedName>
    <definedName name="_us51">#REF!</definedName>
    <definedName name="_us52" localSheetId="2">[7]Parameters!$A$90</definedName>
    <definedName name="_us52">#REF!</definedName>
    <definedName name="_us53" localSheetId="2">[7]Parameters!$A$91</definedName>
    <definedName name="_us53">#REF!</definedName>
    <definedName name="_us54" localSheetId="2">[7]Parameters!$A$92</definedName>
    <definedName name="_us54">#REF!</definedName>
    <definedName name="_us55" localSheetId="2">[7]Parameters!$A$93</definedName>
    <definedName name="_us55">#REF!</definedName>
    <definedName name="_us56" localSheetId="2">[7]Parameters!$A$94</definedName>
    <definedName name="_us56">#REF!</definedName>
    <definedName name="_us57" localSheetId="2">[7]Parameters!$A$95</definedName>
    <definedName name="_us57">#REF!</definedName>
    <definedName name="_us58" localSheetId="2">[7]Parameters!$A$96</definedName>
    <definedName name="_us58">#REF!</definedName>
    <definedName name="_us59" localSheetId="2">[7]Parameters!$A$97</definedName>
    <definedName name="_us59">#REF!</definedName>
    <definedName name="_us6" localSheetId="2">[7]Parameters!$A$44</definedName>
    <definedName name="_us6">#REF!</definedName>
    <definedName name="_us60" localSheetId="2">[7]Parameters!$A$98</definedName>
    <definedName name="_us60">#REF!</definedName>
    <definedName name="_us61" localSheetId="2">[7]Parameters!$A$99</definedName>
    <definedName name="_us61">#REF!</definedName>
    <definedName name="_us62" localSheetId="2">[7]Parameters!$A$100</definedName>
    <definedName name="_us62">#REF!</definedName>
    <definedName name="_us63" localSheetId="2">[7]Parameters!$A$101</definedName>
    <definedName name="_us63">#REF!</definedName>
    <definedName name="_us64" localSheetId="2">[7]Parameters!$A$102</definedName>
    <definedName name="_us64">#REF!</definedName>
    <definedName name="_us65" localSheetId="2">[7]Parameters!$A$103</definedName>
    <definedName name="_us65">#REF!</definedName>
    <definedName name="_us66" localSheetId="2">[7]Parameters!$A$104</definedName>
    <definedName name="_us66">#REF!</definedName>
    <definedName name="_us67" localSheetId="2">[7]Parameters!$A$105</definedName>
    <definedName name="_us67">#REF!</definedName>
    <definedName name="_us68" localSheetId="2">[7]Parameters!$A$106</definedName>
    <definedName name="_us68">#REF!</definedName>
    <definedName name="_us69" localSheetId="2">[7]Parameters!$A$107</definedName>
    <definedName name="_us69">#REF!</definedName>
    <definedName name="_us7" localSheetId="2">[7]Parameters!$A$45</definedName>
    <definedName name="_us7">#REF!</definedName>
    <definedName name="_us70" localSheetId="2">[7]Parameters!$A$108</definedName>
    <definedName name="_us70">#REF!</definedName>
    <definedName name="_us71" localSheetId="2">[7]Parameters!$A$109</definedName>
    <definedName name="_us71">#REF!</definedName>
    <definedName name="_us72" localSheetId="2">[7]Parameters!$A$110</definedName>
    <definedName name="_us72">#REF!</definedName>
    <definedName name="_us73" localSheetId="2">[7]Parameters!$A$111</definedName>
    <definedName name="_us73">#REF!</definedName>
    <definedName name="_us74" localSheetId="2">[7]Parameters!$A$112</definedName>
    <definedName name="_us74">#REF!</definedName>
    <definedName name="_us75" localSheetId="2">[7]Parameters!$A$113</definedName>
    <definedName name="_us75">#REF!</definedName>
    <definedName name="_us8" localSheetId="2">[7]Parameters!$A$46</definedName>
    <definedName name="_us8">#REF!</definedName>
    <definedName name="_us9" localSheetId="2">[7]Parameters!$A$47</definedName>
    <definedName name="_us9">#REF!</definedName>
    <definedName name="a" localSheetId="2">'[9]PO 484CR'!#REF!</definedName>
    <definedName name="a">#REF!</definedName>
    <definedName name="Abbiz51" localSheetId="2">[10]RATES!#REF!</definedName>
    <definedName name="Abbiz51">#REF!</definedName>
    <definedName name="Abbiz52" localSheetId="2">[10]RATES!#REF!</definedName>
    <definedName name="Abbiz52">#REF!</definedName>
    <definedName name="ABT">#N/A</definedName>
    <definedName name="ACC" localSheetId="2">[11]Sheet2!$B$2:$C$496</definedName>
    <definedName name="ACC">#REF!</definedName>
    <definedName name="Access_Button" hidden="1">"FIGBUS_FIGBUS_List"</definedName>
    <definedName name="AccessDatabase" hidden="1">"W:\WPFILES\GB759\EXCEL\FIGBUS.mdb"</definedName>
    <definedName name="ACT">#N/A</definedName>
    <definedName name="adf" localSheetId="2" hidden="1">{"PAGE1",#N/A,FALSE,"CPFFMSTR";"PAGE2",#N/A,FALSE,"CPFFMSTR"}</definedName>
    <definedName name="adf" hidden="1">{"PAGE1",#N/A,FALSE,"CPFFMSTR";"PAGE2",#N/A,FALSE,"CPFFMSTR"}</definedName>
    <definedName name="adfsdaf" localSheetId="2" hidden="1">{"PAGE1",#N/A,FALSE,"CPFFMSTR";"PAGE2",#N/A,FALSE,"CPFFMSTR"}</definedName>
    <definedName name="adfsdaf" hidden="1">{"PAGE1",#N/A,FALSE,"CPFFMSTR";"PAGE2",#N/A,FALSE,"CPFFMSTR"}</definedName>
    <definedName name="aer" localSheetId="2" hidden="1">{"PAGE1",#N/A,FALSE,"CPFFMSTR";"PAGE2",#N/A,FALSE,"CPFFMSTR"}</definedName>
    <definedName name="aer" hidden="1">{"PAGE1",#N/A,FALSE,"CPFFMSTR";"PAGE2",#N/A,FALSE,"CPFFMSTR"}</definedName>
    <definedName name="aer3e" localSheetId="2" hidden="1">{"PAGE1",#N/A,FALSE,"CPFFMSTR";"PAGE2",#N/A,FALSE,"CPFFMSTR"}</definedName>
    <definedName name="aer3e" hidden="1">{"PAGE1",#N/A,FALSE,"CPFFMSTR";"PAGE2",#N/A,FALSE,"CPFFMSTR"}</definedName>
    <definedName name="aere" localSheetId="2" hidden="1">{"PAGE1",#N/A,FALSE,"CPFFMSTR";"PAGE2",#N/A,FALSE,"CPFFMSTR"}</definedName>
    <definedName name="aere" hidden="1">{"PAGE1",#N/A,FALSE,"CPFFMSTR";"PAGE2",#N/A,FALSE,"CPFFMSTR"}</definedName>
    <definedName name="aesre" localSheetId="2" hidden="1">{"PAGE1",#N/A,FALSE,"CPFFMSTR";"PAGE2",#N/A,FALSE,"CPFFMSTR"}</definedName>
    <definedName name="aesre" hidden="1">{"PAGE1",#N/A,FALSE,"CPFFMSTR";"PAGE2",#N/A,FALSE,"CPFFMSTR"}</definedName>
    <definedName name="Agbiz11" localSheetId="2">[10]RATES!#REF!</definedName>
    <definedName name="Agbiz11">#REF!</definedName>
    <definedName name="Agbiz12" localSheetId="2">[10]RATES!#REF!</definedName>
    <definedName name="Agbiz12">#REF!</definedName>
    <definedName name="Agbiz13" localSheetId="2">[10]RATES!#REF!</definedName>
    <definedName name="Agbiz13">#REF!</definedName>
    <definedName name="Agbiz41" localSheetId="2">[10]RATES!#REF!</definedName>
    <definedName name="Agbiz41">#REF!</definedName>
    <definedName name="Agbiz42" localSheetId="2">[10]RATES!#REF!</definedName>
    <definedName name="Agbiz42">#REF!</definedName>
    <definedName name="Agbiz43" localSheetId="2">[10]RATES!#REF!</definedName>
    <definedName name="Agbiz43">#REF!</definedName>
    <definedName name="Agbiz51" localSheetId="2">[10]RATES!#REF!</definedName>
    <definedName name="Agbiz51">#REF!</definedName>
    <definedName name="Agbiz52" localSheetId="2">[10]RATES!#REF!</definedName>
    <definedName name="Agbiz52">#REF!</definedName>
    <definedName name="Agbiz53" localSheetId="2">[10]RATES!#REF!</definedName>
    <definedName name="Agbiz53">#REF!</definedName>
    <definedName name="AGCOSTS" localSheetId="2">#REF!</definedName>
    <definedName name="AGCOSTS">#REF!</definedName>
    <definedName name="aidmax" localSheetId="2">[5]Parameters!$D$9</definedName>
    <definedName name="aidmax">#REF!</definedName>
    <definedName name="Airfare_Consultants" localSheetId="2">#REF!</definedName>
    <definedName name="Airfare_Consultants">#REF!</definedName>
    <definedName name="Airfare_Homeleave" localSheetId="2">#REF!</definedName>
    <definedName name="Airfare_Homeleave">#REF!</definedName>
    <definedName name="airshipment" localSheetId="2">[12]Sheet1!$C$41</definedName>
    <definedName name="airshipment">#REF!</definedName>
    <definedName name="ALL" localSheetId="2">#REF!</definedName>
    <definedName name="ALL">#REF!</definedName>
    <definedName name="Allowances" localSheetId="2">'[13]INPUTS Year 1'!$A$96:$A$96</definedName>
    <definedName name="Allowances">#REF!</definedName>
    <definedName name="ANAL" localSheetId="2">#REF!</definedName>
    <definedName name="ANAL">#REF!</definedName>
    <definedName name="Appointments" localSheetId="2">IF(LEN([14]calcs!$C$7:$N$43),COUNTIFS([14]!tblAppointments[DATE],[14]calcs!$C$7:$N$43,[14]!tblAppointments[DATE],"&gt;0"),0)</definedName>
    <definedName name="Appointments">IF(LEN(#REF!),COUNTIFS(#REF!,#REF!,#REF!,"&gt;0"),0)</definedName>
    <definedName name="asd" localSheetId="2" hidden="1">[2]IPA!#REF!</definedName>
    <definedName name="asd" hidden="1">#REF!</definedName>
    <definedName name="asdf" localSheetId="2" hidden="1">{"PAGE1",#N/A,FALSE,"CPFFMSTR";"PAGE2",#N/A,FALSE,"CPFFMSTR"}</definedName>
    <definedName name="asdf" hidden="1">{"PAGE1",#N/A,FALSE,"CPFFMSTR";"PAGE2",#N/A,FALSE,"CPFFMSTR"}</definedName>
    <definedName name="asf">#REF!</definedName>
    <definedName name="ASI_Dec_1">#REF!</definedName>
    <definedName name="ASI_Dec_2">#REF!</definedName>
    <definedName name="ASI_Dec_3">#REF!</definedName>
    <definedName name="ASI_Dec_4">#REF!</definedName>
    <definedName name="ASI_Dec_5">#REF!</definedName>
    <definedName name="ASI_May_1">#REF!</definedName>
    <definedName name="ASI_May_2">#REF!</definedName>
    <definedName name="ASI_May_3">#REF!</definedName>
    <definedName name="ASI_May_4">#REF!</definedName>
    <definedName name="ASI_May_5">#REF!</definedName>
    <definedName name="ASI_Nov_1">#REF!</definedName>
    <definedName name="ASI_Nov_2">#REF!</definedName>
    <definedName name="ASI_nov_3">#REF!</definedName>
    <definedName name="ASI_Nov_4">#REF!</definedName>
    <definedName name="ASI_Nov_5">#REF!</definedName>
    <definedName name="ASU">#N/A</definedName>
    <definedName name="awardfee">#REF!</definedName>
    <definedName name="AWI_FACTOR_OPTION_YR1" localSheetId="2">[15]INDIRECTS!#REF!</definedName>
    <definedName name="AWI_FACTOR_OPTION_YR1">#REF!</definedName>
    <definedName name="AWI_FACTOR_OPTION_YR2" localSheetId="2">[15]INDIRECTS!#REF!</definedName>
    <definedName name="AWI_FACTOR_OPTION_YR2">#REF!</definedName>
    <definedName name="AWI_FACTOR_OPTION_YR3" localSheetId="2">[15]INDIRECTS!#REF!</definedName>
    <definedName name="AWI_FACTOR_OPTION_YR3">#REF!</definedName>
    <definedName name="AWI_FACTOR_OPTION_YR4" localSheetId="2">[15]INDIRECTS!#REF!</definedName>
    <definedName name="AWI_FACTOR_OPTION_YR4">#REF!</definedName>
    <definedName name="AWI_FACTOR_TABLE" localSheetId="2">[15]INDIRECTS!#REF!</definedName>
    <definedName name="AWI_FACTOR_TABLE">#REF!</definedName>
    <definedName name="AWU_FACTOR_OPTION_YR1B" localSheetId="2">[15]INDIRECTS!#REF!</definedName>
    <definedName name="AWU_FACTOR_OPTION_YR1B">#REF!</definedName>
    <definedName name="bank_transfer" localSheetId="2">#REF!</definedName>
    <definedName name="bank_transfer">#REF!</definedName>
    <definedName name="BASA" localSheetId="2">#REF!</definedName>
    <definedName name="BASA">#REF!</definedName>
    <definedName name="BASA1" localSheetId="2">#REF!</definedName>
    <definedName name="BASA1">#REF!</definedName>
    <definedName name="basefee">#REF!</definedName>
    <definedName name="BI" localSheetId="2">[16]Assumptions!$H$12</definedName>
    <definedName name="BI">#REF!</definedName>
    <definedName name="big" localSheetId="2">#REF!</definedName>
    <definedName name="big">#REF!</definedName>
    <definedName name="bkodc" localSheetId="2">[12]Sheet1!$C$32</definedName>
    <definedName name="bkodc">#REF!</definedName>
    <definedName name="BRANTRAV" localSheetId="2">#REF!</definedName>
    <definedName name="BRANTRAV">#REF!</definedName>
    <definedName name="budget" localSheetId="2">#REF!</definedName>
    <definedName name="budget">#REF!</definedName>
    <definedName name="Budget_years" localSheetId="2">#REF!</definedName>
    <definedName name="Budget_years">#REF!</definedName>
    <definedName name="bver" localSheetId="2" hidden="1">{"PAGE1",#N/A,FALSE,"CPFFMSTR";"PAGE2",#N/A,FALSE,"CPFFMSTR"}</definedName>
    <definedName name="bver" hidden="1">{"PAGE1",#N/A,FALSE,"CPFFMSTR";"PAGE2",#N/A,FALSE,"CPFFMSTR"}</definedName>
    <definedName name="capital" localSheetId="2">[17]Parameters!$B$35</definedName>
    <definedName name="capital">#REF!</definedName>
    <definedName name="Cash_Table" localSheetId="2">'[18]Cash Receipt by Project'!$A:$EA</definedName>
    <definedName name="Cash_Table">#REF!</definedName>
    <definedName name="CCN">#N/A</definedName>
    <definedName name="CCN_Disount" localSheetId="2">#REF!</definedName>
    <definedName name="CCN_Disount">#REF!</definedName>
    <definedName name="CGHY" localSheetId="2" hidden="1">{"PAGE1",#N/A,FALSE,"CPFFMSTR";"PAGE2",#N/A,FALSE,"CPFFMSTR"}</definedName>
    <definedName name="CGHY" hidden="1">{"PAGE1",#N/A,FALSE,"CPFFMSTR";"PAGE2",#N/A,FALSE,"CPFFMSTR"}</definedName>
    <definedName name="Chart_of_accounts">#REF!</definedName>
    <definedName name="ci" localSheetId="2">[5]Parameters!$B$2</definedName>
    <definedName name="ci">#REF!</definedName>
    <definedName name="CII" localSheetId="2">[12]Sheet1!$C$13</definedName>
    <definedName name="CII">#REF!</definedName>
    <definedName name="CLASS" localSheetId="2">[19]Classes!$B$2:$C$29</definedName>
    <definedName name="CLASS">#REF!</definedName>
    <definedName name="clin1" localSheetId="2">[7]Parameters!$B$10</definedName>
    <definedName name="clin1">#REF!</definedName>
    <definedName name="clin1base" localSheetId="2">#REF!</definedName>
    <definedName name="clin1base">#REF!</definedName>
    <definedName name="clin1factor" localSheetId="2">'[5]CLIN factor'!$E$73</definedName>
    <definedName name="clin1factor">#REF!</definedName>
    <definedName name="clin1oy1" localSheetId="2">#REF!</definedName>
    <definedName name="clin1oy1">#REF!</definedName>
    <definedName name="clin1oy2" localSheetId="2">#REF!</definedName>
    <definedName name="clin1oy2">#REF!</definedName>
    <definedName name="clin1oy3" localSheetId="2">#REF!</definedName>
    <definedName name="clin1oy3">#REF!</definedName>
    <definedName name="clin1oy4">#REF!</definedName>
    <definedName name="clin2" localSheetId="2">[7]Parameters!$B$11</definedName>
    <definedName name="clin2">#REF!</definedName>
    <definedName name="clin2base" localSheetId="2">#REF!</definedName>
    <definedName name="clin2base">#REF!</definedName>
    <definedName name="clin2factor" localSheetId="2">'[5]CLIN factor'!$H$73</definedName>
    <definedName name="clin2factor">#REF!</definedName>
    <definedName name="clin2oy1" localSheetId="2">#REF!</definedName>
    <definedName name="clin2oy1">#REF!</definedName>
    <definedName name="clin2oy2" localSheetId="2">#REF!</definedName>
    <definedName name="clin2oy2">#REF!</definedName>
    <definedName name="clin2oy3" localSheetId="2">#REF!</definedName>
    <definedName name="clin2oy3">#REF!</definedName>
    <definedName name="clin2oy4">#REF!</definedName>
    <definedName name="clin3" localSheetId="2">[7]Parameters!$B$12</definedName>
    <definedName name="clin3">#REF!</definedName>
    <definedName name="clin3base" localSheetId="2">#REF!</definedName>
    <definedName name="clin3base">#REF!</definedName>
    <definedName name="clin3factor" localSheetId="2">'[5]CLIN factor'!$K$73</definedName>
    <definedName name="clin3factor">#REF!</definedName>
    <definedName name="clin3oy1" localSheetId="2">#REF!</definedName>
    <definedName name="clin3oy1">#REF!</definedName>
    <definedName name="clin3oy2" localSheetId="2">#REF!</definedName>
    <definedName name="clin3oy2">#REF!</definedName>
    <definedName name="clin3oy3" localSheetId="2">#REF!</definedName>
    <definedName name="clin3oy3">#REF!</definedName>
    <definedName name="clin3oy4">#REF!</definedName>
    <definedName name="clin4" localSheetId="2">[7]Parameters!$B$13</definedName>
    <definedName name="clin4">#REF!</definedName>
    <definedName name="clin5" localSheetId="2">[7]Parameters!$B$14</definedName>
    <definedName name="clin5">#REF!</definedName>
    <definedName name="CoLA" localSheetId="2">'[20]Payroll August '!#REF!</definedName>
    <definedName name="CoLA">#REF!</definedName>
    <definedName name="comm" localSheetId="2">[5]Parameters!#REF!</definedName>
    <definedName name="comm">#REF!</definedName>
    <definedName name="Composite_Indirect_Rates_Year_1" localSheetId="2">[15]INDIRECTS!$T$3:$Y$15</definedName>
    <definedName name="Composite_Indirect_Rates_Year_1">#REF!</definedName>
    <definedName name="Composite_Indirect_Rates_Year_2" localSheetId="2">[15]INDIRECTS!#REF!</definedName>
    <definedName name="Composite_Indirect_Rates_Year_2">#REF!</definedName>
    <definedName name="Composite_Indirect_Rates_Year_3" localSheetId="2">[15]INDIRECTS!#REF!</definedName>
    <definedName name="Composite_Indirect_Rates_Year_3">#REF!</definedName>
    <definedName name="Composite_Indirect_Rates_Year_4" localSheetId="2">[15]INDIRECTS!#REF!</definedName>
    <definedName name="Composite_Indirect_Rates_Year_4">#REF!</definedName>
    <definedName name="Composite_Indirect_Rates_Year_5" localSheetId="2">[15]INDIRECTS!#REF!</definedName>
    <definedName name="Composite_Indirect_Rates_Year_5">#REF!</definedName>
    <definedName name="COMSO" localSheetId="2" hidden="1">{#N/A,#N/A,FALSE,"Proposal"}</definedName>
    <definedName name="COMSO" hidden="1">{#N/A,#N/A,FALSE,"Proposal"}</definedName>
    <definedName name="confperdiem">#REF!</definedName>
    <definedName name="Connscenario" localSheetId="2">'[21]Summary Budget'!$O$12:$V$12</definedName>
    <definedName name="Connscenario">#REF!</definedName>
    <definedName name="Connscenariodata" localSheetId="2">'[21]Summary Budget'!$O$12:$V$13</definedName>
    <definedName name="Connscenariodata">#REF!</definedName>
    <definedName name="Cons" localSheetId="2">[10]RATES!#REF!</definedName>
    <definedName name="Cons">#REF!</definedName>
    <definedName name="ConsolidatedOld" localSheetId="2">#REF!</definedName>
    <definedName name="ConsolidatedOld">#REF!</definedName>
    <definedName name="CONST" localSheetId="2">#REF!</definedName>
    <definedName name="CONST">#REF!</definedName>
    <definedName name="CONSULT">#N/A</definedName>
    <definedName name="consumables" localSheetId="2">[12]Sheet1!$C$42</definedName>
    <definedName name="consumables">#REF!</definedName>
    <definedName name="COOPERATIVE_LEAGUE_OF_THE_USA" localSheetId="2">#REF!</definedName>
    <definedName name="COOPERATIVE_LEAGUE_OF_THE_USA">#REF!</definedName>
    <definedName name="coptrip" localSheetId="2">[5]Parameters!$D$27</definedName>
    <definedName name="coptrip">#REF!</definedName>
    <definedName name="coptriplength" localSheetId="2">[5]Parameters!$D$28</definedName>
    <definedName name="coptriplength">#REF!</definedName>
    <definedName name="Cost_Elements" localSheetId="2">[15]INDIRECTS!$T$2:$Y$2</definedName>
    <definedName name="Cost_Elements">#REF!</definedName>
    <definedName name="COSTS">#N/A</definedName>
    <definedName name="COUNTRY">#N/A</definedName>
    <definedName name="countryinf" localSheetId="2">#REF!</definedName>
    <definedName name="countryinf">#REF!</definedName>
    <definedName name="cts" localSheetId="2">[5]Parameters!$D$63</definedName>
    <definedName name="cts">#REF!</definedName>
    <definedName name="currency2" localSheetId="2">#REF!</definedName>
    <definedName name="currency2">#REF!</definedName>
    <definedName name="CurrencyCode" localSheetId="2">#REF!</definedName>
    <definedName name="CurrencyCode">#REF!</definedName>
    <definedName name="Cut" localSheetId="2">#REF!</definedName>
    <definedName name="Cut">#REF!</definedName>
    <definedName name="DAI">#N/A</definedName>
    <definedName name="daiInd">1.4*1.5*1.09</definedName>
    <definedName name="danger" localSheetId="2">[7]Parameters!$B$522</definedName>
    <definedName name="danger">#REF!</definedName>
    <definedName name="dangerpay" localSheetId="2">[5]Parameters!$D$57</definedName>
    <definedName name="dangerpay">#REF!</definedName>
    <definedName name="Dartotalpd" localSheetId="2">[17]Parameters!$B$29</definedName>
    <definedName name="Dartotalpd">#REF!</definedName>
    <definedName name="DATA" localSheetId="2">#REF!</definedName>
    <definedName name="DATA">#REF!</definedName>
    <definedName name="_xlnm.Database">#REF!</definedName>
    <definedName name="dataI3R" localSheetId="2">#REF!</definedName>
    <definedName name="dataI3R">#REF!</definedName>
    <definedName name="Date" localSheetId="2">#REF!</definedName>
    <definedName name="Date">#REF!</definedName>
    <definedName name="Days" localSheetId="2">[10]RATES!#REF!</definedName>
    <definedName name="Days">#REF!</definedName>
    <definedName name="daysinKabul" localSheetId="2">[7]Parameters!$B$512</definedName>
    <definedName name="daysinKabul">#REF!</definedName>
    <definedName name="daysinPeshawar" localSheetId="2">[7]Parameters!$B$514</definedName>
    <definedName name="daysinPeshawar">#REF!</definedName>
    <definedName name="daysinTravel" localSheetId="2">[7]Parameters!$B$515</definedName>
    <definedName name="daysinTravel">#REF!</definedName>
    <definedName name="daysoutKabul" localSheetId="2">[7]Parameters!$B$513</definedName>
    <definedName name="daysoutKabul">#REF!</definedName>
    <definedName name="dayspertrip" localSheetId="2">#REF!</definedName>
    <definedName name="dayspertrip">#REF!</definedName>
    <definedName name="dba" localSheetId="2">[5]Parameters!$D$16</definedName>
    <definedName name="dba">#REF!</definedName>
    <definedName name="ddd" localSheetId="2">'[22]Data-in process'!$C$2:$K$60</definedName>
    <definedName name="ddd">#REF!</definedName>
    <definedName name="dereje" localSheetId="2">'[3]Detailed Budget-SAVE'!#REF!</definedName>
    <definedName name="dereje">#REF!</definedName>
    <definedName name="Dereje_123" localSheetId="2">#REF!</definedName>
    <definedName name="Dereje_123">#REF!</definedName>
    <definedName name="DETAIL" localSheetId="2">#REF!</definedName>
    <definedName name="DETAIL">#REF!</definedName>
    <definedName name="DFTY" localSheetId="2" hidden="1">{"PAGE1",#N/A,FALSE,"CPFFMSTR";"PAGE2",#N/A,FALSE,"CPFFMSTR"}</definedName>
    <definedName name="DFTY" hidden="1">{"PAGE1",#N/A,FALSE,"CPFFMSTR";"PAGE2",#N/A,FALSE,"CPFFMSTR"}</definedName>
    <definedName name="differential" localSheetId="2">[23]formulas!#REF!</definedName>
    <definedName name="differential">#REF!</definedName>
    <definedName name="Dinominator" localSheetId="2">#REF!</definedName>
    <definedName name="Dinominator">#REF!</definedName>
    <definedName name="discCCN">0.77</definedName>
    <definedName name="discCCNLT">(1-0)</definedName>
    <definedName name="discCCNst">(1-0.75)</definedName>
    <definedName name="discExpat">0.15</definedName>
    <definedName name="DON">#N/A</definedName>
    <definedName name="dpt">#REF!</definedName>
    <definedName name="dsfa" localSheetId="2" hidden="1">{"PAGE1",#N/A,FALSE,"CPFFMSTR";"PAGE2",#N/A,FALSE,"CPFFMSTR"}</definedName>
    <definedName name="dsfa" hidden="1">{"PAGE1",#N/A,FALSE,"CPFFMSTR";"PAGE2",#N/A,FALSE,"CPFFMSTR"}</definedName>
    <definedName name="dtys" localSheetId="2" hidden="1">{"PAGE1",#N/A,FALSE,"CPFFMSTR";"PAGE2",#N/A,FALSE,"CPFFMSTR"}</definedName>
    <definedName name="dtys" hidden="1">{"PAGE1",#N/A,FALSE,"CPFFMSTR";"PAGE2",#N/A,FALSE,"CPFFMSTR"}</definedName>
    <definedName name="eafo" localSheetId="2" hidden="1">{"ACC_Cars_125K_PA",#N/A,FALSE,"ACC Cars Co1 125K ";"ACC_Cars_125K_Prop",#N/A,FALSE,"ACC Cars Co1 125K "}</definedName>
    <definedName name="eafo" hidden="1">{"ACC_Cars_125K_PA",#N/A,FALSE,"ACC Cars Co1 125K ";"ACC_Cars_125K_Prop",#N/A,FALSE,"ACC Cars Co1 125K "}</definedName>
    <definedName name="eafo1" localSheetId="2" hidden="1">{"ACC_Cars_400K_PA",#N/A,FALSE,"ACC Cars Co1 400K";"ACC_Cars_400K_Prop",#N/A,FALSE,"ACC Cars Co1 400K"}</definedName>
    <definedName name="eafo1" hidden="1">{"ACC_Cars_400K_PA",#N/A,FALSE,"ACC Cars Co1 400K";"ACC_Cars_400K_Prop",#N/A,FALSE,"ACC Cars Co1 400K"}</definedName>
    <definedName name="eafo10" localSheetId="2" hidden="1">{"PearsonCo1_Prop",#N/A,FALSE,"Pearsons Task Co1";"PearsonCo1_PA",#N/A,FALSE,"Pearsons Task Co1"}</definedName>
    <definedName name="eafo10" hidden="1">{"PearsonCo1_Prop",#N/A,FALSE,"Pearsons Task Co1";"PearsonCo1_PA",#N/A,FALSE,"Pearsons Task Co1"}</definedName>
    <definedName name="eafo11" localSheetId="2" hidden="1">{"PearsonCo5_Prop",#N/A,FALSE,"Pearsons Task Co5";"PearsonCo5_PA",#N/A,FALSE,"Pearsons Task Co5"}</definedName>
    <definedName name="eafo11" hidden="1">{"PearsonCo5_Prop",#N/A,FALSE,"Pearsons Task Co5";"PearsonCo5_PA",#N/A,FALSE,"Pearsons Task Co5"}</definedName>
    <definedName name="eafo12" localSheetId="2" hidden="1">{"Seal Team J6 Sum",#N/A,FALSE,"Seal Team Summary";"Seal Team J6",#N/A,FALSE,"Seal Team ";"Seal Team ODC J6",#N/A,FALSE,"Seal Team ODCs";"Seal Team Trvl J6",#N/A,FALSE," Seal Team Trvl"}</definedName>
    <definedName name="eafo12" hidden="1">{"Seal Team J6 Sum",#N/A,FALSE,"Seal Team Summary";"Seal Team J6",#N/A,FALSE,"Seal Team ";"Seal Team ODC J6",#N/A,FALSE,"Seal Team ODCs";"Seal Team Trvl J6",#N/A,FALSE," Seal Team Trvl"}</definedName>
    <definedName name="eafo15" localSheetId="2" hidden="1">{"ACC_Cars_125K_PA",#N/A,FALSE,"ACC Cars Co1 125K ";"ACC_Cars_125K_Prop",#N/A,FALSE,"ACC Cars Co1 125K "}</definedName>
    <definedName name="eafo15" hidden="1">{"ACC_Cars_125K_PA",#N/A,FALSE,"ACC Cars Co1 125K ";"ACC_Cars_125K_Prop",#N/A,FALSE,"ACC Cars Co1 125K "}</definedName>
    <definedName name="eafo16" localSheetId="2" hidden="1">{"ACC_Cars_400K_PA",#N/A,FALSE,"ACC Cars Co1 400K";"ACC_Cars_400K_Prop",#N/A,FALSE,"ACC Cars Co1 400K"}</definedName>
    <definedName name="eafo16" hidden="1">{"ACC_Cars_400K_PA",#N/A,FALSE,"ACC Cars Co1 400K";"ACC_Cars_400K_Prop",#N/A,FALSE,"ACC Cars Co1 400K"}</definedName>
    <definedName name="eafo17" localSheetId="2" hidden="1">{"PAGE1",#N/A,FALSE,"ACC_CARS Travel 125K";"PAGE2",#N/A,FALSE,"ACC_CARS Travel 125K"}</definedName>
    <definedName name="eafo17" hidden="1">{"PAGE1",#N/A,FALSE,"ACC_CARS Travel 125K";"PAGE2",#N/A,FALSE,"ACC_CARS Travel 125K"}</definedName>
    <definedName name="eafo18" localSheetId="2" hidden="1">{"Page1",#N/A,FALSE,"ACC_CARS Travel 400K";"Page2",#N/A,FALSE,"ACC_CARS Travel 400K"}</definedName>
    <definedName name="eafo18" hidden="1">{"Page1",#N/A,FALSE,"ACC_CARS Travel 400K";"Page2",#N/A,FALSE,"ACC_CARS Travel 400K"}</definedName>
    <definedName name="eafo19" localSheetId="2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19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2" localSheetId="2" hidden="1">{"PAGE1",#N/A,FALSE,"ACC_CARS Travel 125K";"PAGE2",#N/A,FALSE,"ACC_CARS Travel 125K"}</definedName>
    <definedName name="eafo2" hidden="1">{"PAGE1",#N/A,FALSE,"ACC_CARS Travel 125K";"PAGE2",#N/A,FALSE,"ACC_CARS Travel 125K"}</definedName>
    <definedName name="eafo20" localSheetId="2" hidden="1">{"DolanCo1_PA",#N/A,FALSE,"Tina Dolan";"DolanCo1_Prop",#N/A,FALSE,"Tina Dolan"}</definedName>
    <definedName name="eafo20" hidden="1">{"DolanCo1_PA",#N/A,FALSE,"Tina Dolan";"DolanCo1_Prop",#N/A,FALSE,"Tina Dolan"}</definedName>
    <definedName name="eafo21" localSheetId="2" hidden="1">{"Prop_350K",#N/A,FALSE,"Ebron-350K";"PA_350K",#N/A,FALSE,"Ebron-350K";"Ebron350KTrvl",#N/A,FALSE,"Ebrons Travel 350k"}</definedName>
    <definedName name="eafo21" hidden="1">{"Prop_350K",#N/A,FALSE,"Ebron-350K";"PA_350K",#N/A,FALSE,"Ebron-350K";"Ebron350KTrvl",#N/A,FALSE,"Ebrons Travel 350k"}</definedName>
    <definedName name="eafo22" localSheetId="2" hidden="1">{"EbronCo1_PA",#N/A,FALSE,"Ebrons Task Co1";"EbronCo1_Prop",#N/A,FALSE,"Ebrons Task Co1";"Ebron316KTrvl",#N/A,FALSE,"Ebrons Travel 316k"}</definedName>
    <definedName name="eafo22" hidden="1">{"EbronCo1_PA",#N/A,FALSE,"Ebrons Task Co1";"EbronCo1_Prop",#N/A,FALSE,"Ebrons Task Co1";"Ebron316KTrvl",#N/A,FALSE,"Ebrons Travel 316k"}</definedName>
    <definedName name="eafo23" localSheetId="2" hidden="1">{"EbronCo5_PA",#N/A,FALSE,"Ebrons Task Co5";"EbronCo5_Prop",#N/A,FALSE,"Ebrons Task Co5"}</definedName>
    <definedName name="eafo23" hidden="1">{"EbronCo5_PA",#N/A,FALSE,"Ebrons Task Co5";"EbronCo5_Prop",#N/A,FALSE,"Ebrons Task Co5"}</definedName>
    <definedName name="eafo24" localSheetId="2" hidden="1">{"JDISS_Co1",#N/A,FALSE,"JDISS_Co1";"JDISSCo1_PA",#N/A,FALSE,"JDISS_Co1"}</definedName>
    <definedName name="eafo24" hidden="1">{"JDISS_Co1",#N/A,FALSE,"JDISS_Co1";"JDISSCo1_PA",#N/A,FALSE,"JDISS_Co1"}</definedName>
    <definedName name="eafo26" localSheetId="2" hidden="1">{"PearsonCo5_Prop",#N/A,FALSE,"Pearsons Task Co5";"PearsonCo5_PA",#N/A,FALSE,"Pearsons Task Co5"}</definedName>
    <definedName name="eafo26" hidden="1">{"PearsonCo5_Prop",#N/A,FALSE,"Pearsons Task Co5";"PearsonCo5_PA",#N/A,FALSE,"Pearsons Task Co5"}</definedName>
    <definedName name="eafo27" localSheetId="2" hidden="1">{"Seal Team J6 Sum",#N/A,FALSE,"Seal Team Summary";"Seal Team J6",#N/A,FALSE,"Seal Team ";"Seal Team ODC J6",#N/A,FALSE,"Seal Team ODCs";"Seal Team Trvl J6",#N/A,FALSE," Seal Team Trvl"}</definedName>
    <definedName name="eafo27" hidden="1">{"Seal Team J6 Sum",#N/A,FALSE,"Seal Team Summary";"Seal Team J6",#N/A,FALSE,"Seal Team ";"Seal Team ODC J6",#N/A,FALSE,"Seal Team ODCs";"Seal Team Trvl J6",#N/A,FALSE," Seal Team Trvl"}</definedName>
    <definedName name="eafo3" localSheetId="2" hidden="1">{"Page1",#N/A,FALSE,"ACC_CARS Travel 400K";"Page2",#N/A,FALSE,"ACC_CARS Travel 400K"}</definedName>
    <definedName name="eafo3" hidden="1">{"Page1",#N/A,FALSE,"ACC_CARS Travel 400K";"Page2",#N/A,FALSE,"ACC_CARS Travel 400K"}</definedName>
    <definedName name="eafo4" localSheetId="2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4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5" localSheetId="2" hidden="1">{"DolanCo1_PA",#N/A,FALSE,"Tina Dolan";"DolanCo1_Prop",#N/A,FALSE,"Tina Dolan"}</definedName>
    <definedName name="eafo5" hidden="1">{"DolanCo1_PA",#N/A,FALSE,"Tina Dolan";"DolanCo1_Prop",#N/A,FALSE,"Tina Dolan"}</definedName>
    <definedName name="eafo6" localSheetId="2" hidden="1">{"Prop_350K",#N/A,FALSE,"Ebron-350K";"PA_350K",#N/A,FALSE,"Ebron-350K";"Ebron350KTrvl",#N/A,FALSE,"Ebrons Travel 350k"}</definedName>
    <definedName name="eafo6" hidden="1">{"Prop_350K",#N/A,FALSE,"Ebron-350K";"PA_350K",#N/A,FALSE,"Ebron-350K";"Ebron350KTrvl",#N/A,FALSE,"Ebrons Travel 350k"}</definedName>
    <definedName name="eafo7" localSheetId="2" hidden="1">{"EbronCo1_PA",#N/A,FALSE,"Ebrons Task Co1";"EbronCo1_Prop",#N/A,FALSE,"Ebrons Task Co1";"Ebron316KTrvl",#N/A,FALSE,"Ebrons Travel 316k"}</definedName>
    <definedName name="eafo7" hidden="1">{"EbronCo1_PA",#N/A,FALSE,"Ebrons Task Co1";"EbronCo1_Prop",#N/A,FALSE,"Ebrons Task Co1";"Ebron316KTrvl",#N/A,FALSE,"Ebrons Travel 316k"}</definedName>
    <definedName name="eafo8" localSheetId="2" hidden="1">{"EbronCo5_PA",#N/A,FALSE,"Ebrons Task Co5";"EbronCo5_Prop",#N/A,FALSE,"Ebrons Task Co5"}</definedName>
    <definedName name="eafo8" hidden="1">{"EbronCo5_PA",#N/A,FALSE,"Ebrons Task Co5";"EbronCo5_Prop",#N/A,FALSE,"Ebrons Task Co5"}</definedName>
    <definedName name="eafo9" localSheetId="2" hidden="1">{"JDISS_Co1",#N/A,FALSE,"JDISS_Co1";"JDISSCo1_PA",#N/A,FALSE,"JDISS_Co1"}</definedName>
    <definedName name="eafo9" hidden="1">{"JDISS_Co1",#N/A,FALSE,"JDISS_Co1";"JDISSCo1_PA",#N/A,FALSE,"JDISS_Co1"}</definedName>
    <definedName name="earo25" localSheetId="2" hidden="1">{"PearsonCo1_Prop",#N/A,FALSE,"Pearsons Task Co1";"PearsonCo1_PA",#N/A,FALSE,"Pearsons Task Co1"}</definedName>
    <definedName name="earo25" hidden="1">{"PearsonCo1_Prop",#N/A,FALSE,"Pearsons Task Co1";"PearsonCo1_PA",#N/A,FALSE,"Pearsons Task Co1"}</definedName>
    <definedName name="ed6_8" localSheetId="2">[7]Parameters!$B$526</definedName>
    <definedName name="ed6_8">#REF!</definedName>
    <definedName name="ed9_12" localSheetId="2">[7]Parameters!$B$527</definedName>
    <definedName name="ed9_12">#REF!</definedName>
    <definedName name="edk_5" localSheetId="2">[7]Parameters!$B$525</definedName>
    <definedName name="edk_5">#REF!</definedName>
    <definedName name="EETYPE" localSheetId="2">#REF!</definedName>
    <definedName name="EETYPE">#REF!</definedName>
    <definedName name="EEwithAmounts" localSheetId="2">#REF!</definedName>
    <definedName name="EEwithAmounts">#REF!</definedName>
    <definedName name="EMPLOYEECURRENTSTATUS" localSheetId="2">#REF!</definedName>
    <definedName name="EMPLOYEECURRENTSTATUS">#REF!</definedName>
    <definedName name="END">#N/A</definedName>
    <definedName name="eras" localSheetId="2" hidden="1">{"PAGE1",#N/A,FALSE,"CPFFMSTR";"PAGE2",#N/A,FALSE,"CPFFMSTR"}</definedName>
    <definedName name="eras" hidden="1">{"PAGE1",#N/A,FALSE,"CPFFMSTR";"PAGE2",#N/A,FALSE,"CPFFMSTR"}</definedName>
    <definedName name="erwe" localSheetId="2" hidden="1">{"PAGE1",#N/A,FALSE,"CPFFMSTR";"PAGE2",#N/A,FALSE,"CPFFMSTR"}</definedName>
    <definedName name="erwe" hidden="1">{"PAGE1",#N/A,FALSE,"CPFFMSTR";"PAGE2",#N/A,FALSE,"CPFFMSTR"}</definedName>
    <definedName name="esc">0.035</definedName>
    <definedName name="ETHNICID">#REF!</definedName>
    <definedName name="EXC">#REF!</definedName>
    <definedName name="exch" localSheetId="2">[5]Parameters!$D$19</definedName>
    <definedName name="exch">#REF!</definedName>
    <definedName name="Exchange" localSheetId="2">#REF!</definedName>
    <definedName name="Exchange">#REF!</definedName>
    <definedName name="ExchangeRate" localSheetId="2">#REF!</definedName>
    <definedName name="ExchangeRate">#REF!</definedName>
    <definedName name="Expat_Discount" localSheetId="2">#REF!</definedName>
    <definedName name="Expat_Discount">#REF!</definedName>
    <definedName name="Expat_Fringe">#REF!</definedName>
    <definedName name="expatsalinc" localSheetId="2">[12]Sheet1!$C$7</definedName>
    <definedName name="expatsalinc">#REF!</definedName>
    <definedName name="expatsttasal" localSheetId="2">[12]Sheet1!$C$29</definedName>
    <definedName name="expatsttasal">#REF!</definedName>
    <definedName name="Expense" localSheetId="2">'[24]Drp Down Menu lists '!$B$1:$B$10</definedName>
    <definedName name="Expense">#REF!</definedName>
    <definedName name="fasdf" localSheetId="2" hidden="1">{"PAGE1",#N/A,FALSE,"CPFFMSTR";"PAGE2",#N/A,FALSE,"CPFFMSTR"}</definedName>
    <definedName name="fasdf" hidden="1">{"PAGE1",#N/A,FALSE,"CPFFMSTR";"PAGE2",#N/A,FALSE,"CPFFMSTR"}</definedName>
    <definedName name="fasfas" localSheetId="2" hidden="1">[2]IPA!#REF!</definedName>
    <definedName name="fasfas" hidden="1">#REF!</definedName>
    <definedName name="FB" localSheetId="2">#REF!</definedName>
    <definedName name="FB">#REF!</definedName>
    <definedName name="FB_T" localSheetId="2">#REF!</definedName>
    <definedName name="FB_T">#REF!</definedName>
    <definedName name="FCCM_GA" localSheetId="2">#REF!</definedName>
    <definedName name="FCCM_GA">#REF!</definedName>
    <definedName name="FCCM_lab">#REF!</definedName>
    <definedName name="FCCM_MSE">#REF!</definedName>
    <definedName name="FCCM_Office">#REF!</definedName>
    <definedName name="FCCM_OfficeOther">#REF!</definedName>
    <definedName name="fdfdf" hidden="1">#REF!</definedName>
    <definedName name="fdfdfdfddfdfdfdf">#REF!</definedName>
    <definedName name="fdfdfdfdf">#REF!</definedName>
    <definedName name="fdfdfdfdfd" hidden="1">#REF!</definedName>
    <definedName name="FDRs">#REF!</definedName>
    <definedName name="FEDEX">#REF!</definedName>
    <definedName name="fee" localSheetId="2">[5]Parameters!$D$15</definedName>
    <definedName name="fee">#REF!</definedName>
    <definedName name="FGH" localSheetId="2" hidden="1">{"PAGE1",#N/A,FALSE,"CPFFMSTR";"PAGE2",#N/A,FALSE,"CPFFMSTR"}</definedName>
    <definedName name="FGH" hidden="1">{"PAGE1",#N/A,FALSE,"CPFFMSTR";"PAGE2",#N/A,FALSE,"CPFFMSTR"}</definedName>
    <definedName name="field_fringe">#REF!</definedName>
    <definedName name="fieldfringe">#REF!</definedName>
    <definedName name="Firms">#REF!</definedName>
    <definedName name="Fixed_Fee">#REF!</definedName>
    <definedName name="FMI">#N/A</definedName>
    <definedName name="fo" localSheetId="2">[25]Training!$N$3</definedName>
    <definedName name="fo">#REF!</definedName>
    <definedName name="fooh" localSheetId="2">[5]Parameters!$D$13</definedName>
    <definedName name="fooh">#REF!</definedName>
    <definedName name="FORM" localSheetId="2">#REF!</definedName>
    <definedName name="FORM">#REF!</definedName>
    <definedName name="FORM1" localSheetId="2">#REF!</definedName>
    <definedName name="FORM1">#REF!</definedName>
    <definedName name="FORM3" localSheetId="2">#REF!</definedName>
    <definedName name="FORM3">#REF!</definedName>
    <definedName name="FPMSA">#N/A</definedName>
    <definedName name="fr" localSheetId="2">[5]Parameters!$D$10</definedName>
    <definedName name="fr">#REF!</definedName>
    <definedName name="fringe">0.405</definedName>
    <definedName name="fringedir" localSheetId="2">[7]Parameters!$B$488</definedName>
    <definedName name="fringedir">#REF!</definedName>
    <definedName name="fsnmax" localSheetId="2">[5]Parameters!#REF!</definedName>
    <definedName name="fsnmax">#REF!</definedName>
    <definedName name="FTE_All" localSheetId="2">#REF!</definedName>
    <definedName name="FTE_All">#REF!</definedName>
    <definedName name="FTE_M" localSheetId="2">#REF!</definedName>
    <definedName name="FTE_M">#REF!</definedName>
    <definedName name="FTE_Y" localSheetId="2">#REF!</definedName>
    <definedName name="FTE_Y">#REF!</definedName>
    <definedName name="FTE_Year1">#REF!</definedName>
    <definedName name="FTE_Year2">#REF!</definedName>
    <definedName name="FTE_Year3">#REF!</definedName>
    <definedName name="FTE_Year4">#REF!</definedName>
    <definedName name="FTE_Year5">#REF!</definedName>
    <definedName name="Full_time_Regular_Query">#REF!</definedName>
    <definedName name="FULLORPARTTIME">#REF!</definedName>
    <definedName name="g_a">#REF!</definedName>
    <definedName name="ga" localSheetId="2">[5]Parameters!$D$14</definedName>
    <definedName name="ga">#REF!</definedName>
    <definedName name="GandA_by_firm" localSheetId="2">#REF!</definedName>
    <definedName name="GandA_by_firm">#REF!</definedName>
    <definedName name="gandamult" localSheetId="2">[26]formulas!$B$6</definedName>
    <definedName name="gandamult">#REF!</definedName>
    <definedName name="GENDER" localSheetId="2">#REF!</definedName>
    <definedName name="GENDER">#REF!</definedName>
    <definedName name="ghghghtghg" localSheetId="2" hidden="1">#REF!</definedName>
    <definedName name="ghghghtghg" hidden="1">#REF!</definedName>
    <definedName name="GR" localSheetId="2">'[19]Tx-Acc'!$D$2:$E$483</definedName>
    <definedName name="GR">#REF!</definedName>
    <definedName name="Grand_Total" localSheetId="2">'[27]Schedule Items-Labor'!#REF!</definedName>
    <definedName name="Grand_Total">#REF!</definedName>
    <definedName name="grantfee">0.02</definedName>
    <definedName name="GRP">#REF!</definedName>
    <definedName name="GSDFG" localSheetId="2" hidden="1">{"PAGE1",#N/A,FALSE,"CPFFMSTR";"PAGE2",#N/A,FALSE,"CPFFMSTR"}</definedName>
    <definedName name="GSDFG" hidden="1">{"PAGE1",#N/A,FALSE,"CPFFMSTR";"PAGE2",#N/A,FALSE,"CPFFMSTR"}</definedName>
    <definedName name="guard" localSheetId="2">[12]Sheet1!$C$46</definedName>
    <definedName name="guard">#REF!</definedName>
    <definedName name="guatemala" localSheetId="2">#REF!</definedName>
    <definedName name="guatemala">#REF!</definedName>
    <definedName name="HEAD" localSheetId="2">#REF!</definedName>
    <definedName name="HEAD">#REF!</definedName>
    <definedName name="heading">#N/A</definedName>
    <definedName name="health_insurance" localSheetId="2">[5]Parameters!$D$60</definedName>
    <definedName name="health_insurance">#REF!</definedName>
    <definedName name="HGJ" localSheetId="2" hidden="1">{"PAGE1",#N/A,FALSE,"CPFFMSTR";"PAGE2",#N/A,FALSE,"CPFFMSTR"}</definedName>
    <definedName name="HGJ" hidden="1">{"PAGE1",#N/A,FALSE,"CPFFMSTR";"PAGE2",#N/A,FALSE,"CPFFMSTR"}</definedName>
    <definedName name="hhehandling" localSheetId="2">[12]Sheet1!$C$40</definedName>
    <definedName name="hhehandling">#REF!</definedName>
    <definedName name="hheorigin" localSheetId="2">[12]Sheet1!$C$39</definedName>
    <definedName name="hheorigin">#REF!</definedName>
    <definedName name="hheshipment" localSheetId="2">[12]Sheet1!$C$37</definedName>
    <definedName name="hheshipment">#REF!</definedName>
    <definedName name="hhestorage" localSheetId="2">[12]Sheet1!$C$38</definedName>
    <definedName name="hhestorage">#REF!</definedName>
    <definedName name="HIID1">#N/A</definedName>
    <definedName name="HIID4">#N/A</definedName>
    <definedName name="HISTORY" localSheetId="2">#REF!</definedName>
    <definedName name="HISTORY">#REF!</definedName>
    <definedName name="ho" localSheetId="2">[7]Parameters!$A$431</definedName>
    <definedName name="ho">#REF!</definedName>
    <definedName name="hofa" localSheetId="2">[5]Parameters!#REF!</definedName>
    <definedName name="hofa">#REF!</definedName>
    <definedName name="Hola" localSheetId="2" hidden="1">'[8]sample labor calc'!#REF!</definedName>
    <definedName name="Hola" hidden="1">#REF!</definedName>
    <definedName name="hooh" localSheetId="2">[5]Parameters!$D$12</definedName>
    <definedName name="hooh">#REF!</definedName>
    <definedName name="Horas" localSheetId="2">#REF!</definedName>
    <definedName name="Horas">#REF!</definedName>
    <definedName name="hos10co" localSheetId="2">[7]Parameters!$G$442</definedName>
    <definedName name="hos10co">#REF!</definedName>
    <definedName name="hos10name" localSheetId="2">[7]Parameters!$C$442</definedName>
    <definedName name="hos10name">#REF!</definedName>
    <definedName name="hos10sal1" localSheetId="2">[7]Parameters!$E$442</definedName>
    <definedName name="hos10sal1">#REF!</definedName>
    <definedName name="hos1co" localSheetId="2">[7]Parameters!$G$433</definedName>
    <definedName name="hos1co">#REF!</definedName>
    <definedName name="hos1name" localSheetId="2">[7]Parameters!$C$433</definedName>
    <definedName name="hos1name">#REF!</definedName>
    <definedName name="hos1sal1" localSheetId="2">[7]Parameters!$E$433</definedName>
    <definedName name="hos1sal1">#REF!</definedName>
    <definedName name="hos2co" localSheetId="2">[7]Parameters!$G$434</definedName>
    <definedName name="hos2co">#REF!</definedName>
    <definedName name="hos2name" localSheetId="2">[7]Parameters!$C$434</definedName>
    <definedName name="hos2name">#REF!</definedName>
    <definedName name="hos2sal1" localSheetId="2">[7]Parameters!$E$434</definedName>
    <definedName name="hos2sal1">#REF!</definedName>
    <definedName name="hos3co" localSheetId="2">[7]Parameters!$G$435</definedName>
    <definedName name="hos3co">#REF!</definedName>
    <definedName name="hos3name" localSheetId="2">[7]Parameters!$C$435</definedName>
    <definedName name="hos3name">#REF!</definedName>
    <definedName name="hos3sal1" localSheetId="2">[7]Parameters!$E$435</definedName>
    <definedName name="hos3sal1">#REF!</definedName>
    <definedName name="hos4co" localSheetId="2">[7]Parameters!$G$436</definedName>
    <definedName name="hos4co">#REF!</definedName>
    <definedName name="hos4name" localSheetId="2">[7]Parameters!$C$436</definedName>
    <definedName name="hos4name">#REF!</definedName>
    <definedName name="hos4sal1" localSheetId="2">[7]Parameters!$E$436</definedName>
    <definedName name="hos4sal1">#REF!</definedName>
    <definedName name="hos5co" localSheetId="2">[7]Parameters!$G$437</definedName>
    <definedName name="hos5co">#REF!</definedName>
    <definedName name="hos5name" localSheetId="2">[7]Parameters!$C$437</definedName>
    <definedName name="hos5name">#REF!</definedName>
    <definedName name="hos5sal1" localSheetId="2">[7]Parameters!$E$437</definedName>
    <definedName name="hos5sal1">#REF!</definedName>
    <definedName name="hos6co" localSheetId="2">[7]Parameters!$G$438</definedName>
    <definedName name="hos6co">#REF!</definedName>
    <definedName name="hos6name" localSheetId="2">[7]Parameters!$C$438</definedName>
    <definedName name="hos6name">#REF!</definedName>
    <definedName name="hos6sal1" localSheetId="2">[7]Parameters!$E$438</definedName>
    <definedName name="hos6sal1">#REF!</definedName>
    <definedName name="hos7co" localSheetId="2">[7]Parameters!$G$439</definedName>
    <definedName name="hos7co">#REF!</definedName>
    <definedName name="hos7name" localSheetId="2">[7]Parameters!$C$439</definedName>
    <definedName name="hos7name">#REF!</definedName>
    <definedName name="hos7sal1" localSheetId="2">[7]Parameters!$E$439</definedName>
    <definedName name="hos7sal1">#REF!</definedName>
    <definedName name="hos8co" localSheetId="2">[7]Parameters!$G$440</definedName>
    <definedName name="hos8co">#REF!</definedName>
    <definedName name="hos8name" localSheetId="2">[7]Parameters!$C$440</definedName>
    <definedName name="hos8name">#REF!</definedName>
    <definedName name="hos8sal1" localSheetId="2">[7]Parameters!$E$440</definedName>
    <definedName name="hos8sal1">#REF!</definedName>
    <definedName name="hos9co" localSheetId="2">[7]Parameters!$G$441</definedName>
    <definedName name="hos9co">#REF!</definedName>
    <definedName name="hos9name" localSheetId="2">[7]Parameters!$C$441</definedName>
    <definedName name="hos9name">#REF!</definedName>
    <definedName name="hos9sal1" localSheetId="2">[7]Parameters!$E$441</definedName>
    <definedName name="hos9sal1">#REF!</definedName>
    <definedName name="hosco11" localSheetId="2">[7]Parameters!$G$443</definedName>
    <definedName name="hosco11">#REF!</definedName>
    <definedName name="hosco12" localSheetId="2">[7]Parameters!$G$444</definedName>
    <definedName name="hosco12">#REF!</definedName>
    <definedName name="hosco13" localSheetId="2">[7]Parameters!$G$445</definedName>
    <definedName name="hosco13">#REF!</definedName>
    <definedName name="hosco14" localSheetId="2">[7]Parameters!$G$446</definedName>
    <definedName name="hosco14">#REF!</definedName>
    <definedName name="hosco15" localSheetId="2">[7]Parameters!$G$447</definedName>
    <definedName name="hosco15">#REF!</definedName>
    <definedName name="hosco16" localSheetId="2">[7]Parameters!$G$448</definedName>
    <definedName name="hosco16">#REF!</definedName>
    <definedName name="hosco17" localSheetId="2">[7]Parameters!$G$449</definedName>
    <definedName name="hosco17">#REF!</definedName>
    <definedName name="hosco18" localSheetId="2">[7]Parameters!$G$450</definedName>
    <definedName name="hosco18">#REF!</definedName>
    <definedName name="hosco19" localSheetId="2">[7]Parameters!$G$451</definedName>
    <definedName name="hosco19">#REF!</definedName>
    <definedName name="hosco20" localSheetId="2">[7]Parameters!$G$452</definedName>
    <definedName name="hosco20">#REF!</definedName>
    <definedName name="hosco21" localSheetId="2">[7]Parameters!$G$453</definedName>
    <definedName name="hosco21">#REF!</definedName>
    <definedName name="hosjob1" localSheetId="2">[7]Parameters!$I$433</definedName>
    <definedName name="hosjob1">#REF!</definedName>
    <definedName name="hosjob10" localSheetId="2">[7]Parameters!$I$442</definedName>
    <definedName name="hosjob10">#REF!</definedName>
    <definedName name="hosjob2" localSheetId="2">[7]Parameters!$I$434</definedName>
    <definedName name="hosjob2">#REF!</definedName>
    <definedName name="hosjob3" localSheetId="2">[7]Parameters!$I$435</definedName>
    <definedName name="hosjob3">#REF!</definedName>
    <definedName name="hosjob4" localSheetId="2">[7]Parameters!$I$436</definedName>
    <definedName name="hosjob4">#REF!</definedName>
    <definedName name="hosjob5" localSheetId="2">[7]Parameters!$I$437</definedName>
    <definedName name="hosjob5">#REF!</definedName>
    <definedName name="hosjob6" localSheetId="2">[7]Parameters!$I$438</definedName>
    <definedName name="hosjob6">#REF!</definedName>
    <definedName name="hosjob7" localSheetId="2">[7]Parameters!$I$439</definedName>
    <definedName name="hosjob7">#REF!</definedName>
    <definedName name="hosjob8" localSheetId="2">[7]Parameters!$I$440</definedName>
    <definedName name="hosjob8">#REF!</definedName>
    <definedName name="hosjob9" localSheetId="2">[7]Parameters!$I$441</definedName>
    <definedName name="hosjob9">#REF!</definedName>
    <definedName name="hosname11" localSheetId="2">[7]Parameters!$C$443</definedName>
    <definedName name="hosname11">#REF!</definedName>
    <definedName name="hosname12" localSheetId="2">[7]Parameters!$C$444</definedName>
    <definedName name="hosname12">#REF!</definedName>
    <definedName name="hosname13" localSheetId="2">[7]Parameters!$C$445</definedName>
    <definedName name="hosname13">#REF!</definedName>
    <definedName name="hosname14" localSheetId="2">[7]Parameters!$C$446</definedName>
    <definedName name="hosname14">#REF!</definedName>
    <definedName name="hosname15" localSheetId="2">[7]Parameters!$C$447</definedName>
    <definedName name="hosname15">#REF!</definedName>
    <definedName name="hosname16" localSheetId="2">[7]Parameters!$C$448</definedName>
    <definedName name="hosname16">#REF!</definedName>
    <definedName name="hosname17" localSheetId="2">[7]Parameters!$C$449</definedName>
    <definedName name="hosname17">#REF!</definedName>
    <definedName name="hosname18" localSheetId="2">[7]Parameters!$C$450</definedName>
    <definedName name="hosname18">#REF!</definedName>
    <definedName name="hosname19" localSheetId="2">[7]Parameters!$C$451</definedName>
    <definedName name="hosname19">#REF!</definedName>
    <definedName name="hosname20" localSheetId="2">[7]Parameters!$C$452</definedName>
    <definedName name="hosname20">#REF!</definedName>
    <definedName name="hosname21" localSheetId="2">[7]Parameters!$C$453</definedName>
    <definedName name="hosname21">#REF!</definedName>
    <definedName name="hossal11" localSheetId="2">[7]Parameters!$E$443</definedName>
    <definedName name="hossal11">#REF!</definedName>
    <definedName name="hossal12" localSheetId="2">[7]Parameters!$E$444</definedName>
    <definedName name="hossal12">#REF!</definedName>
    <definedName name="hossal13" localSheetId="2">[7]Parameters!$E$445</definedName>
    <definedName name="hossal13">#REF!</definedName>
    <definedName name="hossal14" localSheetId="2">[7]Parameters!$E$446</definedName>
    <definedName name="hossal14">#REF!</definedName>
    <definedName name="hossal15" localSheetId="2">[7]Parameters!$E$447</definedName>
    <definedName name="hossal15">#REF!</definedName>
    <definedName name="hossal16" localSheetId="2">[7]Parameters!$E$448</definedName>
    <definedName name="hossal16">#REF!</definedName>
    <definedName name="hossal17" localSheetId="2">[7]Parameters!$E$449</definedName>
    <definedName name="hossal17">#REF!</definedName>
    <definedName name="hossal18" localSheetId="2">[7]Parameters!$E$450</definedName>
    <definedName name="hossal18">#REF!</definedName>
    <definedName name="hossal19" localSheetId="2">[7]Parameters!$E$451</definedName>
    <definedName name="hossal19">#REF!</definedName>
    <definedName name="hossal20" localSheetId="2">[7]Parameters!$E$452</definedName>
    <definedName name="hossal20">#REF!</definedName>
    <definedName name="hossal21" localSheetId="2">[7]Parameters!$E$453</definedName>
    <definedName name="hossal21">#REF!</definedName>
    <definedName name="hours_m">166.67</definedName>
    <definedName name="hours_y">1833</definedName>
    <definedName name="HQ_Fringe">#REF!</definedName>
    <definedName name="huehuetenango">#REF!</definedName>
    <definedName name="iff">0.0075</definedName>
    <definedName name="IIEclin1">#REF!</definedName>
    <definedName name="iieclin2">#REF!</definedName>
    <definedName name="iieclin3">#REF!</definedName>
    <definedName name="IMCC">#N/A</definedName>
    <definedName name="IN" localSheetId="2">'[25]DETAIL Burkina Faso'!$R$3</definedName>
    <definedName name="IN">#REF!</definedName>
    <definedName name="Indirect1" localSheetId="2">#REF!</definedName>
    <definedName name="Indirect1">#REF!</definedName>
    <definedName name="inf" localSheetId="2">#REF!</definedName>
    <definedName name="inf">#REF!</definedName>
    <definedName name="infl" localSheetId="2">[5]Parameters!$D$8</definedName>
    <definedName name="infl">#REF!</definedName>
    <definedName name="INFLATE" localSheetId="2">[10]RATES!#REF!</definedName>
    <definedName name="INFLATE">#REF!</definedName>
    <definedName name="Inflation" localSheetId="2">'[28]Detail-1'!$J$2</definedName>
    <definedName name="Inflation">#REF!</definedName>
    <definedName name="Inflation_factor_year_1" localSheetId="2">#REF!</definedName>
    <definedName name="Inflation_factor_year_1">#REF!</definedName>
    <definedName name="Inflation_factor_year_2" localSheetId="2">#REF!</definedName>
    <definedName name="Inflation_factor_year_2">#REF!</definedName>
    <definedName name="Inflation_factor_year_3" localSheetId="2">#REF!</definedName>
    <definedName name="Inflation_factor_year_3">#REF!</definedName>
    <definedName name="Inflation_factor_year_4">#REF!</definedName>
    <definedName name="Inflation_factor_year_5">#REF!</definedName>
    <definedName name="INODC" localSheetId="2">'[25]DETAIL Burkina Faso'!$R$4</definedName>
    <definedName name="INODC">#REF!</definedName>
    <definedName name="Insti11" localSheetId="2">[10]RATES!#REF!</definedName>
    <definedName name="Insti11">#REF!</definedName>
    <definedName name="Insti12" localSheetId="2">[10]RATES!#REF!</definedName>
    <definedName name="Insti12">#REF!</definedName>
    <definedName name="Insti13" localSheetId="2">[10]RATES!#REF!</definedName>
    <definedName name="Insti13">#REF!</definedName>
    <definedName name="Insti41" localSheetId="2">[10]RATES!#REF!</definedName>
    <definedName name="Insti41">#REF!</definedName>
    <definedName name="Insti42" localSheetId="2">[10]RATES!#REF!</definedName>
    <definedName name="Insti42">#REF!</definedName>
    <definedName name="Insti43" localSheetId="2">[10]RATES!#REF!</definedName>
    <definedName name="Insti43">#REF!</definedName>
    <definedName name="Insti51" localSheetId="2">[10]RATES!#REF!</definedName>
    <definedName name="Insti51">#REF!</definedName>
    <definedName name="Insti52" localSheetId="2">[10]RATES!#REF!</definedName>
    <definedName name="Insti52">#REF!</definedName>
    <definedName name="Insti53" localSheetId="2">[10]RATES!#REF!</definedName>
    <definedName name="Insti53">#REF!</definedName>
    <definedName name="INSTRUCT" localSheetId="2">#REF!</definedName>
    <definedName name="INSTRUCT">#REF!</definedName>
    <definedName name="INTERMIT">#N/A</definedName>
    <definedName name="interregion" localSheetId="2">[5]Parameters!$D$42</definedName>
    <definedName name="interregion">#REF!</definedName>
    <definedName name="intlrtecon" localSheetId="2">[5]Parameters!$D$26</definedName>
    <definedName name="intlrtecon">#REF!</definedName>
    <definedName name="intraregion" localSheetId="2">[5]Parameters!$D$43</definedName>
    <definedName name="intraregion">#REF!</definedName>
    <definedName name="ird" localSheetId="2">#REF!</definedName>
    <definedName name="ird">#REF!</definedName>
    <definedName name="ISTI1">#N/A</definedName>
    <definedName name="ISTI4">#N/A</definedName>
    <definedName name="ITE_Client" localSheetId="2">#REF!</definedName>
    <definedName name="ITE_Client">#REF!</definedName>
    <definedName name="ITE_Int" localSheetId="2">#REF!</definedName>
    <definedName name="ITE_Int">#REF!</definedName>
    <definedName name="ITE_lab">#REF!</definedName>
    <definedName name="ITE_Off">#REF!</definedName>
    <definedName name="ITE_OffOther">#REF!</definedName>
    <definedName name="ITE_on">#REF!</definedName>
    <definedName name="ITE_OnOther">#REF!</definedName>
    <definedName name="ITSH" localSheetId="2">'[24]Drp Down Menu lists '!$C$1:$C$3</definedName>
    <definedName name="ITSH">#REF!</definedName>
    <definedName name="JAAscenariodata" localSheetId="2">'[21]Summary Budget'!$O$6:$V$7</definedName>
    <definedName name="JAAscenariodata">#REF!</definedName>
    <definedName name="jea" localSheetId="2" hidden="1">{#N/A,#N/A,FALSE,"ManLoading"}</definedName>
    <definedName name="jea" hidden="1">{#N/A,#N/A,FALSE,"ManLoading"}</definedName>
    <definedName name="JH" localSheetId="2" hidden="1">{"PAGE1",#N/A,FALSE,"CPFFMSTR";"PAGE2",#N/A,FALSE,"CPFFMSTR"}</definedName>
    <definedName name="JH" hidden="1">{"PAGE1",#N/A,FALSE,"CPFFMSTR";"PAGE2",#N/A,FALSE,"CPFFMSTR"}</definedName>
    <definedName name="JKHJ" localSheetId="2" hidden="1">{"PAGE1",#N/A,FALSE,"CPFFMSTR";"PAGE2",#N/A,FALSE,"CPFFMSTR"}</definedName>
    <definedName name="JKHJ" hidden="1">{"PAGE1",#N/A,FALSE,"CPFFMSTR";"PAGE2",#N/A,FALSE,"CPFFMSTR"}</definedName>
    <definedName name="kkk" localSheetId="2">'[9]Data-in process'!$C$3:$C$67</definedName>
    <definedName name="kkk">#REF!</definedName>
    <definedName name="Labor" localSheetId="2">'[29]DAI Budget '!$A$12:$Y$63</definedName>
    <definedName name="Labor">#REF!</definedName>
    <definedName name="Labor_Categories" localSheetId="2">#REF!</definedName>
    <definedName name="Labor_Categories">#REF!</definedName>
    <definedName name="Labor_categories_and_levels" localSheetId="2">'[30]AMAP-MF'!$K$9:$K$33</definedName>
    <definedName name="Labor_categories_and_levels">#REF!</definedName>
    <definedName name="Labor_category_and_level" localSheetId="2">'[31]AMAP-MF'!#REF!</definedName>
    <definedName name="Labor_category_and_level">#REF!</definedName>
    <definedName name="Labor_Escalation" localSheetId="2">#REF!</definedName>
    <definedName name="Labor_Escalation">#REF!</definedName>
    <definedName name="Labor_Escalation_DPK" localSheetId="2">[32]Assumptions!$B$9</definedName>
    <definedName name="Labor_Escalation_DPK">#REF!</definedName>
    <definedName name="LABOR1">#N/A</definedName>
    <definedName name="LABOR2">#N/A</definedName>
    <definedName name="LBI" localSheetId="2">[16]Assumptions!$H$13</definedName>
    <definedName name="LBI">#REF!</definedName>
    <definedName name="Lease" localSheetId="2" hidden="1">#REF!</definedName>
    <definedName name="Lease" hidden="1">#REF!</definedName>
    <definedName name="lieclin4" localSheetId="2">#REF!</definedName>
    <definedName name="lieclin4">#REF!</definedName>
    <definedName name="limaregion" localSheetId="2">[5]Parameters!$D$41</definedName>
    <definedName name="limaregion">#REF!</definedName>
    <definedName name="Local_Fringe" localSheetId="2">#REF!</definedName>
    <definedName name="Local_Fringe">#REF!</definedName>
    <definedName name="Localclin1" localSheetId="2">#REF!</definedName>
    <definedName name="Localclin1">#REF!</definedName>
    <definedName name="localclin2" localSheetId="2">#REF!</definedName>
    <definedName name="localclin2">#REF!</definedName>
    <definedName name="localclin3">#REF!</definedName>
    <definedName name="localfr" localSheetId="2">[5]Parameters!$D$11</definedName>
    <definedName name="localfr">#REF!</definedName>
    <definedName name="localperdiem" localSheetId="2">#REF!</definedName>
    <definedName name="localperdiem">#REF!</definedName>
    <definedName name="localsalinc" localSheetId="2">[12]Sheet1!$C$9</definedName>
    <definedName name="localsalinc">#REF!</definedName>
    <definedName name="localsalincrease" localSheetId="2">#REF!</definedName>
    <definedName name="localsalincrease">#REF!</definedName>
    <definedName name="localsstpercent" localSheetId="2">[5]Parameters!$D$32</definedName>
    <definedName name="localsstpercent">#REF!</definedName>
    <definedName name="localsttrip" localSheetId="2">[5]Parameters!$D$33</definedName>
    <definedName name="localsttrip">#REF!</definedName>
    <definedName name="localtravel" localSheetId="2">[16]Assumptions!$G$36:$J$46</definedName>
    <definedName name="localtravel">#REF!</definedName>
    <definedName name="localtripfactor" localSheetId="2">[12]Sheet1!$C$20</definedName>
    <definedName name="localtripfactor">#REF!</definedName>
    <definedName name="LOE">#N/A</definedName>
    <definedName name="lqa" localSheetId="2">[5]Parameters!$D$48</definedName>
    <definedName name="lqa">#REF!</definedName>
    <definedName name="LQA2wf" localSheetId="2">[17]Parameters!$B$15</definedName>
    <definedName name="LQA2wf">#REF!</definedName>
    <definedName name="LRA" localSheetId="2">#REF!</definedName>
    <definedName name="LRA">#REF!</definedName>
    <definedName name="ltlp" localSheetId="2">[7]Parameters!$A$128</definedName>
    <definedName name="ltlp">#REF!</definedName>
    <definedName name="ltlp1" localSheetId="2">[7]Parameters!$A$130</definedName>
    <definedName name="ltlp1">#REF!</definedName>
    <definedName name="ltlp10" localSheetId="2">[7]Parameters!$A$139</definedName>
    <definedName name="ltlp10">#REF!</definedName>
    <definedName name="ltlp10co" localSheetId="2">[7]Parameters!$G$139</definedName>
    <definedName name="ltlp10co">#REF!</definedName>
    <definedName name="ltlp10name" localSheetId="2">[7]Parameters!$C$139</definedName>
    <definedName name="ltlp10name">#REF!</definedName>
    <definedName name="ltlp10sal1" localSheetId="2">[7]Parameters!$E$139</definedName>
    <definedName name="ltlp10sal1">#REF!</definedName>
    <definedName name="ltlp11" localSheetId="2">[7]Parameters!$A$140</definedName>
    <definedName name="ltlp11">#REF!</definedName>
    <definedName name="ltlp11co" localSheetId="2">[7]Parameters!$G$140</definedName>
    <definedName name="ltlp11co">#REF!</definedName>
    <definedName name="ltlp11name" localSheetId="2">[7]Parameters!$C$140</definedName>
    <definedName name="ltlp11name">#REF!</definedName>
    <definedName name="ltlp11sal1" localSheetId="2">[7]Parameters!$E$140</definedName>
    <definedName name="ltlp11sal1">#REF!</definedName>
    <definedName name="ltlp12" localSheetId="2">[7]Parameters!$A$141</definedName>
    <definedName name="ltlp12">#REF!</definedName>
    <definedName name="ltlp12co" localSheetId="2">[7]Parameters!$G$141</definedName>
    <definedName name="ltlp12co">#REF!</definedName>
    <definedName name="ltlp12name" localSheetId="2">[7]Parameters!$C$141</definedName>
    <definedName name="ltlp12name">#REF!</definedName>
    <definedName name="ltlp12sal1" localSheetId="2">[7]Parameters!$E$141</definedName>
    <definedName name="ltlp12sal1">#REF!</definedName>
    <definedName name="ltlp13" localSheetId="2">[7]Parameters!$A$142</definedName>
    <definedName name="ltlp13">#REF!</definedName>
    <definedName name="ltlp13co" localSheetId="2">[7]Parameters!$G$142</definedName>
    <definedName name="ltlp13co">#REF!</definedName>
    <definedName name="ltlp13name" localSheetId="2">[7]Parameters!$C$142</definedName>
    <definedName name="ltlp13name">#REF!</definedName>
    <definedName name="ltlp13sal1" localSheetId="2">[7]Parameters!$E$142</definedName>
    <definedName name="ltlp13sal1">#REF!</definedName>
    <definedName name="ltlp14" localSheetId="2">[7]Parameters!$A$143</definedName>
    <definedName name="ltlp14">#REF!</definedName>
    <definedName name="ltlp14co" localSheetId="2">[7]Parameters!$G$143</definedName>
    <definedName name="ltlp14co">#REF!</definedName>
    <definedName name="ltlp14name" localSheetId="2">[7]Parameters!$C$143</definedName>
    <definedName name="ltlp14name">#REF!</definedName>
    <definedName name="ltlp14sal1" localSheetId="2">[7]Parameters!$E$143</definedName>
    <definedName name="ltlp14sal1">#REF!</definedName>
    <definedName name="ltlp15" localSheetId="2">[7]Parameters!$A$144</definedName>
    <definedName name="ltlp15">#REF!</definedName>
    <definedName name="ltlp15co" localSheetId="2">[7]Parameters!$G$144</definedName>
    <definedName name="ltlp15co">#REF!</definedName>
    <definedName name="ltlp15name" localSheetId="2">[7]Parameters!$C$144</definedName>
    <definedName name="ltlp15name">#REF!</definedName>
    <definedName name="ltlp15sal1" localSheetId="2">[7]Parameters!$E$144</definedName>
    <definedName name="ltlp15sal1">#REF!</definedName>
    <definedName name="ltlp16" localSheetId="2">[7]Parameters!$A$145</definedName>
    <definedName name="ltlp16">#REF!</definedName>
    <definedName name="ltlp16co" localSheetId="2">[7]Parameters!$G$145</definedName>
    <definedName name="ltlp16co">#REF!</definedName>
    <definedName name="ltlp16name" localSheetId="2">[7]Parameters!$C$145</definedName>
    <definedName name="ltlp16name">#REF!</definedName>
    <definedName name="ltlp16sal1" localSheetId="2">[7]Parameters!$E$145</definedName>
    <definedName name="ltlp16sal1">#REF!</definedName>
    <definedName name="ltlp17" localSheetId="2">[7]Parameters!$A$146</definedName>
    <definedName name="ltlp17">#REF!</definedName>
    <definedName name="ltlp17co" localSheetId="2">[7]Parameters!$G$146</definedName>
    <definedName name="ltlp17co">#REF!</definedName>
    <definedName name="ltlp17name" localSheetId="2">[7]Parameters!$C$146</definedName>
    <definedName name="ltlp17name">#REF!</definedName>
    <definedName name="ltlp17sal1" localSheetId="2">[7]Parameters!$E$146</definedName>
    <definedName name="ltlp17sal1">#REF!</definedName>
    <definedName name="ltlp18" localSheetId="2">[7]Parameters!$A$147</definedName>
    <definedName name="ltlp18">#REF!</definedName>
    <definedName name="ltlp18co" localSheetId="2">[7]Parameters!$G$147</definedName>
    <definedName name="ltlp18co">#REF!</definedName>
    <definedName name="ltlp18name" localSheetId="2">[7]Parameters!$C$147</definedName>
    <definedName name="ltlp18name">#REF!</definedName>
    <definedName name="ltlp18sal1" localSheetId="2">[7]Parameters!$E$147</definedName>
    <definedName name="ltlp18sal1">#REF!</definedName>
    <definedName name="ltlp19" localSheetId="2">[7]Parameters!$A$148</definedName>
    <definedName name="ltlp19">#REF!</definedName>
    <definedName name="ltlp19co" localSheetId="2">[7]Parameters!$G$148</definedName>
    <definedName name="ltlp19co">#REF!</definedName>
    <definedName name="ltlp19name" localSheetId="2">[7]Parameters!$C$148</definedName>
    <definedName name="ltlp19name">#REF!</definedName>
    <definedName name="ltlp19sal1" localSheetId="2">[7]Parameters!$E$148</definedName>
    <definedName name="ltlp19sal1">#REF!</definedName>
    <definedName name="ltlp1co" localSheetId="2">[7]Parameters!$G$130</definedName>
    <definedName name="ltlp1co">#REF!</definedName>
    <definedName name="ltlp1name" localSheetId="2">[7]Parameters!$C$130</definedName>
    <definedName name="ltlp1name">#REF!</definedName>
    <definedName name="ltlp1sal1" localSheetId="2">[7]Parameters!$E$130</definedName>
    <definedName name="ltlp1sal1">#REF!</definedName>
    <definedName name="ltlp2" localSheetId="2">[7]Parameters!$A$131</definedName>
    <definedName name="ltlp2">#REF!</definedName>
    <definedName name="ltlp20" localSheetId="2">[7]Parameters!$A$149</definedName>
    <definedName name="ltlp20">#REF!</definedName>
    <definedName name="ltlp20co" localSheetId="2">[7]Parameters!$G$149</definedName>
    <definedName name="ltlp20co">#REF!</definedName>
    <definedName name="ltlp20name" localSheetId="2">[7]Parameters!$C$149</definedName>
    <definedName name="ltlp20name">#REF!</definedName>
    <definedName name="ltlp20sal1" localSheetId="2">[7]Parameters!$E$149</definedName>
    <definedName name="ltlp20sal1">#REF!</definedName>
    <definedName name="ltlp21" localSheetId="2">[7]Parameters!$A$150</definedName>
    <definedName name="ltlp21">#REF!</definedName>
    <definedName name="ltlp21co" localSheetId="2">[7]Parameters!$G$150</definedName>
    <definedName name="ltlp21co">#REF!</definedName>
    <definedName name="ltlp21name" localSheetId="2">[7]Parameters!$C$150</definedName>
    <definedName name="ltlp21name">#REF!</definedName>
    <definedName name="ltlp21sal1" localSheetId="2">[7]Parameters!$E$150</definedName>
    <definedName name="ltlp21sal1">#REF!</definedName>
    <definedName name="ltlp22" localSheetId="2">[7]Parameters!$A$151</definedName>
    <definedName name="ltlp22">#REF!</definedName>
    <definedName name="ltlp22co" localSheetId="2">[7]Parameters!$G$151</definedName>
    <definedName name="ltlp22co">#REF!</definedName>
    <definedName name="ltlp22name" localSheetId="2">[7]Parameters!$C$151</definedName>
    <definedName name="ltlp22name">#REF!</definedName>
    <definedName name="ltlp22sal1" localSheetId="2">[7]Parameters!$E$151</definedName>
    <definedName name="ltlp22sal1">#REF!</definedName>
    <definedName name="ltlp23" localSheetId="2">[7]Parameters!$A$152</definedName>
    <definedName name="ltlp23">#REF!</definedName>
    <definedName name="ltlp23co" localSheetId="2">[7]Parameters!$G$152</definedName>
    <definedName name="ltlp23co">#REF!</definedName>
    <definedName name="ltlp23name" localSheetId="2">[7]Parameters!$C$152</definedName>
    <definedName name="ltlp23name">#REF!</definedName>
    <definedName name="ltlp23sal1" localSheetId="2">[7]Parameters!$E$152</definedName>
    <definedName name="ltlp23sal1">#REF!</definedName>
    <definedName name="ltlp24" localSheetId="2">[7]Parameters!$A$153</definedName>
    <definedName name="ltlp24">#REF!</definedName>
    <definedName name="ltlp24co" localSheetId="2">[7]Parameters!$G$153</definedName>
    <definedName name="ltlp24co">#REF!</definedName>
    <definedName name="ltlp24name" localSheetId="2">[7]Parameters!$C$153</definedName>
    <definedName name="ltlp24name">#REF!</definedName>
    <definedName name="ltlp24sal1" localSheetId="2">[7]Parameters!$E$153</definedName>
    <definedName name="ltlp24sal1">#REF!</definedName>
    <definedName name="ltlp25" localSheetId="2">[7]Parameters!$A$154</definedName>
    <definedName name="ltlp25">#REF!</definedName>
    <definedName name="ltlp26" localSheetId="2">[7]Parameters!$A$155</definedName>
    <definedName name="ltlp26">#REF!</definedName>
    <definedName name="ltlp27" localSheetId="2">[7]Parameters!$A$156</definedName>
    <definedName name="ltlp27">#REF!</definedName>
    <definedName name="ltlp28" localSheetId="2">[7]Parameters!$A$157</definedName>
    <definedName name="ltlp28">#REF!</definedName>
    <definedName name="ltlp29" localSheetId="2">[7]Parameters!$A$158</definedName>
    <definedName name="ltlp29">#REF!</definedName>
    <definedName name="ltlp2co" localSheetId="2">[7]Parameters!$G$131</definedName>
    <definedName name="ltlp2co">#REF!</definedName>
    <definedName name="ltlp2name" localSheetId="2">[7]Parameters!$C$131</definedName>
    <definedName name="ltlp2name">#REF!</definedName>
    <definedName name="ltlp2sal1" localSheetId="2">[7]Parameters!$E$131</definedName>
    <definedName name="ltlp2sal1">#REF!</definedName>
    <definedName name="ltlp3" localSheetId="2">[7]Parameters!$A$132</definedName>
    <definedName name="ltlp3">#REF!</definedName>
    <definedName name="ltlp30" localSheetId="2">[7]Parameters!$A$159</definedName>
    <definedName name="ltlp30">#REF!</definedName>
    <definedName name="ltlp31" localSheetId="2">[7]Parameters!$A$160</definedName>
    <definedName name="ltlp31">#REF!</definedName>
    <definedName name="ltlp32" localSheetId="2">[7]Parameters!$A$161</definedName>
    <definedName name="ltlp32">#REF!</definedName>
    <definedName name="ltlp33" localSheetId="2">[7]Parameters!$A$162</definedName>
    <definedName name="ltlp33">#REF!</definedName>
    <definedName name="ltlp34" localSheetId="2">[7]Parameters!$A$163</definedName>
    <definedName name="ltlp34">#REF!</definedName>
    <definedName name="ltlp35" localSheetId="2">[7]Parameters!$A$164</definedName>
    <definedName name="ltlp35">#REF!</definedName>
    <definedName name="ltlp36" localSheetId="2">[7]Parameters!$A$165</definedName>
    <definedName name="ltlp36">#REF!</definedName>
    <definedName name="ltlp37" localSheetId="2">[7]Parameters!$A$166</definedName>
    <definedName name="ltlp37">#REF!</definedName>
    <definedName name="ltlp38" localSheetId="2">[7]Parameters!$A$167</definedName>
    <definedName name="ltlp38">#REF!</definedName>
    <definedName name="ltlp39" localSheetId="2">[7]Parameters!$A$168</definedName>
    <definedName name="ltlp39">#REF!</definedName>
    <definedName name="ltlp3co" localSheetId="2">[7]Parameters!$G$132</definedName>
    <definedName name="ltlp3co">#REF!</definedName>
    <definedName name="ltlp3name" localSheetId="2">[7]Parameters!$C$132</definedName>
    <definedName name="ltlp3name">#REF!</definedName>
    <definedName name="ltlp3sal1" localSheetId="2">[7]Parameters!$E$132</definedName>
    <definedName name="ltlp3sal1">#REF!</definedName>
    <definedName name="ltlp4" localSheetId="2">[7]Parameters!$A$133</definedName>
    <definedName name="ltlp4">#REF!</definedName>
    <definedName name="ltlp40" localSheetId="2">[7]Parameters!$A$169</definedName>
    <definedName name="ltlp40">#REF!</definedName>
    <definedName name="ltlp41" localSheetId="2">[7]Parameters!$A$170</definedName>
    <definedName name="ltlp41">#REF!</definedName>
    <definedName name="ltlp42" localSheetId="2">[7]Parameters!$A$171</definedName>
    <definedName name="ltlp42">#REF!</definedName>
    <definedName name="ltlp43" localSheetId="2">[7]Parameters!$A$172</definedName>
    <definedName name="ltlp43">#REF!</definedName>
    <definedName name="ltlp44" localSheetId="2">[7]Parameters!$A$173</definedName>
    <definedName name="ltlp44">#REF!</definedName>
    <definedName name="ltlp45" localSheetId="2">[7]Parameters!$A$174</definedName>
    <definedName name="ltlp45">#REF!</definedName>
    <definedName name="ltlp46" localSheetId="2">[7]Parameters!$A$175</definedName>
    <definedName name="ltlp46">#REF!</definedName>
    <definedName name="ltlp47" localSheetId="2">[7]Parameters!$A$176</definedName>
    <definedName name="ltlp47">#REF!</definedName>
    <definedName name="ltlp48" localSheetId="2">[7]Parameters!$A$177</definedName>
    <definedName name="ltlp48">#REF!</definedName>
    <definedName name="ltlp49" localSheetId="2">[7]Parameters!$A$178</definedName>
    <definedName name="ltlp49">#REF!</definedName>
    <definedName name="ltlp4co" localSheetId="2">[7]Parameters!$G$133</definedName>
    <definedName name="ltlp4co">#REF!</definedName>
    <definedName name="ltlp4name" localSheetId="2">[7]Parameters!$C$133</definedName>
    <definedName name="ltlp4name">#REF!</definedName>
    <definedName name="ltlp4sal1" localSheetId="2">[7]Parameters!$E$133</definedName>
    <definedName name="ltlp4sal1">#REF!</definedName>
    <definedName name="ltlp5" localSheetId="2">[7]Parameters!$A$134</definedName>
    <definedName name="ltlp5">#REF!</definedName>
    <definedName name="ltlp50" localSheetId="2">[7]Parameters!$A$179</definedName>
    <definedName name="ltlp50">#REF!</definedName>
    <definedName name="ltlp51" localSheetId="2">[7]Parameters!$A$180</definedName>
    <definedName name="ltlp51">#REF!</definedName>
    <definedName name="ltlp52" localSheetId="2">[7]Parameters!$A$181</definedName>
    <definedName name="ltlp52">#REF!</definedName>
    <definedName name="ltlp53" localSheetId="2">[7]Parameters!$A$182</definedName>
    <definedName name="ltlp53">#REF!</definedName>
    <definedName name="ltlp54" localSheetId="2">[7]Parameters!$A$183</definedName>
    <definedName name="ltlp54">#REF!</definedName>
    <definedName name="ltlp55" localSheetId="2">[7]Parameters!$A$184</definedName>
    <definedName name="ltlp55">#REF!</definedName>
    <definedName name="ltlp56" localSheetId="2">[7]Parameters!$A$185</definedName>
    <definedName name="ltlp56">#REF!</definedName>
    <definedName name="ltlp57" localSheetId="2">[7]Parameters!$A$186</definedName>
    <definedName name="ltlp57">#REF!</definedName>
    <definedName name="ltlp58" localSheetId="2">[7]Parameters!$A$187</definedName>
    <definedName name="ltlp58">#REF!</definedName>
    <definedName name="ltlp59" localSheetId="2">[7]Parameters!$A$188</definedName>
    <definedName name="ltlp59">#REF!</definedName>
    <definedName name="ltlp5co" localSheetId="2">[7]Parameters!$G$134</definedName>
    <definedName name="ltlp5co">#REF!</definedName>
    <definedName name="ltlp5name" localSheetId="2">[7]Parameters!$C$134</definedName>
    <definedName name="ltlp5name">#REF!</definedName>
    <definedName name="ltlp5sal1" localSheetId="2">[7]Parameters!$E$134</definedName>
    <definedName name="ltlp5sal1">#REF!</definedName>
    <definedName name="ltlp6" localSheetId="2">[7]Parameters!$A$135</definedName>
    <definedName name="ltlp6">#REF!</definedName>
    <definedName name="ltlp60" localSheetId="2">[7]Parameters!$A$189</definedName>
    <definedName name="ltlp60">#REF!</definedName>
    <definedName name="ltlp61" localSheetId="2">[7]Parameters!$A$190</definedName>
    <definedName name="ltlp61">#REF!</definedName>
    <definedName name="ltlp62" localSheetId="2">[7]Parameters!$A$191</definedName>
    <definedName name="ltlp62">#REF!</definedName>
    <definedName name="ltlp63" localSheetId="2">[7]Parameters!$A$192</definedName>
    <definedName name="ltlp63">#REF!</definedName>
    <definedName name="ltlp64" localSheetId="2">[7]Parameters!$A$193</definedName>
    <definedName name="ltlp64">#REF!</definedName>
    <definedName name="ltlp65" localSheetId="2">[7]Parameters!$A$194</definedName>
    <definedName name="ltlp65">#REF!</definedName>
    <definedName name="ltlp66" localSheetId="2">[7]Parameters!$A$195</definedName>
    <definedName name="ltlp66">#REF!</definedName>
    <definedName name="ltlp67" localSheetId="2">[7]Parameters!$A$196</definedName>
    <definedName name="ltlp67">#REF!</definedName>
    <definedName name="ltlp68" localSheetId="2">[7]Parameters!$A$197</definedName>
    <definedName name="ltlp68">#REF!</definedName>
    <definedName name="ltlp69" localSheetId="2">[7]Parameters!$A$198</definedName>
    <definedName name="ltlp69">#REF!</definedName>
    <definedName name="ltlp6co" localSheetId="2">[7]Parameters!$G$135</definedName>
    <definedName name="ltlp6co">#REF!</definedName>
    <definedName name="ltlp6name" localSheetId="2">[7]Parameters!$C$135</definedName>
    <definedName name="ltlp6name">#REF!</definedName>
    <definedName name="ltlp6sal1" localSheetId="2">[7]Parameters!$E$135</definedName>
    <definedName name="ltlp6sal1">#REF!</definedName>
    <definedName name="ltlp7" localSheetId="2">[7]Parameters!$A$136</definedName>
    <definedName name="ltlp7">#REF!</definedName>
    <definedName name="ltlp70" localSheetId="2">[7]Parameters!$A$199</definedName>
    <definedName name="ltlp70">#REF!</definedName>
    <definedName name="ltlp71" localSheetId="2">[7]Parameters!$A$200</definedName>
    <definedName name="ltlp71">#REF!</definedName>
    <definedName name="ltlp72" localSheetId="2">[7]Parameters!$A$201</definedName>
    <definedName name="ltlp72">#REF!</definedName>
    <definedName name="ltlp73" localSheetId="2">[7]Parameters!$A$202</definedName>
    <definedName name="ltlp73">#REF!</definedName>
    <definedName name="ltlp74" localSheetId="2">[7]Parameters!$A$203</definedName>
    <definedName name="ltlp74">#REF!</definedName>
    <definedName name="ltlp75" localSheetId="2">[7]Parameters!$A$204</definedName>
    <definedName name="ltlp75">#REF!</definedName>
    <definedName name="ltlp76" localSheetId="2">[7]Parameters!$A$205</definedName>
    <definedName name="ltlp76">#REF!</definedName>
    <definedName name="ltlp7co" localSheetId="2">[7]Parameters!$G$136</definedName>
    <definedName name="ltlp7co">#REF!</definedName>
    <definedName name="ltlp7name" localSheetId="2">[7]Parameters!$C$136</definedName>
    <definedName name="ltlp7name">#REF!</definedName>
    <definedName name="ltlp7sal1" localSheetId="2">[7]Parameters!$E$136</definedName>
    <definedName name="ltlp7sal1">#REF!</definedName>
    <definedName name="ltlp8" localSheetId="2">[7]Parameters!$A$137</definedName>
    <definedName name="ltlp8">#REF!</definedName>
    <definedName name="ltlp8co" localSheetId="2">[7]Parameters!$G$137</definedName>
    <definedName name="ltlp8co">#REF!</definedName>
    <definedName name="ltlp8name" localSheetId="2">[7]Parameters!$C$137</definedName>
    <definedName name="ltlp8name">#REF!</definedName>
    <definedName name="ltlp8sal1" localSheetId="2">[7]Parameters!$E$137</definedName>
    <definedName name="ltlp8sal1">#REF!</definedName>
    <definedName name="ltlp9" localSheetId="2">[7]Parameters!$A$138</definedName>
    <definedName name="ltlp9">#REF!</definedName>
    <definedName name="ltlp9co" localSheetId="2">[7]Parameters!$G$138</definedName>
    <definedName name="ltlp9co">#REF!</definedName>
    <definedName name="ltlp9name" localSheetId="2">[7]Parameters!$C$138</definedName>
    <definedName name="ltlp9name">#REF!</definedName>
    <definedName name="ltlp9sal1" localSheetId="2">[7]Parameters!$E$138</definedName>
    <definedName name="ltlp9sal1">#REF!</definedName>
    <definedName name="ltlpco25" localSheetId="2">[7]Parameters!$G$154</definedName>
    <definedName name="ltlpco25">#REF!</definedName>
    <definedName name="ltlpco26" localSheetId="2">[7]Parameters!$G$155</definedName>
    <definedName name="ltlpco26">#REF!</definedName>
    <definedName name="ltlpco27" localSheetId="2">[7]Parameters!$G$156</definedName>
    <definedName name="ltlpco27">#REF!</definedName>
    <definedName name="ltlpco28" localSheetId="2">[7]Parameters!$G$157</definedName>
    <definedName name="ltlpco28">#REF!</definedName>
    <definedName name="ltlpco29" localSheetId="2">[7]Parameters!$G$158</definedName>
    <definedName name="ltlpco29">#REF!</definedName>
    <definedName name="ltlpco30" localSheetId="2">[7]Parameters!$G$159</definedName>
    <definedName name="ltlpco30">#REF!</definedName>
    <definedName name="ltlpco31" localSheetId="2">[7]Parameters!$G$160</definedName>
    <definedName name="ltlpco31">#REF!</definedName>
    <definedName name="ltlpco32" localSheetId="2">[7]Parameters!$G$161</definedName>
    <definedName name="ltlpco32">#REF!</definedName>
    <definedName name="ltlpco33" localSheetId="2">[7]Parameters!$G$162</definedName>
    <definedName name="ltlpco33">#REF!</definedName>
    <definedName name="ltlpco34" localSheetId="2">[7]Parameters!$G$163</definedName>
    <definedName name="ltlpco34">#REF!</definedName>
    <definedName name="ltlpco35" localSheetId="2">[7]Parameters!$G$164</definedName>
    <definedName name="ltlpco35">#REF!</definedName>
    <definedName name="ltlpco36" localSheetId="2">[7]Parameters!$G$165</definedName>
    <definedName name="ltlpco36">#REF!</definedName>
    <definedName name="ltlpco37" localSheetId="2">[7]Parameters!$G$166</definedName>
    <definedName name="ltlpco37">#REF!</definedName>
    <definedName name="ltlpco38" localSheetId="2">[7]Parameters!$G$167</definedName>
    <definedName name="ltlpco38">#REF!</definedName>
    <definedName name="ltlpco39" localSheetId="2">[7]Parameters!$G$168</definedName>
    <definedName name="ltlpco39">#REF!</definedName>
    <definedName name="ltlpco40" localSheetId="2">[7]Parameters!$G$169</definedName>
    <definedName name="ltlpco40">#REF!</definedName>
    <definedName name="ltlpco41" localSheetId="2">[7]Parameters!$G$170</definedName>
    <definedName name="ltlpco41">#REF!</definedName>
    <definedName name="ltlpco42" localSheetId="2">[7]Parameters!$G$171</definedName>
    <definedName name="ltlpco42">#REF!</definedName>
    <definedName name="ltlpco43" localSheetId="2">[7]Parameters!$G$172</definedName>
    <definedName name="ltlpco43">#REF!</definedName>
    <definedName name="ltlpco44" localSheetId="2">[7]Parameters!$G$173</definedName>
    <definedName name="ltlpco44">#REF!</definedName>
    <definedName name="ltlpco45" localSheetId="2">[7]Parameters!$G$174</definedName>
    <definedName name="ltlpco45">#REF!</definedName>
    <definedName name="ltlpco46" localSheetId="2">[7]Parameters!$G$175</definedName>
    <definedName name="ltlpco46">#REF!</definedName>
    <definedName name="ltlpco47" localSheetId="2">[7]Parameters!$G$176</definedName>
    <definedName name="ltlpco47">#REF!</definedName>
    <definedName name="ltlpco48" localSheetId="2">[7]Parameters!$G$177</definedName>
    <definedName name="ltlpco48">#REF!</definedName>
    <definedName name="ltlpco49" localSheetId="2">[7]Parameters!$G$178</definedName>
    <definedName name="ltlpco49">#REF!</definedName>
    <definedName name="ltlpco50" localSheetId="2">[7]Parameters!$G$179</definedName>
    <definedName name="ltlpco50">#REF!</definedName>
    <definedName name="ltlpco51" localSheetId="2">[7]Parameters!$G$180</definedName>
    <definedName name="ltlpco51">#REF!</definedName>
    <definedName name="ltlpco52" localSheetId="2">[7]Parameters!$G$181</definedName>
    <definedName name="ltlpco52">#REF!</definedName>
    <definedName name="ltlpco53" localSheetId="2">[7]Parameters!$G$182</definedName>
    <definedName name="ltlpco53">#REF!</definedName>
    <definedName name="ltlpco54" localSheetId="2">[7]Parameters!$G$183</definedName>
    <definedName name="ltlpco54">#REF!</definedName>
    <definedName name="ltlpco55" localSheetId="2">[7]Parameters!$G$184</definedName>
    <definedName name="ltlpco55">#REF!</definedName>
    <definedName name="ltlpco56" localSheetId="2">[7]Parameters!$G$185</definedName>
    <definedName name="ltlpco56">#REF!</definedName>
    <definedName name="ltlpco57" localSheetId="2">[7]Parameters!$G$186</definedName>
    <definedName name="ltlpco57">#REF!</definedName>
    <definedName name="ltlpco58" localSheetId="2">[7]Parameters!$G$187</definedName>
    <definedName name="ltlpco58">#REF!</definedName>
    <definedName name="ltlpco59" localSheetId="2">[7]Parameters!$G$188</definedName>
    <definedName name="ltlpco59">#REF!</definedName>
    <definedName name="ltlpco60" localSheetId="2">[7]Parameters!$G$189</definedName>
    <definedName name="ltlpco60">#REF!</definedName>
    <definedName name="ltlpco61" localSheetId="2">[7]Parameters!$G$190</definedName>
    <definedName name="ltlpco61">#REF!</definedName>
    <definedName name="ltlpco62" localSheetId="2">[7]Parameters!$G$191</definedName>
    <definedName name="ltlpco62">#REF!</definedName>
    <definedName name="ltlpco63" localSheetId="2">[7]Parameters!$G$192</definedName>
    <definedName name="ltlpco63">#REF!</definedName>
    <definedName name="ltlpco64" localSheetId="2">[7]Parameters!$G$193</definedName>
    <definedName name="ltlpco64">#REF!</definedName>
    <definedName name="ltlpco65" localSheetId="2">[7]Parameters!$G$194</definedName>
    <definedName name="ltlpco65">#REF!</definedName>
    <definedName name="ltlpco66" localSheetId="2">[7]Parameters!$G$195</definedName>
    <definedName name="ltlpco66">#REF!</definedName>
    <definedName name="ltlpco67" localSheetId="2">[7]Parameters!$G$196</definedName>
    <definedName name="ltlpco67">#REF!</definedName>
    <definedName name="ltlpco68" localSheetId="2">[7]Parameters!$G$197</definedName>
    <definedName name="ltlpco68">#REF!</definedName>
    <definedName name="ltlpco69" localSheetId="2">[7]Parameters!$G$198</definedName>
    <definedName name="ltlpco69">#REF!</definedName>
    <definedName name="ltlpco70" localSheetId="2">[7]Parameters!$G$199</definedName>
    <definedName name="ltlpco70">#REF!</definedName>
    <definedName name="ltlpco71" localSheetId="2">[7]Parameters!$G$200</definedName>
    <definedName name="ltlpco71">#REF!</definedName>
    <definedName name="ltlpco72" localSheetId="2">[7]Parameters!$G$201</definedName>
    <definedName name="ltlpco72">#REF!</definedName>
    <definedName name="ltlpco73" localSheetId="2">[7]Parameters!$G$202</definedName>
    <definedName name="ltlpco73">#REF!</definedName>
    <definedName name="ltlpco74" localSheetId="2">[7]Parameters!$G$203</definedName>
    <definedName name="ltlpco74">#REF!</definedName>
    <definedName name="ltlpco75" localSheetId="2">[7]Parameters!$G$204</definedName>
    <definedName name="ltlpco75">#REF!</definedName>
    <definedName name="ltlpjob1" localSheetId="2">[7]Parameters!$I$130</definedName>
    <definedName name="ltlpjob1">#REF!</definedName>
    <definedName name="ltlpjob10" localSheetId="2">[7]Parameters!$I$139</definedName>
    <definedName name="ltlpjob10">#REF!</definedName>
    <definedName name="ltlpjob11" localSheetId="2">[7]Parameters!$I$140</definedName>
    <definedName name="ltlpjob11">#REF!</definedName>
    <definedName name="ltlpjob12" localSheetId="2">[7]Parameters!$I$141</definedName>
    <definedName name="ltlpjob12">#REF!</definedName>
    <definedName name="ltlpjob13" localSheetId="2">[7]Parameters!$I$142</definedName>
    <definedName name="ltlpjob13">#REF!</definedName>
    <definedName name="ltlpjob14" localSheetId="2">[7]Parameters!$I$143</definedName>
    <definedName name="ltlpjob14">#REF!</definedName>
    <definedName name="ltlpjob15" localSheetId="2">[7]Parameters!$I$144</definedName>
    <definedName name="ltlpjob15">#REF!</definedName>
    <definedName name="ltlpjob16" localSheetId="2">[7]Parameters!$I$145</definedName>
    <definedName name="ltlpjob16">#REF!</definedName>
    <definedName name="ltlpjob17" localSheetId="2">[7]Parameters!$I$146</definedName>
    <definedName name="ltlpjob17">#REF!</definedName>
    <definedName name="ltlpjob18" localSheetId="2">[7]Parameters!$I$147</definedName>
    <definedName name="ltlpjob18">#REF!</definedName>
    <definedName name="ltlpjob19" localSheetId="2">[7]Parameters!$I$148</definedName>
    <definedName name="ltlpjob19">#REF!</definedName>
    <definedName name="ltlpjob2" localSheetId="2">[7]Parameters!$I$131</definedName>
    <definedName name="ltlpjob2">#REF!</definedName>
    <definedName name="ltlpjob20" localSheetId="2">[7]Parameters!$I$149</definedName>
    <definedName name="ltlpjob20">#REF!</definedName>
    <definedName name="ltlpjob21" localSheetId="2">[7]Parameters!$I$150</definedName>
    <definedName name="ltlpjob21">#REF!</definedName>
    <definedName name="ltlpjob22" localSheetId="2">[7]Parameters!$I$151</definedName>
    <definedName name="ltlpjob22">#REF!</definedName>
    <definedName name="ltlpjob23" localSheetId="2">[7]Parameters!$I$152</definedName>
    <definedName name="ltlpjob23">#REF!</definedName>
    <definedName name="ltlpjob24" localSheetId="2">[7]Parameters!$I$153</definedName>
    <definedName name="ltlpjob24">#REF!</definedName>
    <definedName name="ltlpjob25" localSheetId="2">[7]Parameters!$I$154</definedName>
    <definedName name="ltlpjob25">#REF!</definedName>
    <definedName name="ltlpjob26" localSheetId="2">[7]Parameters!$I$155</definedName>
    <definedName name="ltlpjob26">#REF!</definedName>
    <definedName name="ltlpjob27" localSheetId="2">[7]Parameters!$I$156</definedName>
    <definedName name="ltlpjob27">#REF!</definedName>
    <definedName name="ltlpjob28" localSheetId="2">[7]Parameters!$I$157</definedName>
    <definedName name="ltlpjob28">#REF!</definedName>
    <definedName name="ltlpjob29" localSheetId="2">[7]Parameters!$I$158</definedName>
    <definedName name="ltlpjob29">#REF!</definedName>
    <definedName name="ltlpjob3" localSheetId="2">[7]Parameters!$I$132</definedName>
    <definedName name="ltlpjob3">#REF!</definedName>
    <definedName name="ltlpjob30" localSheetId="2">[7]Parameters!$I$159</definedName>
    <definedName name="ltlpjob30">#REF!</definedName>
    <definedName name="ltlpjob31" localSheetId="2">[7]Parameters!$I$160</definedName>
    <definedName name="ltlpjob31">#REF!</definedName>
    <definedName name="ltlpjob32" localSheetId="2">[7]Parameters!$I$161</definedName>
    <definedName name="ltlpjob32">#REF!</definedName>
    <definedName name="ltlpjob33" localSheetId="2">[7]Parameters!$I$162</definedName>
    <definedName name="ltlpjob33">#REF!</definedName>
    <definedName name="ltlpjob34" localSheetId="2">[7]Parameters!$I$163</definedName>
    <definedName name="ltlpjob34">#REF!</definedName>
    <definedName name="ltlpjob35" localSheetId="2">[7]Parameters!$I$164</definedName>
    <definedName name="ltlpjob35">#REF!</definedName>
    <definedName name="ltlpjob36" localSheetId="2">[7]Parameters!$I$165</definedName>
    <definedName name="ltlpjob36">#REF!</definedName>
    <definedName name="ltlpjob37" localSheetId="2">[7]Parameters!$I$166</definedName>
    <definedName name="ltlpjob37">#REF!</definedName>
    <definedName name="ltlpjob38" localSheetId="2">[7]Parameters!$I$167</definedName>
    <definedName name="ltlpjob38">#REF!</definedName>
    <definedName name="ltlpjob39" localSheetId="2">[7]Parameters!$I$168</definedName>
    <definedName name="ltlpjob39">#REF!</definedName>
    <definedName name="ltlpjob4" localSheetId="2">[7]Parameters!$I$133</definedName>
    <definedName name="ltlpjob4">#REF!</definedName>
    <definedName name="ltlpjob40" localSheetId="2">[7]Parameters!$I$169</definedName>
    <definedName name="ltlpjob40">#REF!</definedName>
    <definedName name="ltlpjob41" localSheetId="2">[7]Parameters!$I$170</definedName>
    <definedName name="ltlpjob41">#REF!</definedName>
    <definedName name="ltlpjob42" localSheetId="2">[7]Parameters!$I$171</definedName>
    <definedName name="ltlpjob42">#REF!</definedName>
    <definedName name="ltlpjob43" localSheetId="2">[7]Parameters!$I$172</definedName>
    <definedName name="ltlpjob43">#REF!</definedName>
    <definedName name="ltlpjob44" localSheetId="2">[7]Parameters!$I$173</definedName>
    <definedName name="ltlpjob44">#REF!</definedName>
    <definedName name="ltlpjob45" localSheetId="2">[7]Parameters!$I$174</definedName>
    <definedName name="ltlpjob45">#REF!</definedName>
    <definedName name="ltlpjob46" localSheetId="2">[7]Parameters!$I$175</definedName>
    <definedName name="ltlpjob46">#REF!</definedName>
    <definedName name="ltlpjob47" localSheetId="2">[7]Parameters!$I$176</definedName>
    <definedName name="ltlpjob47">#REF!</definedName>
    <definedName name="ltlpjob48" localSheetId="2">[7]Parameters!$I$177</definedName>
    <definedName name="ltlpjob48">#REF!</definedName>
    <definedName name="ltlpjob49" localSheetId="2">[7]Parameters!$I$178</definedName>
    <definedName name="ltlpjob49">#REF!</definedName>
    <definedName name="ltlpjob5" localSheetId="2">[7]Parameters!$I$134</definedName>
    <definedName name="ltlpjob5">#REF!</definedName>
    <definedName name="ltlpjob50" localSheetId="2">[7]Parameters!$I$179</definedName>
    <definedName name="ltlpjob50">#REF!</definedName>
    <definedName name="ltlpjob51" localSheetId="2">[7]Parameters!$I$180</definedName>
    <definedName name="ltlpjob51">#REF!</definedName>
    <definedName name="ltlpjob52" localSheetId="2">[7]Parameters!$I$181</definedName>
    <definedName name="ltlpjob52">#REF!</definedName>
    <definedName name="ltlpjob53" localSheetId="2">[7]Parameters!$I$182</definedName>
    <definedName name="ltlpjob53">#REF!</definedName>
    <definedName name="ltlpjob54" localSheetId="2">[7]Parameters!$I$183</definedName>
    <definedName name="ltlpjob54">#REF!</definedName>
    <definedName name="ltlpjob55" localSheetId="2">[7]Parameters!$I$184</definedName>
    <definedName name="ltlpjob55">#REF!</definedName>
    <definedName name="ltlpjob56" localSheetId="2">[7]Parameters!$I$185</definedName>
    <definedName name="ltlpjob56">#REF!</definedName>
    <definedName name="ltlpjob57" localSheetId="2">[7]Parameters!$I$186</definedName>
    <definedName name="ltlpjob57">#REF!</definedName>
    <definedName name="ltlpjob58" localSheetId="2">[7]Parameters!$I$187</definedName>
    <definedName name="ltlpjob58">#REF!</definedName>
    <definedName name="ltlpjob59" localSheetId="2">[7]Parameters!$I$188</definedName>
    <definedName name="ltlpjob59">#REF!</definedName>
    <definedName name="ltlpjob6" localSheetId="2">[7]Parameters!$I$135</definedName>
    <definedName name="ltlpjob6">#REF!</definedName>
    <definedName name="ltlpjob60" localSheetId="2">[7]Parameters!$I$189</definedName>
    <definedName name="ltlpjob60">#REF!</definedName>
    <definedName name="ltlpjob61" localSheetId="2">[7]Parameters!$I$190</definedName>
    <definedName name="ltlpjob61">#REF!</definedName>
    <definedName name="ltlpjob62" localSheetId="2">[7]Parameters!$I$191</definedName>
    <definedName name="ltlpjob62">#REF!</definedName>
    <definedName name="ltlpjob63" localSheetId="2">[7]Parameters!$I$192</definedName>
    <definedName name="ltlpjob63">#REF!</definedName>
    <definedName name="ltlpjob64" localSheetId="2">[7]Parameters!$I$193</definedName>
    <definedName name="ltlpjob64">#REF!</definedName>
    <definedName name="ltlpjob65" localSheetId="2">[7]Parameters!$I$194</definedName>
    <definedName name="ltlpjob65">#REF!</definedName>
    <definedName name="ltlpjob66" localSheetId="2">[7]Parameters!$I$195</definedName>
    <definedName name="ltlpjob66">#REF!</definedName>
    <definedName name="ltlpjob67" localSheetId="2">[7]Parameters!$I$196</definedName>
    <definedName name="ltlpjob67">#REF!</definedName>
    <definedName name="ltlpjob68" localSheetId="2">[7]Parameters!$I$197</definedName>
    <definedName name="ltlpjob68">#REF!</definedName>
    <definedName name="ltlpjob69" localSheetId="2">[7]Parameters!$I$198</definedName>
    <definedName name="ltlpjob69">#REF!</definedName>
    <definedName name="ltlpjob7" localSheetId="2">[7]Parameters!$I$136</definedName>
    <definedName name="ltlpjob7">#REF!</definedName>
    <definedName name="ltlpjob70" localSheetId="2">[7]Parameters!$I$199</definedName>
    <definedName name="ltlpjob70">#REF!</definedName>
    <definedName name="ltlpjob71" localSheetId="2">[7]Parameters!$I$200</definedName>
    <definedName name="ltlpjob71">#REF!</definedName>
    <definedName name="ltlpjob72" localSheetId="2">[7]Parameters!$I$201</definedName>
    <definedName name="ltlpjob72">#REF!</definedName>
    <definedName name="ltlpjob73" localSheetId="2">[7]Parameters!$I$202</definedName>
    <definedName name="ltlpjob73">#REF!</definedName>
    <definedName name="ltlpjob74" localSheetId="2">[7]Parameters!$I$203</definedName>
    <definedName name="ltlpjob74">#REF!</definedName>
    <definedName name="ltlpjob75" localSheetId="2">[7]Parameters!$I$204</definedName>
    <definedName name="ltlpjob75">#REF!</definedName>
    <definedName name="ltlpjob8" localSheetId="2">[7]Parameters!$I$137</definedName>
    <definedName name="ltlpjob8">#REF!</definedName>
    <definedName name="ltlpjob9" localSheetId="2">[7]Parameters!$I$138</definedName>
    <definedName name="ltlpjob9">#REF!</definedName>
    <definedName name="ltlpname25" localSheetId="2">[7]Parameters!$C$154</definedName>
    <definedName name="ltlpname25">#REF!</definedName>
    <definedName name="ltlpname26" localSheetId="2">[7]Parameters!$C$155</definedName>
    <definedName name="ltlpname26">#REF!</definedName>
    <definedName name="ltlpname27" localSheetId="2">[7]Parameters!$C$156</definedName>
    <definedName name="ltlpname27">#REF!</definedName>
    <definedName name="ltlpname28" localSheetId="2">[7]Parameters!$C$157</definedName>
    <definedName name="ltlpname28">#REF!</definedName>
    <definedName name="ltlpname29" localSheetId="2">[7]Parameters!$C$158</definedName>
    <definedName name="ltlpname29">#REF!</definedName>
    <definedName name="ltlpname30" localSheetId="2">[7]Parameters!$C$159</definedName>
    <definedName name="ltlpname30">#REF!</definedName>
    <definedName name="ltlpname31" localSheetId="2">[7]Parameters!$C$160</definedName>
    <definedName name="ltlpname31">#REF!</definedName>
    <definedName name="ltlpname32" localSheetId="2">[7]Parameters!$C$161</definedName>
    <definedName name="ltlpname32">#REF!</definedName>
    <definedName name="ltlpname33" localSheetId="2">[7]Parameters!$C$162</definedName>
    <definedName name="ltlpname33">#REF!</definedName>
    <definedName name="ltlpname34" localSheetId="2">[7]Parameters!$C$163</definedName>
    <definedName name="ltlpname34">#REF!</definedName>
    <definedName name="ltlpname35" localSheetId="2">[7]Parameters!$C$164</definedName>
    <definedName name="ltlpname35">#REF!</definedName>
    <definedName name="ltlpname36" localSheetId="2">[7]Parameters!$C$165</definedName>
    <definedName name="ltlpname36">#REF!</definedName>
    <definedName name="ltlpname37" localSheetId="2">[7]Parameters!$C$166</definedName>
    <definedName name="ltlpname37">#REF!</definedName>
    <definedName name="ltlpname38" localSheetId="2">[7]Parameters!$C$167</definedName>
    <definedName name="ltlpname38">#REF!</definedName>
    <definedName name="ltlpname39" localSheetId="2">[7]Parameters!$C$168</definedName>
    <definedName name="ltlpname39">#REF!</definedName>
    <definedName name="ltlpname40" localSheetId="2">[7]Parameters!$C$169</definedName>
    <definedName name="ltlpname40">#REF!</definedName>
    <definedName name="ltlpname41" localSheetId="2">[7]Parameters!$C$170</definedName>
    <definedName name="ltlpname41">#REF!</definedName>
    <definedName name="ltlpname42" localSheetId="2">[7]Parameters!$C$171</definedName>
    <definedName name="ltlpname42">#REF!</definedName>
    <definedName name="ltlpname43" localSheetId="2">[7]Parameters!$C$172</definedName>
    <definedName name="ltlpname43">#REF!</definedName>
    <definedName name="ltlpname44" localSheetId="2">[7]Parameters!$C$173</definedName>
    <definedName name="ltlpname44">#REF!</definedName>
    <definedName name="ltlpname45" localSheetId="2">[7]Parameters!$C$174</definedName>
    <definedName name="ltlpname45">#REF!</definedName>
    <definedName name="ltlpname46" localSheetId="2">[7]Parameters!$C$175</definedName>
    <definedName name="ltlpname46">#REF!</definedName>
    <definedName name="ltlpname47" localSheetId="2">[7]Parameters!$C$176</definedName>
    <definedName name="ltlpname47">#REF!</definedName>
    <definedName name="ltlpname48" localSheetId="2">[7]Parameters!$C$177</definedName>
    <definedName name="ltlpname48">#REF!</definedName>
    <definedName name="ltlpname49" localSheetId="2">[7]Parameters!$C$178</definedName>
    <definedName name="ltlpname49">#REF!</definedName>
    <definedName name="ltlpname50" localSheetId="2">[7]Parameters!$C$179</definedName>
    <definedName name="ltlpname50">#REF!</definedName>
    <definedName name="ltlpname51" localSheetId="2">[7]Parameters!$C$180</definedName>
    <definedName name="ltlpname51">#REF!</definedName>
    <definedName name="ltlpname52" localSheetId="2">[7]Parameters!$C$181</definedName>
    <definedName name="ltlpname52">#REF!</definedName>
    <definedName name="ltlpname53" localSheetId="2">[7]Parameters!$C$182</definedName>
    <definedName name="ltlpname53">#REF!</definedName>
    <definedName name="ltlpname54" localSheetId="2">[7]Parameters!$C$183</definedName>
    <definedName name="ltlpname54">#REF!</definedName>
    <definedName name="ltlpname55" localSheetId="2">[7]Parameters!$C$184</definedName>
    <definedName name="ltlpname55">#REF!</definedName>
    <definedName name="ltlpname56" localSheetId="2">[7]Parameters!$C$185</definedName>
    <definedName name="ltlpname56">#REF!</definedName>
    <definedName name="ltlpname57" localSheetId="2">[7]Parameters!$C$186</definedName>
    <definedName name="ltlpname57">#REF!</definedName>
    <definedName name="ltlpname58" localSheetId="2">[7]Parameters!$C$187</definedName>
    <definedName name="ltlpname58">#REF!</definedName>
    <definedName name="ltlpname59" localSheetId="2">[7]Parameters!$C$188</definedName>
    <definedName name="ltlpname59">#REF!</definedName>
    <definedName name="ltlpname60" localSheetId="2">[7]Parameters!$C$189</definedName>
    <definedName name="ltlpname60">#REF!</definedName>
    <definedName name="ltlpname61" localSheetId="2">[7]Parameters!$C$190</definedName>
    <definedName name="ltlpname61">#REF!</definedName>
    <definedName name="ltlpname62" localSheetId="2">[7]Parameters!$C$191</definedName>
    <definedName name="ltlpname62">#REF!</definedName>
    <definedName name="ltlpname63" localSheetId="2">[7]Parameters!$C$192</definedName>
    <definedName name="ltlpname63">#REF!</definedName>
    <definedName name="ltlpname64" localSheetId="2">[7]Parameters!$C$193</definedName>
    <definedName name="ltlpname64">#REF!</definedName>
    <definedName name="ltlpname65" localSheetId="2">[7]Parameters!$C$194</definedName>
    <definedName name="ltlpname65">#REF!</definedName>
    <definedName name="ltlpname66" localSheetId="2">[7]Parameters!$C$195</definedName>
    <definedName name="ltlpname66">#REF!</definedName>
    <definedName name="ltlpname67" localSheetId="2">[7]Parameters!$C$196</definedName>
    <definedName name="ltlpname67">#REF!</definedName>
    <definedName name="ltlpname68" localSheetId="2">[7]Parameters!$C$197</definedName>
    <definedName name="ltlpname68">#REF!</definedName>
    <definedName name="ltlpname69" localSheetId="2">[7]Parameters!$C$198</definedName>
    <definedName name="ltlpname69">#REF!</definedName>
    <definedName name="ltlpname70" localSheetId="2">[7]Parameters!$C$199</definedName>
    <definedName name="ltlpname70">#REF!</definedName>
    <definedName name="ltlpname71" localSheetId="2">[7]Parameters!$C$200</definedName>
    <definedName name="ltlpname71">#REF!</definedName>
    <definedName name="ltlpname72" localSheetId="2">[7]Parameters!$C$201</definedName>
    <definedName name="ltlpname72">#REF!</definedName>
    <definedName name="ltlpname73" localSheetId="2">[7]Parameters!$C$202</definedName>
    <definedName name="ltlpname73">#REF!</definedName>
    <definedName name="ltlpname74" localSheetId="2">[7]Parameters!$C$203</definedName>
    <definedName name="ltlpname74">#REF!</definedName>
    <definedName name="ltlpname75" localSheetId="2">[7]Parameters!$C$204</definedName>
    <definedName name="ltlpname75">#REF!</definedName>
    <definedName name="ltlpsal25" localSheetId="2">[7]Parameters!$E$154</definedName>
    <definedName name="ltlpsal25">#REF!</definedName>
    <definedName name="ltlpsal26" localSheetId="2">[7]Parameters!$E$155</definedName>
    <definedName name="ltlpsal26">#REF!</definedName>
    <definedName name="ltlpsal27" localSheetId="2">[7]Parameters!$E$156</definedName>
    <definedName name="ltlpsal27">#REF!</definedName>
    <definedName name="ltlpsal28" localSheetId="2">[7]Parameters!$E$157</definedName>
    <definedName name="ltlpsal28">#REF!</definedName>
    <definedName name="ltlpsal29" localSheetId="2">[7]Parameters!$E$158</definedName>
    <definedName name="ltlpsal29">#REF!</definedName>
    <definedName name="ltlpsal30" localSheetId="2">[7]Parameters!$E$159</definedName>
    <definedName name="ltlpsal30">#REF!</definedName>
    <definedName name="ltlpsal31" localSheetId="2">[7]Parameters!$E$160</definedName>
    <definedName name="ltlpsal31">#REF!</definedName>
    <definedName name="ltlpsal32" localSheetId="2">[7]Parameters!$E$161</definedName>
    <definedName name="ltlpsal32">#REF!</definedName>
    <definedName name="ltlpsal33" localSheetId="2">[7]Parameters!$E$162</definedName>
    <definedName name="ltlpsal33">#REF!</definedName>
    <definedName name="ltlpsal34" localSheetId="2">[7]Parameters!$E$163</definedName>
    <definedName name="ltlpsal34">#REF!</definedName>
    <definedName name="ltlpsal35" localSheetId="2">[7]Parameters!$E$164</definedName>
    <definedName name="ltlpsal35">#REF!</definedName>
    <definedName name="ltlpsal36" localSheetId="2">[7]Parameters!$E$165</definedName>
    <definedName name="ltlpsal36">#REF!</definedName>
    <definedName name="ltlpsal37" localSheetId="2">[7]Parameters!$E$166</definedName>
    <definedName name="ltlpsal37">#REF!</definedName>
    <definedName name="ltlpsal38" localSheetId="2">[7]Parameters!$E$167</definedName>
    <definedName name="ltlpsal38">#REF!</definedName>
    <definedName name="ltlpsal39" localSheetId="2">[7]Parameters!$E$168</definedName>
    <definedName name="ltlpsal39">#REF!</definedName>
    <definedName name="ltlpsal40" localSheetId="2">[7]Parameters!$E$169</definedName>
    <definedName name="ltlpsal40">#REF!</definedName>
    <definedName name="ltlpsal41" localSheetId="2">[7]Parameters!$E$170</definedName>
    <definedName name="ltlpsal41">#REF!</definedName>
    <definedName name="ltlpsal42" localSheetId="2">[7]Parameters!$E$171</definedName>
    <definedName name="ltlpsal42">#REF!</definedName>
    <definedName name="ltlpsal43" localSheetId="2">[7]Parameters!$E$172</definedName>
    <definedName name="ltlpsal43">#REF!</definedName>
    <definedName name="ltlpsal44" localSheetId="2">[7]Parameters!$E$173</definedName>
    <definedName name="ltlpsal44">#REF!</definedName>
    <definedName name="ltlpsal45" localSheetId="2">[7]Parameters!$E$174</definedName>
    <definedName name="ltlpsal45">#REF!</definedName>
    <definedName name="ltlpsal46" localSheetId="2">[7]Parameters!$E$175</definedName>
    <definedName name="ltlpsal46">#REF!</definedName>
    <definedName name="ltlpsal47" localSheetId="2">[7]Parameters!$E$176</definedName>
    <definedName name="ltlpsal47">#REF!</definedName>
    <definedName name="ltlpsal48" localSheetId="2">[7]Parameters!$E$177</definedName>
    <definedName name="ltlpsal48">#REF!</definedName>
    <definedName name="ltlpsal49" localSheetId="2">[7]Parameters!$E$178</definedName>
    <definedName name="ltlpsal49">#REF!</definedName>
    <definedName name="ltlpsal50" localSheetId="2">[7]Parameters!$E$179</definedName>
    <definedName name="ltlpsal50">#REF!</definedName>
    <definedName name="ltlpsal51" localSheetId="2">[7]Parameters!$E$180</definedName>
    <definedName name="ltlpsal51">#REF!</definedName>
    <definedName name="ltlpsal52" localSheetId="2">[7]Parameters!$E$181</definedName>
    <definedName name="ltlpsal52">#REF!</definedName>
    <definedName name="ltlpsal53" localSheetId="2">[7]Parameters!$E$182</definedName>
    <definedName name="ltlpsal53">#REF!</definedName>
    <definedName name="ltlpsal54" localSheetId="2">[7]Parameters!$E$183</definedName>
    <definedName name="ltlpsal54">#REF!</definedName>
    <definedName name="ltlpsal55" localSheetId="2">[7]Parameters!$E$184</definedName>
    <definedName name="ltlpsal55">#REF!</definedName>
    <definedName name="ltlpsal56" localSheetId="2">[7]Parameters!$E$185</definedName>
    <definedName name="ltlpsal56">#REF!</definedName>
    <definedName name="ltlpsal57" localSheetId="2">[7]Parameters!$E$186</definedName>
    <definedName name="ltlpsal57">#REF!</definedName>
    <definedName name="ltlpsal58" localSheetId="2">[7]Parameters!$E$187</definedName>
    <definedName name="ltlpsal58">#REF!</definedName>
    <definedName name="ltlpsal59" localSheetId="2">[7]Parameters!$E$188</definedName>
    <definedName name="ltlpsal59">#REF!</definedName>
    <definedName name="ltlpsal60" localSheetId="2">[7]Parameters!$E$189</definedName>
    <definedName name="ltlpsal60">#REF!</definedName>
    <definedName name="ltlpsal61" localSheetId="2">[7]Parameters!$E$190</definedName>
    <definedName name="ltlpsal61">#REF!</definedName>
    <definedName name="ltlpsal62" localSheetId="2">[7]Parameters!$E$191</definedName>
    <definedName name="ltlpsal62">#REF!</definedName>
    <definedName name="ltlpsal63" localSheetId="2">[7]Parameters!$E$192</definedName>
    <definedName name="ltlpsal63">#REF!</definedName>
    <definedName name="ltlpsal64" localSheetId="2">[7]Parameters!$E$193</definedName>
    <definedName name="ltlpsal64">#REF!</definedName>
    <definedName name="ltlpsal65" localSheetId="2">[7]Parameters!$E$194</definedName>
    <definedName name="ltlpsal65">#REF!</definedName>
    <definedName name="ltlpsal66" localSheetId="2">[7]Parameters!$E$195</definedName>
    <definedName name="ltlpsal66">#REF!</definedName>
    <definedName name="ltlpsal67" localSheetId="2">[7]Parameters!$E$196</definedName>
    <definedName name="ltlpsal67">#REF!</definedName>
    <definedName name="ltlpsal68" localSheetId="2">[7]Parameters!$E$197</definedName>
    <definedName name="ltlpsal68">#REF!</definedName>
    <definedName name="ltlpsal69" localSheetId="2">[7]Parameters!$E$198</definedName>
    <definedName name="ltlpsal69">#REF!</definedName>
    <definedName name="ltlpsal70" localSheetId="2">[7]Parameters!$E$199</definedName>
    <definedName name="ltlpsal70">#REF!</definedName>
    <definedName name="ltlpsal71" localSheetId="2">[7]Parameters!$E$200</definedName>
    <definedName name="ltlpsal71">#REF!</definedName>
    <definedName name="ltlpsal72" localSheetId="2">[7]Parameters!$E$201</definedName>
    <definedName name="ltlpsal72">#REF!</definedName>
    <definedName name="ltlpsal73" localSheetId="2">[7]Parameters!$E$202</definedName>
    <definedName name="ltlpsal73">#REF!</definedName>
    <definedName name="ltlpsal74" localSheetId="2">[7]Parameters!$E$203</definedName>
    <definedName name="ltlpsal74">#REF!</definedName>
    <definedName name="ltlpsal75" localSheetId="2">[7]Parameters!$E$204</definedName>
    <definedName name="ltlpsal75">#REF!</definedName>
    <definedName name="ltls" localSheetId="2">[7]Parameters!$A$376</definedName>
    <definedName name="ltls">#REF!</definedName>
    <definedName name="ltls1" localSheetId="2">[7]Parameters!$A$378</definedName>
    <definedName name="ltls1">#REF!</definedName>
    <definedName name="ltls10" localSheetId="2">[7]Parameters!$A$387</definedName>
    <definedName name="ltls10">#REF!</definedName>
    <definedName name="ltls10co" localSheetId="2">[7]Parameters!$G$387</definedName>
    <definedName name="ltls10co">#REF!</definedName>
    <definedName name="ltls10name" localSheetId="2">[7]Parameters!$C$387</definedName>
    <definedName name="ltls10name">#REF!</definedName>
    <definedName name="ltls10sal1" localSheetId="2">[7]Parameters!$E$387</definedName>
    <definedName name="ltls10sal1">#REF!</definedName>
    <definedName name="ltls11" localSheetId="2">[7]Parameters!$A$388</definedName>
    <definedName name="ltls11">#REF!</definedName>
    <definedName name="ltls11co" localSheetId="2">[7]Parameters!$G$388</definedName>
    <definedName name="ltls11co">#REF!</definedName>
    <definedName name="ltls11name" localSheetId="2">[7]Parameters!$C$388</definedName>
    <definedName name="ltls11name">#REF!</definedName>
    <definedName name="ltls11sal1" localSheetId="2">[7]Parameters!$E$388</definedName>
    <definedName name="ltls11sal1">#REF!</definedName>
    <definedName name="ltls12" localSheetId="2">[7]Parameters!$A$389</definedName>
    <definedName name="ltls12">#REF!</definedName>
    <definedName name="ltls12co" localSheetId="2">[7]Parameters!$G$389</definedName>
    <definedName name="ltls12co">#REF!</definedName>
    <definedName name="ltls12name" localSheetId="2">[7]Parameters!$C$389</definedName>
    <definedName name="ltls12name">#REF!</definedName>
    <definedName name="ltls12sal1" localSheetId="2">[7]Parameters!$E$389</definedName>
    <definedName name="ltls12sal1">#REF!</definedName>
    <definedName name="ltls13" localSheetId="2">[7]Parameters!$A$390</definedName>
    <definedName name="ltls13">#REF!</definedName>
    <definedName name="ltls13co" localSheetId="2">[7]Parameters!$G$390</definedName>
    <definedName name="ltls13co">#REF!</definedName>
    <definedName name="ltls13name" localSheetId="2">[7]Parameters!$C$390</definedName>
    <definedName name="ltls13name">#REF!</definedName>
    <definedName name="ltls13sal1" localSheetId="2">[7]Parameters!$E$390</definedName>
    <definedName name="ltls13sal1">#REF!</definedName>
    <definedName name="ltls14" localSheetId="2">[7]Parameters!$A$391</definedName>
    <definedName name="ltls14">#REF!</definedName>
    <definedName name="ltls14co" localSheetId="2">[7]Parameters!$G$391</definedName>
    <definedName name="ltls14co">#REF!</definedName>
    <definedName name="ltls14name" localSheetId="2">[7]Parameters!$C$391</definedName>
    <definedName name="ltls14name">#REF!</definedName>
    <definedName name="ltls14sal1" localSheetId="2">[7]Parameters!$E$391</definedName>
    <definedName name="ltls14sal1">#REF!</definedName>
    <definedName name="ltls15" localSheetId="2">[7]Parameters!$A$392</definedName>
    <definedName name="ltls15">#REF!</definedName>
    <definedName name="ltls16" localSheetId="2">[7]Parameters!$A$393</definedName>
    <definedName name="ltls16">#REF!</definedName>
    <definedName name="ltls17" localSheetId="2">[7]Parameters!$A$394</definedName>
    <definedName name="ltls17">#REF!</definedName>
    <definedName name="ltls18" localSheetId="2">[7]Parameters!$A$395</definedName>
    <definedName name="ltls18">#REF!</definedName>
    <definedName name="ltls19" localSheetId="2">[7]Parameters!$A$396</definedName>
    <definedName name="ltls19">#REF!</definedName>
    <definedName name="ltls1co" localSheetId="2">[7]Parameters!$G$378</definedName>
    <definedName name="ltls1co">#REF!</definedName>
    <definedName name="ltls1name" localSheetId="2">[7]Parameters!$C$378</definedName>
    <definedName name="ltls1name">#REF!</definedName>
    <definedName name="ltls1sal1" localSheetId="2">[7]Parameters!$E$378</definedName>
    <definedName name="ltls1sal1">#REF!</definedName>
    <definedName name="ltls2" localSheetId="2">[7]Parameters!$A$379</definedName>
    <definedName name="ltls2">#REF!</definedName>
    <definedName name="ltls20" localSheetId="2">[7]Parameters!$A$397</definedName>
    <definedName name="ltls20">#REF!</definedName>
    <definedName name="ltls21" localSheetId="2">[7]Parameters!$A$398</definedName>
    <definedName name="ltls21">#REF!</definedName>
    <definedName name="ltls22" localSheetId="2">[7]Parameters!$A$399</definedName>
    <definedName name="ltls22">#REF!</definedName>
    <definedName name="ltls23" localSheetId="2">[7]Parameters!$A$400</definedName>
    <definedName name="ltls23">#REF!</definedName>
    <definedName name="ltls24" localSheetId="2">[7]Parameters!$A$401</definedName>
    <definedName name="ltls24">#REF!</definedName>
    <definedName name="ltls25" localSheetId="2">[7]Parameters!$A$402</definedName>
    <definedName name="ltls25">#REF!</definedName>
    <definedName name="ltls26" localSheetId="2">[7]Parameters!$A$403</definedName>
    <definedName name="ltls26">#REF!</definedName>
    <definedName name="ltls27" localSheetId="2">[7]Parameters!$A$404</definedName>
    <definedName name="ltls27">#REF!</definedName>
    <definedName name="ltls28" localSheetId="2">[7]Parameters!$A$405</definedName>
    <definedName name="ltls28">#REF!</definedName>
    <definedName name="ltls29" localSheetId="2">[7]Parameters!$A$406</definedName>
    <definedName name="ltls29">#REF!</definedName>
    <definedName name="ltls2co" localSheetId="2">[7]Parameters!$G$379</definedName>
    <definedName name="ltls2co">#REF!</definedName>
    <definedName name="ltls2name" localSheetId="2">[7]Parameters!$C$379</definedName>
    <definedName name="ltls2name">#REF!</definedName>
    <definedName name="ltls2sal1" localSheetId="2">[7]Parameters!$E$379</definedName>
    <definedName name="ltls2sal1">#REF!</definedName>
    <definedName name="ltls3" localSheetId="2">[7]Parameters!$A$380</definedName>
    <definedName name="ltls3">#REF!</definedName>
    <definedName name="ltls30" localSheetId="2">[7]Parameters!$A$407</definedName>
    <definedName name="ltls30">#REF!</definedName>
    <definedName name="ltls31" localSheetId="2">[7]Parameters!$A$408</definedName>
    <definedName name="ltls31">#REF!</definedName>
    <definedName name="ltls32" localSheetId="2">[7]Parameters!$A$409</definedName>
    <definedName name="ltls32">#REF!</definedName>
    <definedName name="ltls33" localSheetId="2">[7]Parameters!$A$410</definedName>
    <definedName name="ltls33">#REF!</definedName>
    <definedName name="ltls34" localSheetId="2">[7]Parameters!$A$411</definedName>
    <definedName name="ltls34">#REF!</definedName>
    <definedName name="ltls35" localSheetId="2">[7]Parameters!$A$412</definedName>
    <definedName name="ltls35">#REF!</definedName>
    <definedName name="ltls36" localSheetId="2">[7]Parameters!$A$413</definedName>
    <definedName name="ltls36">#REF!</definedName>
    <definedName name="ltls37" localSheetId="2">[7]Parameters!$A$414</definedName>
    <definedName name="ltls37">#REF!</definedName>
    <definedName name="ltls38" localSheetId="2">[7]Parameters!$A$415</definedName>
    <definedName name="ltls38">#REF!</definedName>
    <definedName name="ltls39" localSheetId="2">[7]Parameters!$A$416</definedName>
    <definedName name="ltls39">#REF!</definedName>
    <definedName name="ltls3co" localSheetId="2">[7]Parameters!$G$380</definedName>
    <definedName name="ltls3co">#REF!</definedName>
    <definedName name="ltls3name" localSheetId="2">[7]Parameters!$C$380</definedName>
    <definedName name="ltls3name">#REF!</definedName>
    <definedName name="ltls3sal1" localSheetId="2">[7]Parameters!$E$380</definedName>
    <definedName name="ltls3sal1">#REF!</definedName>
    <definedName name="ltls4" localSheetId="2">[7]Parameters!$A$381</definedName>
    <definedName name="ltls4">#REF!</definedName>
    <definedName name="ltls40" localSheetId="2">[7]Parameters!$A$417</definedName>
    <definedName name="ltls40">#REF!</definedName>
    <definedName name="ltls41" localSheetId="2">[7]Parameters!$A$418</definedName>
    <definedName name="ltls41">#REF!</definedName>
    <definedName name="ltls42" localSheetId="2">[7]Parameters!$A$419</definedName>
    <definedName name="ltls42">#REF!</definedName>
    <definedName name="ltls43" localSheetId="2">[7]Parameters!$A$420</definedName>
    <definedName name="ltls43">#REF!</definedName>
    <definedName name="ltls44" localSheetId="2">[7]Parameters!$A$421</definedName>
    <definedName name="ltls44">#REF!</definedName>
    <definedName name="ltls45" localSheetId="2">[7]Parameters!$A$422</definedName>
    <definedName name="ltls45">#REF!</definedName>
    <definedName name="ltls46" localSheetId="2">[7]Parameters!$A$423</definedName>
    <definedName name="ltls46">#REF!</definedName>
    <definedName name="ltls47" localSheetId="2">[7]Parameters!$A$424</definedName>
    <definedName name="ltls47">#REF!</definedName>
    <definedName name="ltls48" localSheetId="2">[7]Parameters!$A$425</definedName>
    <definedName name="ltls48">#REF!</definedName>
    <definedName name="ltls49" localSheetId="2">[7]Parameters!$A$426</definedName>
    <definedName name="ltls49">#REF!</definedName>
    <definedName name="ltls4co" localSheetId="2">[7]Parameters!$G$381</definedName>
    <definedName name="ltls4co">#REF!</definedName>
    <definedName name="ltls4name" localSheetId="2">[7]Parameters!$C$381</definedName>
    <definedName name="ltls4name">#REF!</definedName>
    <definedName name="ltls4sal1" localSheetId="2">[7]Parameters!$E$381</definedName>
    <definedName name="ltls4sal1">#REF!</definedName>
    <definedName name="ltls5" localSheetId="2">[7]Parameters!$A$382</definedName>
    <definedName name="ltls5">#REF!</definedName>
    <definedName name="ltls50" localSheetId="2">[7]Parameters!$A$427</definedName>
    <definedName name="ltls50">#REF!</definedName>
    <definedName name="ltls51" localSheetId="2">[7]Parameters!$A$428</definedName>
    <definedName name="ltls51">#REF!</definedName>
    <definedName name="ltls52" localSheetId="2">[7]Parameters!$A$429</definedName>
    <definedName name="ltls52">#REF!</definedName>
    <definedName name="ltls5co" localSheetId="2">[7]Parameters!$G$382</definedName>
    <definedName name="ltls5co">#REF!</definedName>
    <definedName name="ltls5name" localSheetId="2">[7]Parameters!$C$382</definedName>
    <definedName name="ltls5name">#REF!</definedName>
    <definedName name="ltls5sal1" localSheetId="2">[7]Parameters!$E$382</definedName>
    <definedName name="ltls5sal1">#REF!</definedName>
    <definedName name="ltls6" localSheetId="2">[7]Parameters!$A$383</definedName>
    <definedName name="ltls6">#REF!</definedName>
    <definedName name="ltls6co" localSheetId="2">[7]Parameters!$G$383</definedName>
    <definedName name="ltls6co">#REF!</definedName>
    <definedName name="ltls6name" localSheetId="2">[7]Parameters!$C$383</definedName>
    <definedName name="ltls6name">#REF!</definedName>
    <definedName name="ltls6sal1" localSheetId="2">[7]Parameters!$E$383</definedName>
    <definedName name="ltls6sal1">#REF!</definedName>
    <definedName name="ltls7" localSheetId="2">[7]Parameters!$A$384</definedName>
    <definedName name="ltls7">#REF!</definedName>
    <definedName name="ltls7co" localSheetId="2">[7]Parameters!$G$384</definedName>
    <definedName name="ltls7co">#REF!</definedName>
    <definedName name="ltls7name" localSheetId="2">[7]Parameters!$C$384</definedName>
    <definedName name="ltls7name">#REF!</definedName>
    <definedName name="ltls7sal1" localSheetId="2">[7]Parameters!$E$384</definedName>
    <definedName name="ltls7sal1">#REF!</definedName>
    <definedName name="ltls8" localSheetId="2">[7]Parameters!$A$385</definedName>
    <definedName name="ltls8">#REF!</definedName>
    <definedName name="ltls8co" localSheetId="2">[7]Parameters!$G$385</definedName>
    <definedName name="ltls8co">#REF!</definedName>
    <definedName name="ltls8name" localSheetId="2">[7]Parameters!$C$385</definedName>
    <definedName name="ltls8name">#REF!</definedName>
    <definedName name="ltls8sal1" localSheetId="2">[7]Parameters!$E$385</definedName>
    <definedName name="ltls8sal1">#REF!</definedName>
    <definedName name="ltls9" localSheetId="2">[7]Parameters!$A$386</definedName>
    <definedName name="ltls9">#REF!</definedName>
    <definedName name="ltls9co" localSheetId="2">[7]Parameters!$G$386</definedName>
    <definedName name="ltls9co">#REF!</definedName>
    <definedName name="ltls9name" localSheetId="2">[7]Parameters!$C$386</definedName>
    <definedName name="ltls9name">#REF!</definedName>
    <definedName name="ltls9sal1" localSheetId="2">[7]Parameters!$E$386</definedName>
    <definedName name="ltls9sal1">#REF!</definedName>
    <definedName name="ltlsco15" localSheetId="2">[7]Parameters!$G$392</definedName>
    <definedName name="ltlsco15">#REF!</definedName>
    <definedName name="ltlsco16" localSheetId="2">[7]Parameters!$G$393</definedName>
    <definedName name="ltlsco16">#REF!</definedName>
    <definedName name="ltlsco17" localSheetId="2">[7]Parameters!$G$394</definedName>
    <definedName name="ltlsco17">#REF!</definedName>
    <definedName name="ltlsco18" localSheetId="2">[7]Parameters!$G$395</definedName>
    <definedName name="ltlsco18">#REF!</definedName>
    <definedName name="ltlsco19" localSheetId="2">[7]Parameters!$G$396</definedName>
    <definedName name="ltlsco19">#REF!</definedName>
    <definedName name="ltlsco20" localSheetId="2">[7]Parameters!$G$397</definedName>
    <definedName name="ltlsco20">#REF!</definedName>
    <definedName name="ltlsco21" localSheetId="2">[7]Parameters!$G$398</definedName>
    <definedName name="ltlsco21">#REF!</definedName>
    <definedName name="ltlsco22" localSheetId="2">[7]Parameters!$G$399</definedName>
    <definedName name="ltlsco22">#REF!</definedName>
    <definedName name="ltlsco23" localSheetId="2">[7]Parameters!$G$400</definedName>
    <definedName name="ltlsco23">#REF!</definedName>
    <definedName name="ltlsco24" localSheetId="2">[7]Parameters!$G$401</definedName>
    <definedName name="ltlsco24">#REF!</definedName>
    <definedName name="ltlsco25" localSheetId="2">[7]Parameters!$G$402</definedName>
    <definedName name="ltlsco25">#REF!</definedName>
    <definedName name="ltlsco26" localSheetId="2">[7]Parameters!$G$403</definedName>
    <definedName name="ltlsco26">#REF!</definedName>
    <definedName name="ltlsco27" localSheetId="2">[7]Parameters!$G$404</definedName>
    <definedName name="ltlsco27">#REF!</definedName>
    <definedName name="ltlsco28" localSheetId="2">[7]Parameters!$G$405</definedName>
    <definedName name="ltlsco28">#REF!</definedName>
    <definedName name="ltlsco29" localSheetId="2">[7]Parameters!$G$406</definedName>
    <definedName name="ltlsco29">#REF!</definedName>
    <definedName name="ltlsco30" localSheetId="2">[7]Parameters!$G$407</definedName>
    <definedName name="ltlsco30">#REF!</definedName>
    <definedName name="ltlsco31" localSheetId="2">[7]Parameters!$G$408</definedName>
    <definedName name="ltlsco31">#REF!</definedName>
    <definedName name="ltlsco32" localSheetId="2">[7]Parameters!$G$409</definedName>
    <definedName name="ltlsco32">#REF!</definedName>
    <definedName name="ltlsco33" localSheetId="2">[7]Parameters!$G$410</definedName>
    <definedName name="ltlsco33">#REF!</definedName>
    <definedName name="ltlsco34" localSheetId="2">[7]Parameters!$G$411</definedName>
    <definedName name="ltlsco34">#REF!</definedName>
    <definedName name="ltlsco35" localSheetId="2">[7]Parameters!$G$412</definedName>
    <definedName name="ltlsco35">#REF!</definedName>
    <definedName name="ltlsco36" localSheetId="2">[7]Parameters!$G$413</definedName>
    <definedName name="ltlsco36">#REF!</definedName>
    <definedName name="ltlsco37" localSheetId="2">[7]Parameters!$G$414</definedName>
    <definedName name="ltlsco37">#REF!</definedName>
    <definedName name="ltlsco38" localSheetId="2">[7]Parameters!$G$415</definedName>
    <definedName name="ltlsco38">#REF!</definedName>
    <definedName name="ltlsco39" localSheetId="2">[7]Parameters!$G$416</definedName>
    <definedName name="ltlsco39">#REF!</definedName>
    <definedName name="ltlsco40" localSheetId="2">[7]Parameters!$G$417</definedName>
    <definedName name="ltlsco40">#REF!</definedName>
    <definedName name="ltlsco41" localSheetId="2">[7]Parameters!$G$418</definedName>
    <definedName name="ltlsco41">#REF!</definedName>
    <definedName name="ltlsco42" localSheetId="2">[7]Parameters!$G$419</definedName>
    <definedName name="ltlsco42">#REF!</definedName>
    <definedName name="ltlsco43" localSheetId="2">[7]Parameters!$G$420</definedName>
    <definedName name="ltlsco43">#REF!</definedName>
    <definedName name="ltlsco44" localSheetId="2">[7]Parameters!$G$421</definedName>
    <definedName name="ltlsco44">#REF!</definedName>
    <definedName name="ltlsco45" localSheetId="2">[7]Parameters!$G$422</definedName>
    <definedName name="ltlsco45">#REF!</definedName>
    <definedName name="ltlsco46" localSheetId="2">[7]Parameters!$G$423</definedName>
    <definedName name="ltlsco46">#REF!</definedName>
    <definedName name="ltlsco47" localSheetId="2">[7]Parameters!$G$424</definedName>
    <definedName name="ltlsco47">#REF!</definedName>
    <definedName name="ltlsco48" localSheetId="2">[7]Parameters!$G$425</definedName>
    <definedName name="ltlsco48">#REF!</definedName>
    <definedName name="ltlsco49" localSheetId="2">[7]Parameters!$G$426</definedName>
    <definedName name="ltlsco49">#REF!</definedName>
    <definedName name="ltlsco50" localSheetId="2">[7]Parameters!$G$427</definedName>
    <definedName name="ltlsco50">#REF!</definedName>
    <definedName name="ltlsco51" localSheetId="2">[7]Parameters!$G$428</definedName>
    <definedName name="ltlsco51">#REF!</definedName>
    <definedName name="ltlsjob1" localSheetId="2">[7]Parameters!$I$378</definedName>
    <definedName name="ltlsjob1">#REF!</definedName>
    <definedName name="ltlsjob10" localSheetId="2">[7]Parameters!$I$387</definedName>
    <definedName name="ltlsjob10">#REF!</definedName>
    <definedName name="ltlsjob11" localSheetId="2">[7]Parameters!$I$388</definedName>
    <definedName name="ltlsjob11">#REF!</definedName>
    <definedName name="ltlsjob12" localSheetId="2">[7]Parameters!$I$389</definedName>
    <definedName name="ltlsjob12">#REF!</definedName>
    <definedName name="ltlsjob13" localSheetId="2">[7]Parameters!$I$390</definedName>
    <definedName name="ltlsjob13">#REF!</definedName>
    <definedName name="ltlsjob14" localSheetId="2">[7]Parameters!$I$391</definedName>
    <definedName name="ltlsjob14">#REF!</definedName>
    <definedName name="ltlsjob15" localSheetId="2">[7]Parameters!$I$392</definedName>
    <definedName name="ltlsjob15">#REF!</definedName>
    <definedName name="ltlsjob16" localSheetId="2">[7]Parameters!$I$393</definedName>
    <definedName name="ltlsjob16">#REF!</definedName>
    <definedName name="ltlsjob17" localSheetId="2">[7]Parameters!$I$394</definedName>
    <definedName name="ltlsjob17">#REF!</definedName>
    <definedName name="ltlsjob18" localSheetId="2">[7]Parameters!$I$395</definedName>
    <definedName name="ltlsjob18">#REF!</definedName>
    <definedName name="ltlsjob19" localSheetId="2">[7]Parameters!$I$396</definedName>
    <definedName name="ltlsjob19">#REF!</definedName>
    <definedName name="ltlsjob2" localSheetId="2">[7]Parameters!$I$379</definedName>
    <definedName name="ltlsjob2">#REF!</definedName>
    <definedName name="ltlsjob20" localSheetId="2">[7]Parameters!$I$397</definedName>
    <definedName name="ltlsjob20">#REF!</definedName>
    <definedName name="ltlsjob21" localSheetId="2">[7]Parameters!$I$398</definedName>
    <definedName name="ltlsjob21">#REF!</definedName>
    <definedName name="ltlsjob22" localSheetId="2">[7]Parameters!$I$399</definedName>
    <definedName name="ltlsjob22">#REF!</definedName>
    <definedName name="ltlsjob23" localSheetId="2">[7]Parameters!$I$400</definedName>
    <definedName name="ltlsjob23">#REF!</definedName>
    <definedName name="ltlsjob24" localSheetId="2">[7]Parameters!$I$401</definedName>
    <definedName name="ltlsjob24">#REF!</definedName>
    <definedName name="ltlsjob25" localSheetId="2">[7]Parameters!$I$402</definedName>
    <definedName name="ltlsjob25">#REF!</definedName>
    <definedName name="ltlsjob26" localSheetId="2">[7]Parameters!$I$403</definedName>
    <definedName name="ltlsjob26">#REF!</definedName>
    <definedName name="ltlsjob27" localSheetId="2">[7]Parameters!$I$404</definedName>
    <definedName name="ltlsjob27">#REF!</definedName>
    <definedName name="ltlsjob28" localSheetId="2">[7]Parameters!$I$405</definedName>
    <definedName name="ltlsjob28">#REF!</definedName>
    <definedName name="ltlsjob29" localSheetId="2">[7]Parameters!$I$406</definedName>
    <definedName name="ltlsjob29">#REF!</definedName>
    <definedName name="ltlsjob3" localSheetId="2">[7]Parameters!$I$380</definedName>
    <definedName name="ltlsjob3">#REF!</definedName>
    <definedName name="ltlsjob30" localSheetId="2">[7]Parameters!$I$407</definedName>
    <definedName name="ltlsjob30">#REF!</definedName>
    <definedName name="ltlsjob31" localSheetId="2">[7]Parameters!$I$408</definedName>
    <definedName name="ltlsjob31">#REF!</definedName>
    <definedName name="ltlsjob32" localSheetId="2">[7]Parameters!$I$409</definedName>
    <definedName name="ltlsjob32">#REF!</definedName>
    <definedName name="ltlsjob33" localSheetId="2">[7]Parameters!$I$410</definedName>
    <definedName name="ltlsjob33">#REF!</definedName>
    <definedName name="ltlsjob34" localSheetId="2">[7]Parameters!$I$411</definedName>
    <definedName name="ltlsjob34">#REF!</definedName>
    <definedName name="ltlsjob35" localSheetId="2">[7]Parameters!$I$412</definedName>
    <definedName name="ltlsjob35">#REF!</definedName>
    <definedName name="ltlsjob36" localSheetId="2">[7]Parameters!$I$413</definedName>
    <definedName name="ltlsjob36">#REF!</definedName>
    <definedName name="ltlsjob37" localSheetId="2">[7]Parameters!$I$414</definedName>
    <definedName name="ltlsjob37">#REF!</definedName>
    <definedName name="ltlsjob38" localSheetId="2">[7]Parameters!$I$415</definedName>
    <definedName name="ltlsjob38">#REF!</definedName>
    <definedName name="ltlsjob39" localSheetId="2">[7]Parameters!$I$416</definedName>
    <definedName name="ltlsjob39">#REF!</definedName>
    <definedName name="ltlsjob4" localSheetId="2">[7]Parameters!$I$381</definedName>
    <definedName name="ltlsjob4">#REF!</definedName>
    <definedName name="ltlsjob40" localSheetId="2">[7]Parameters!$I$417</definedName>
    <definedName name="ltlsjob40">#REF!</definedName>
    <definedName name="ltlsjob41" localSheetId="2">[7]Parameters!$I$418</definedName>
    <definedName name="ltlsjob41">#REF!</definedName>
    <definedName name="ltlsjob42" localSheetId="2">[7]Parameters!$I$419</definedName>
    <definedName name="ltlsjob42">#REF!</definedName>
    <definedName name="ltlsjob43" localSheetId="2">[7]Parameters!$I$420</definedName>
    <definedName name="ltlsjob43">#REF!</definedName>
    <definedName name="ltlsjob44" localSheetId="2">[7]Parameters!$I$421</definedName>
    <definedName name="ltlsjob44">#REF!</definedName>
    <definedName name="ltlsjob45" localSheetId="2">[7]Parameters!$I$422</definedName>
    <definedName name="ltlsjob45">#REF!</definedName>
    <definedName name="ltlsjob46" localSheetId="2">[7]Parameters!$I$423</definedName>
    <definedName name="ltlsjob46">#REF!</definedName>
    <definedName name="ltlsjob47" localSheetId="2">[7]Parameters!$I$424</definedName>
    <definedName name="ltlsjob47">#REF!</definedName>
    <definedName name="ltlsjob48" localSheetId="2">[7]Parameters!$I$425</definedName>
    <definedName name="ltlsjob48">#REF!</definedName>
    <definedName name="ltlsjob49" localSheetId="2">[7]Parameters!$I$426</definedName>
    <definedName name="ltlsjob49">#REF!</definedName>
    <definedName name="ltlsjob5" localSheetId="2">[7]Parameters!$I$382</definedName>
    <definedName name="ltlsjob5">#REF!</definedName>
    <definedName name="ltlsjob50" localSheetId="2">[7]Parameters!$I$427</definedName>
    <definedName name="ltlsjob50">#REF!</definedName>
    <definedName name="ltlsjob51" localSheetId="2">[7]Parameters!$I$428</definedName>
    <definedName name="ltlsjob51">#REF!</definedName>
    <definedName name="ltlsjob6" localSheetId="2">[7]Parameters!$I$383</definedName>
    <definedName name="ltlsjob6">#REF!</definedName>
    <definedName name="ltlsjob7" localSheetId="2">[7]Parameters!$I$384</definedName>
    <definedName name="ltlsjob7">#REF!</definedName>
    <definedName name="ltlsjob8" localSheetId="2">[7]Parameters!$I$385</definedName>
    <definedName name="ltlsjob8">#REF!</definedName>
    <definedName name="ltlsjob9" localSheetId="2">[7]Parameters!$I$386</definedName>
    <definedName name="ltlsjob9">#REF!</definedName>
    <definedName name="ltlsname15" localSheetId="2">[7]Parameters!$C$392</definedName>
    <definedName name="ltlsname15">#REF!</definedName>
    <definedName name="ltlsname16" localSheetId="2">[7]Parameters!$C$393</definedName>
    <definedName name="ltlsname16">#REF!</definedName>
    <definedName name="ltlsname17" localSheetId="2">[7]Parameters!$C$394</definedName>
    <definedName name="ltlsname17">#REF!</definedName>
    <definedName name="ltlsname18" localSheetId="2">[7]Parameters!$C$395</definedName>
    <definedName name="ltlsname18">#REF!</definedName>
    <definedName name="ltlsname19" localSheetId="2">[7]Parameters!$C$396</definedName>
    <definedName name="ltlsname19">#REF!</definedName>
    <definedName name="ltlsname20" localSheetId="2">[7]Parameters!$C$397</definedName>
    <definedName name="ltlsname20">#REF!</definedName>
    <definedName name="ltlsname21" localSheetId="2">[7]Parameters!$C$398</definedName>
    <definedName name="ltlsname21">#REF!</definedName>
    <definedName name="ltlsname22" localSheetId="2">[7]Parameters!$C$399</definedName>
    <definedName name="ltlsname22">#REF!</definedName>
    <definedName name="ltlsname23" localSheetId="2">[7]Parameters!$C$400</definedName>
    <definedName name="ltlsname23">#REF!</definedName>
    <definedName name="ltlsname24" localSheetId="2">[7]Parameters!$C$401</definedName>
    <definedName name="ltlsname24">#REF!</definedName>
    <definedName name="ltlsname25" localSheetId="2">[7]Parameters!$C$402</definedName>
    <definedName name="ltlsname25">#REF!</definedName>
    <definedName name="ltlsname26" localSheetId="2">[7]Parameters!$C$403</definedName>
    <definedName name="ltlsname26">#REF!</definedName>
    <definedName name="ltlsname27" localSheetId="2">[7]Parameters!$C$404</definedName>
    <definedName name="ltlsname27">#REF!</definedName>
    <definedName name="ltlsname28" localSheetId="2">[7]Parameters!$C$405</definedName>
    <definedName name="ltlsname28">#REF!</definedName>
    <definedName name="ltlsname29" localSheetId="2">[7]Parameters!$C$406</definedName>
    <definedName name="ltlsname29">#REF!</definedName>
    <definedName name="ltlsname30" localSheetId="2">[7]Parameters!$C$407</definedName>
    <definedName name="ltlsname30">#REF!</definedName>
    <definedName name="ltlsname31" localSheetId="2">[7]Parameters!$C$408</definedName>
    <definedName name="ltlsname31">#REF!</definedName>
    <definedName name="ltlsname32" localSheetId="2">[7]Parameters!$C$409</definedName>
    <definedName name="ltlsname32">#REF!</definedName>
    <definedName name="ltlsname33" localSheetId="2">[7]Parameters!$C$410</definedName>
    <definedName name="ltlsname33">#REF!</definedName>
    <definedName name="ltlsname34" localSheetId="2">[7]Parameters!$C$411</definedName>
    <definedName name="ltlsname34">#REF!</definedName>
    <definedName name="ltlsname35" localSheetId="2">[7]Parameters!$C$412</definedName>
    <definedName name="ltlsname35">#REF!</definedName>
    <definedName name="ltlsname36" localSheetId="2">[7]Parameters!$C$413</definedName>
    <definedName name="ltlsname36">#REF!</definedName>
    <definedName name="ltlsname37" localSheetId="2">[7]Parameters!$C$414</definedName>
    <definedName name="ltlsname37">#REF!</definedName>
    <definedName name="ltlsname38" localSheetId="2">[7]Parameters!$C$415</definedName>
    <definedName name="ltlsname38">#REF!</definedName>
    <definedName name="ltlsname39" localSheetId="2">[7]Parameters!$C$416</definedName>
    <definedName name="ltlsname39">#REF!</definedName>
    <definedName name="ltlsname40" localSheetId="2">[7]Parameters!$C$417</definedName>
    <definedName name="ltlsname40">#REF!</definedName>
    <definedName name="ltlsname41" localSheetId="2">[7]Parameters!$C$418</definedName>
    <definedName name="ltlsname41">#REF!</definedName>
    <definedName name="ltlsname42" localSheetId="2">[7]Parameters!$C$419</definedName>
    <definedName name="ltlsname42">#REF!</definedName>
    <definedName name="ltlsname43" localSheetId="2">[7]Parameters!$C$420</definedName>
    <definedName name="ltlsname43">#REF!</definedName>
    <definedName name="ltlsname44" localSheetId="2">[7]Parameters!$C$421</definedName>
    <definedName name="ltlsname44">#REF!</definedName>
    <definedName name="ltlsname45" localSheetId="2">[7]Parameters!$C$422</definedName>
    <definedName name="ltlsname45">#REF!</definedName>
    <definedName name="ltlsname46" localSheetId="2">[7]Parameters!$C$423</definedName>
    <definedName name="ltlsname46">#REF!</definedName>
    <definedName name="ltlsname47" localSheetId="2">[7]Parameters!$C$424</definedName>
    <definedName name="ltlsname47">#REF!</definedName>
    <definedName name="ltlsname48" localSheetId="2">[7]Parameters!$C$425</definedName>
    <definedName name="ltlsname48">#REF!</definedName>
    <definedName name="ltlsname49" localSheetId="2">[7]Parameters!$C$426</definedName>
    <definedName name="ltlsname49">#REF!</definedName>
    <definedName name="ltlsname50" localSheetId="2">[7]Parameters!$C$427</definedName>
    <definedName name="ltlsname50">#REF!</definedName>
    <definedName name="ltlsname51" localSheetId="2">[7]Parameters!$C$428</definedName>
    <definedName name="ltlsname51">#REF!</definedName>
    <definedName name="ltlssal15" localSheetId="2">[7]Parameters!$E$392</definedName>
    <definedName name="ltlssal15">#REF!</definedName>
    <definedName name="ltlssal16" localSheetId="2">[7]Parameters!$E$393</definedName>
    <definedName name="ltlssal16">#REF!</definedName>
    <definedName name="ltlssal17" localSheetId="2">[7]Parameters!$E$394</definedName>
    <definedName name="ltlssal17">#REF!</definedName>
    <definedName name="ltlssal18" localSheetId="2">[7]Parameters!$E$395</definedName>
    <definedName name="ltlssal18">#REF!</definedName>
    <definedName name="ltlssal19" localSheetId="2">[7]Parameters!$E$396</definedName>
    <definedName name="ltlssal19">#REF!</definedName>
    <definedName name="ltlssal20" localSheetId="2">[7]Parameters!$E$397</definedName>
    <definedName name="ltlssal20">#REF!</definedName>
    <definedName name="ltlssal21" localSheetId="2">[7]Parameters!$E$398</definedName>
    <definedName name="ltlssal21">#REF!</definedName>
    <definedName name="ltlssal22" localSheetId="2">[7]Parameters!$E$399</definedName>
    <definedName name="ltlssal22">#REF!</definedName>
    <definedName name="ltlssal23" localSheetId="2">[7]Parameters!$E$400</definedName>
    <definedName name="ltlssal23">#REF!</definedName>
    <definedName name="ltlssal24" localSheetId="2">[7]Parameters!$E$401</definedName>
    <definedName name="ltlssal24">#REF!</definedName>
    <definedName name="ltlssal25" localSheetId="2">[7]Parameters!$E$402</definedName>
    <definedName name="ltlssal25">#REF!</definedName>
    <definedName name="ltlssal26" localSheetId="2">[7]Parameters!$E$403</definedName>
    <definedName name="ltlssal26">#REF!</definedName>
    <definedName name="ltlssal27" localSheetId="2">[7]Parameters!$E$404</definedName>
    <definedName name="ltlssal27">#REF!</definedName>
    <definedName name="ltlssal28" localSheetId="2">[7]Parameters!$E$405</definedName>
    <definedName name="ltlssal28">#REF!</definedName>
    <definedName name="ltlssal29" localSheetId="2">[7]Parameters!$E$406</definedName>
    <definedName name="ltlssal29">#REF!</definedName>
    <definedName name="ltlssal30" localSheetId="2">[7]Parameters!$E$407</definedName>
    <definedName name="ltlssal30">#REF!</definedName>
    <definedName name="ltlssal31" localSheetId="2">[7]Parameters!$E$408</definedName>
    <definedName name="ltlssal31">#REF!</definedName>
    <definedName name="ltlssal32" localSheetId="2">[7]Parameters!$E$409</definedName>
    <definedName name="ltlssal32">#REF!</definedName>
    <definedName name="ltlssal33" localSheetId="2">[7]Parameters!$E$410</definedName>
    <definedName name="ltlssal33">#REF!</definedName>
    <definedName name="ltlssal34" localSheetId="2">[7]Parameters!$E$411</definedName>
    <definedName name="ltlssal34">#REF!</definedName>
    <definedName name="ltlssal35" localSheetId="2">[7]Parameters!$E$412</definedName>
    <definedName name="ltlssal35">#REF!</definedName>
    <definedName name="ltlssal36" localSheetId="2">[7]Parameters!$E$413</definedName>
    <definedName name="ltlssal36">#REF!</definedName>
    <definedName name="ltlssal37" localSheetId="2">[7]Parameters!$E$414</definedName>
    <definedName name="ltlssal37">#REF!</definedName>
    <definedName name="ltlssal38" localSheetId="2">[7]Parameters!$E$415</definedName>
    <definedName name="ltlssal38">#REF!</definedName>
    <definedName name="ltlssal39" localSheetId="2">[7]Parameters!$E$416</definedName>
    <definedName name="ltlssal39">#REF!</definedName>
    <definedName name="ltlssal40" localSheetId="2">[7]Parameters!$E$417</definedName>
    <definedName name="ltlssal40">#REF!</definedName>
    <definedName name="ltlssal41" localSheetId="2">[7]Parameters!$E$418</definedName>
    <definedName name="ltlssal41">#REF!</definedName>
    <definedName name="ltlssal42" localSheetId="2">[7]Parameters!$E$419</definedName>
    <definedName name="ltlssal42">#REF!</definedName>
    <definedName name="ltlssal43" localSheetId="2">[7]Parameters!$E$420</definedName>
    <definedName name="ltlssal43">#REF!</definedName>
    <definedName name="ltlssal44" localSheetId="2">[7]Parameters!$E$421</definedName>
    <definedName name="ltlssal44">#REF!</definedName>
    <definedName name="ltlssal45" localSheetId="2">[7]Parameters!$E$422</definedName>
    <definedName name="ltlssal45">#REF!</definedName>
    <definedName name="ltlssal46" localSheetId="2">[7]Parameters!$E$423</definedName>
    <definedName name="ltlssal46">#REF!</definedName>
    <definedName name="ltlssal47" localSheetId="2">[7]Parameters!$E$424</definedName>
    <definedName name="ltlssal47">#REF!</definedName>
    <definedName name="ltlssal48" localSheetId="2">[7]Parameters!$E$425</definedName>
    <definedName name="ltlssal48">#REF!</definedName>
    <definedName name="ltlssal49" localSheetId="2">[7]Parameters!$E$426</definedName>
    <definedName name="ltlssal49">#REF!</definedName>
    <definedName name="ltlssal50" localSheetId="2">[7]Parameters!$E$427</definedName>
    <definedName name="ltlssal50">#REF!</definedName>
    <definedName name="ltlssal51" localSheetId="2">[7]Parameters!$E$428</definedName>
    <definedName name="ltlssal51">#REF!</definedName>
    <definedName name="ltstravel" localSheetId="2">[33]Parameters!$C$53</definedName>
    <definedName name="ltstravel">#REF!</definedName>
    <definedName name="LTTA" localSheetId="2">#REF!</definedName>
    <definedName name="LTTA">#REF!</definedName>
    <definedName name="lttravel" localSheetId="2">[33]Parameters!$C$52</definedName>
    <definedName name="lttravel">#REF!</definedName>
    <definedName name="Lttripfactor" localSheetId="2">[12]Sheet1!$C$17</definedName>
    <definedName name="Lttripfactor">#REF!</definedName>
    <definedName name="mac_lg_UI_List" localSheetId="2">#REF!</definedName>
    <definedName name="mac_lg_UI_List">#REF!</definedName>
    <definedName name="MACROS" localSheetId="2">#REF!</definedName>
    <definedName name="MACROS">#REF!</definedName>
    <definedName name="MADAC" localSheetId="2">[23]formulas!#REF!</definedName>
    <definedName name="MADAC">#REF!</definedName>
    <definedName name="makeready" localSheetId="2">[12]Sheet1!$C$47</definedName>
    <definedName name="makeready">#REF!</definedName>
    <definedName name="maliinflation" localSheetId="2">#REF!</definedName>
    <definedName name="maliinflation">#REF!</definedName>
    <definedName name="malitravel" localSheetId="2">[12]Sheet1!$C$34</definedName>
    <definedName name="malitravel">#REF!</definedName>
    <definedName name="mapping" localSheetId="2">[34]mapping!$A$8:$I$532</definedName>
    <definedName name="mapping">#REF!</definedName>
    <definedName name="MaritalStatus" localSheetId="2">#REF!</definedName>
    <definedName name="MaritalStatus">#REF!</definedName>
    <definedName name="match" localSheetId="2">'[3]Detailed Budget-SAVE'!#REF!</definedName>
    <definedName name="match">#REF!</definedName>
    <definedName name="maybe" localSheetId="2" hidden="1">{#N/A,#N/A,FALSE,"ManLoading"}</definedName>
    <definedName name="maybe" hidden="1">{#N/A,#N/A,FALSE,"ManLoading"}</definedName>
    <definedName name="ME" localSheetId="2">[5]Parameters!#REF!</definedName>
    <definedName name="ME">#REF!</definedName>
    <definedName name="med" localSheetId="2">#REF!</definedName>
    <definedName name="med">#REF!</definedName>
    <definedName name="medevac" localSheetId="2">[5]Parameters!$D$17</definedName>
    <definedName name="medevac">#REF!</definedName>
    <definedName name="medex">232</definedName>
    <definedName name="Merit" localSheetId="2">'[28]Detail-1'!$J$1</definedName>
    <definedName name="Merit">#REF!</definedName>
    <definedName name="mh" localSheetId="2">#REF!</definedName>
    <definedName name="mh">#REF!</definedName>
    <definedName name="Mid_Level_CCNRate" localSheetId="2">[32]Assumptions!$B$15</definedName>
    <definedName name="Mid_Level_CCNRate">#REF!</definedName>
    <definedName name="Mid_Level_TCNRate" localSheetId="2">[32]Assumptions!$B$13</definedName>
    <definedName name="Mid_Level_TCNRate">#REF!</definedName>
    <definedName name="mie" localSheetId="2">#REF!</definedName>
    <definedName name="mie">#REF!</definedName>
    <definedName name="mielima" localSheetId="2">[5]Parameters!#REF!</definedName>
    <definedName name="mielima">#REF!</definedName>
    <definedName name="mieother" localSheetId="2">[5]Parameters!#REF!</definedName>
    <definedName name="mieother">#REF!</definedName>
    <definedName name="MOBIS_Schedule" localSheetId="2">#REF!</definedName>
    <definedName name="MOBIS_Schedule">#REF!</definedName>
    <definedName name="Moldova" localSheetId="2">#REF!</definedName>
    <definedName name="Moldova">#REF!</definedName>
    <definedName name="Moldova_F2F" localSheetId="2">#REF!</definedName>
    <definedName name="Moldova_F2F">#REF!</definedName>
    <definedName name="MonthHeader_Values" localSheetId="2">EOMONTH(DATE('[14]Yearly Planner'!StartYear,8,1),{0,1,2,3,4,5,6,7,8,9,10,11})+1</definedName>
    <definedName name="MonthHeader_Values">EOMONTH(DATE(#REF!,8,1),{0,1,2,3,4,5,6,7,8,9,10,11})+1</definedName>
    <definedName name="MSE" localSheetId="2">#REF!</definedName>
    <definedName name="MSE">#REF!</definedName>
    <definedName name="msicoreclin1" localSheetId="2">#REF!</definedName>
    <definedName name="msicoreclin1">#REF!</definedName>
    <definedName name="msicoreclin2" localSheetId="2">#REF!</definedName>
    <definedName name="msicoreclin2">#REF!</definedName>
    <definedName name="msicoreclin3">#REF!</definedName>
    <definedName name="msitaclin1">#REF!</definedName>
    <definedName name="msitaclin2">#REF!</definedName>
    <definedName name="msitaclin3">#REF!</definedName>
    <definedName name="Mult_Yr1to3">#REF!</definedName>
    <definedName name="Mult_Yr4">#REF!</definedName>
    <definedName name="Mult_Yr5">#REF!</definedName>
    <definedName name="Multipliers_by_AMAP_year">#REF!</definedName>
    <definedName name="Multiply4" localSheetId="2">[10]RATES!#REF!</definedName>
    <definedName name="Multiply4">#REF!</definedName>
    <definedName name="Multiply5" localSheetId="2">[10]RATES!#REF!</definedName>
    <definedName name="Multiply5">#REF!</definedName>
    <definedName name="name" localSheetId="2" hidden="1">{#N/A,#N/A,FALSE,"ManLoading"}</definedName>
    <definedName name="name" hidden="1">{#N/A,#N/A,FALSE,"ManLoading"}</definedName>
    <definedName name="NAMEA">#REF!</definedName>
    <definedName name="napsa">#REF!</definedName>
    <definedName name="National_factor_year1">#REF!</definedName>
    <definedName name="National_factor_year2">#REF!</definedName>
    <definedName name="National_factor_year3">#REF!</definedName>
    <definedName name="National_factor_year4">#REF!</definedName>
    <definedName name="National_factor_year5">#REF!</definedName>
    <definedName name="NativeTimeline_Date">#N/A</definedName>
    <definedName name="NativeTimeline_Date1">#N/A</definedName>
    <definedName name="NatRes11" localSheetId="2">[10]RATES!#REF!</definedName>
    <definedName name="NatRes11">#REF!</definedName>
    <definedName name="NAWGA">#N/A</definedName>
    <definedName name="New" localSheetId="2">[35]Sheet1!$M$3:$M$8</definedName>
    <definedName name="New">#REF!</definedName>
    <definedName name="NFPA">#N/A</definedName>
    <definedName name="NICRA_GA" localSheetId="2">#REF!</definedName>
    <definedName name="NICRA_GA">#REF!</definedName>
    <definedName name="NICRA_Overhead" localSheetId="2">#REF!</definedName>
    <definedName name="NICRA_Overhead">#REF!</definedName>
    <definedName name="no" localSheetId="2" hidden="1">{#N/A,#N/A,FALSE,"ManLoading"}</definedName>
    <definedName name="no" hidden="1">{#N/A,#N/A,FALSE,"ManLoading"}</definedName>
    <definedName name="none" localSheetId="2" hidden="1">{#N/A,#N/A,FALSE,"ManLoading"}</definedName>
    <definedName name="none" hidden="1">{#N/A,#N/A,FALSE,"ManLoading"}</definedName>
    <definedName name="none1" localSheetId="2" hidden="1">{#N/A,#N/A,FALSE,"ManLoading"}</definedName>
    <definedName name="none1" hidden="1">{#N/A,#N/A,FALSE,"ManLoading"}</definedName>
    <definedName name="ODC" localSheetId="2">[10]RATES!#REF!</definedName>
    <definedName name="ODC">#REF!</definedName>
    <definedName name="ODC_Escalation" localSheetId="2">#REF!</definedName>
    <definedName name="ODC_Escalation">#REF!</definedName>
    <definedName name="ODC_Escalation_DPK" localSheetId="2">[32]Assumptions!$B$10</definedName>
    <definedName name="ODC_Escalation_DPK">#REF!</definedName>
    <definedName name="ODCesc" localSheetId="2">[16]Assumptions!$H$14</definedName>
    <definedName name="ODCesc">#REF!</definedName>
    <definedName name="OH" localSheetId="2">#REF!</definedName>
    <definedName name="OH">#REF!</definedName>
    <definedName name="OnCNFA" localSheetId="2">#REF!</definedName>
    <definedName name="OnCNFA">#REF!</definedName>
    <definedName name="Other_Direct_Costs" localSheetId="2">'[13]INPUTS Year 1'!#REF!</definedName>
    <definedName name="Other_Direct_Costs">#REF!</definedName>
    <definedName name="Other11" localSheetId="2">[10]RATES!#REF!</definedName>
    <definedName name="Other11">#REF!</definedName>
    <definedName name="Other13" localSheetId="2">[10]RATES!#REF!</definedName>
    <definedName name="Other13">#REF!</definedName>
    <definedName name="Othertotalpd" localSheetId="2">[17]Parameters!$B$32</definedName>
    <definedName name="Othertotalpd">#REF!</definedName>
    <definedName name="overhead" localSheetId="2">#REF!</definedName>
    <definedName name="overhead">#REF!</definedName>
    <definedName name="PAGE4" localSheetId="2" hidden="1">{"actuals_1",#N/A,FALSE,"CO 1 YRS";"burden_1",#N/A,FALSE,"CO 1 YRS";"input",#N/A,FALSE,"INPUT"}</definedName>
    <definedName name="PAGE4" hidden="1">{"actuals_1",#N/A,FALSE,"CO 1 YRS";"burden_1",#N/A,FALSE,"CO 1 YRS";"input",#N/A,FALSE,"INPUT"}</definedName>
    <definedName name="PATTA">#REF!</definedName>
    <definedName name="paye">#REF!</definedName>
    <definedName name="payroll">#REF!</definedName>
    <definedName name="payslips">#REF!</definedName>
    <definedName name="pd" localSheetId="2">[5]Parameters!$D$49</definedName>
    <definedName name="pd">#REF!</definedName>
    <definedName name="PDDAYS">#N/A</definedName>
    <definedName name="pdintl" localSheetId="2">[7]Parameters!$B$534</definedName>
    <definedName name="pdintl">#REF!</definedName>
    <definedName name="pdloc" localSheetId="2">[7]Parameters!$B$535</definedName>
    <definedName name="pdloc">#REF!</definedName>
    <definedName name="pdother" localSheetId="2">[5]Parameters!$D$50</definedName>
    <definedName name="pdother">#REF!</definedName>
    <definedName name="pdotherdos" localSheetId="2">[5]Parameters!$D$54</definedName>
    <definedName name="pdotherdos">#REF!</definedName>
    <definedName name="pdpesh" localSheetId="2">[7]Parameters!$B$537</definedName>
    <definedName name="pdpesh">#REF!</definedName>
    <definedName name="Per_Diem1" localSheetId="2">#REF!</definedName>
    <definedName name="Per_Diem1">#REF!</definedName>
    <definedName name="Per_Diem2" localSheetId="2">#REF!</definedName>
    <definedName name="Per_Diem2">#REF!</definedName>
    <definedName name="Per_Diem3" localSheetId="2">#REF!</definedName>
    <definedName name="Per_Diem3">#REF!</definedName>
    <definedName name="Perdiem" localSheetId="2">[16]Assumptions!$B$23:$F$25</definedName>
    <definedName name="Perdiem">#REF!</definedName>
    <definedName name="perdiembko" localSheetId="2">[12]Sheet1!$C$22</definedName>
    <definedName name="perdiembko">#REF!</definedName>
    <definedName name="perdiemdays" localSheetId="2">[36]Info!$C$14</definedName>
    <definedName name="perdiemdays">#REF!</definedName>
    <definedName name="perdieme" localSheetId="2">[33]Parameters!$C$33</definedName>
    <definedName name="perdieme">#REF!</definedName>
    <definedName name="perdiemfactor" localSheetId="2">[12]Sheet1!$C$26</definedName>
    <definedName name="perdiemfactor">#REF!</definedName>
    <definedName name="perdiemintl" localSheetId="2">[12]Sheet1!$C$24</definedName>
    <definedName name="perdiemintl">#REF!</definedName>
    <definedName name="perdiemoth" localSheetId="2">[12]Sheet1!$C$25</definedName>
    <definedName name="perdiemoth">#REF!</definedName>
    <definedName name="Person_Days" localSheetId="2">#REF!</definedName>
    <definedName name="Person_Days">#REF!</definedName>
    <definedName name="Person_Year" localSheetId="2">#REF!</definedName>
    <definedName name="Person_Year">#REF!</definedName>
    <definedName name="PIP">#N/A</definedName>
    <definedName name="PM" localSheetId="2">[10]RATES!#REF!</definedName>
    <definedName name="PM">#REF!</definedName>
    <definedName name="pmperdiem" localSheetId="2">#REF!</definedName>
    <definedName name="pmperdiem">#REF!</definedName>
    <definedName name="Policy11" localSheetId="2">[10]RATES!#REF!</definedName>
    <definedName name="Policy11">#REF!</definedName>
    <definedName name="Policy12" localSheetId="2">[10]RATES!#REF!</definedName>
    <definedName name="Policy12">#REF!</definedName>
    <definedName name="Policy13" localSheetId="2">[10]RATES!#REF!</definedName>
    <definedName name="Policy13">#REF!</definedName>
    <definedName name="Post_Differential" localSheetId="2">#REF!</definedName>
    <definedName name="Post_Differential">#REF!</definedName>
    <definedName name="postdiff" localSheetId="2">[5]Parameters!$D$55</definedName>
    <definedName name="postdiff">#REF!</definedName>
    <definedName name="_xlnm.Print_Area" localSheetId="2">'FEREMA Sub Budget'!$A$9:$W$114</definedName>
    <definedName name="_xlnm.Print_Area" localSheetId="6">'Indirect Calculations'!$B$6:$J$54</definedName>
    <definedName name="_xlnm.Print_Area" localSheetId="1">'Program Budget'!$D$6:$AA$984</definedName>
    <definedName name="_xlnm.Print_Area" localSheetId="0">'USDA Budget Summary'!$A$1:$F$70</definedName>
    <definedName name="_xlnm.Print_Area">#REF!</definedName>
    <definedName name="Print_Area_MI" localSheetId="2">#REF!</definedName>
    <definedName name="Print_Area_MI">#REF!</definedName>
    <definedName name="Print_Area2" localSheetId="2">#REF!</definedName>
    <definedName name="Print_Area2">#REF!</definedName>
    <definedName name="_xlnm.Print_Titles" localSheetId="2">'FEREMA Sub Budget'!$9:$10</definedName>
    <definedName name="_xlnm.Print_Titles">#N/A</definedName>
    <definedName name="Print_Titles_MI" localSheetId="2">#REF!</definedName>
    <definedName name="Print_Titles_MI">#REF!</definedName>
    <definedName name="Profit" localSheetId="2">#REF!</definedName>
    <definedName name="Profit">#REF!</definedName>
    <definedName name="project" localSheetId="2">[7]Parameters!$B$5</definedName>
    <definedName name="project">#REF!</definedName>
    <definedName name="Project_support_costs" localSheetId="2">#REF!</definedName>
    <definedName name="Project_support_costs">#REF!</definedName>
    <definedName name="proposed" localSheetId="2" hidden="1">{#N/A,#N/A,FALSE,"ManLoading"}</definedName>
    <definedName name="proposed" hidden="1">{#N/A,#N/A,FALSE,"ManLoading"}</definedName>
    <definedName name="PURD">#N/A</definedName>
    <definedName name="PURD1">#N/A</definedName>
    <definedName name="PURD4">#N/A</definedName>
    <definedName name="q">#REF!</definedName>
    <definedName name="quetzaltenango">#REF!</definedName>
    <definedName name="quiche">#REF!</definedName>
    <definedName name="Raises_Expat">#REF!</definedName>
    <definedName name="Raises_HCN">#REF!</definedName>
    <definedName name="Raises_TCN">#REF!</definedName>
    <definedName name="Rate1">#REF!</definedName>
    <definedName name="Rate2">#REF!</definedName>
    <definedName name="rate3">#REF!</definedName>
    <definedName name="Rate4">#REF!</definedName>
    <definedName name="Rate5">#REF!</definedName>
    <definedName name="Rate6">#REF!</definedName>
    <definedName name="Rate7">#REF!</definedName>
    <definedName name="Rate8">#REF!</definedName>
    <definedName name="Rate9">#REF!</definedName>
    <definedName name="ratecos">#REF!</definedName>
    <definedName name="regina" localSheetId="2" hidden="1">[2]IPA!#REF!</definedName>
    <definedName name="regina" hidden="1">#REF!</definedName>
    <definedName name="Regional_Offices" localSheetId="2">'[37] Program Support Costs'!#REF!</definedName>
    <definedName name="Regional_Offices">#REF!</definedName>
    <definedName name="remit_zra" localSheetId="2">#REF!</definedName>
    <definedName name="remit_zra">#REF!</definedName>
    <definedName name="RETdirectdeposit" localSheetId="2">#REF!</definedName>
    <definedName name="RETdirectdeposit">#REF!</definedName>
    <definedName name="rfp" localSheetId="2">[5]Parameters!$B$4</definedName>
    <definedName name="rfp">#REF!</definedName>
    <definedName name="RFPNo" localSheetId="2">[4]Parameters!$B$2</definedName>
    <definedName name="RFPNo">#REF!</definedName>
    <definedName name="room" localSheetId="2">#REF!</definedName>
    <definedName name="room">#REF!</definedName>
    <definedName name="rovercost" localSheetId="2">[5]Parameters!$H$30</definedName>
    <definedName name="rovercost">#REF!</definedName>
    <definedName name="rr" localSheetId="2">[5]Parameters!$D$25</definedName>
    <definedName name="rr">#REF!</definedName>
    <definedName name="rrair" localSheetId="2">[17]Parameters!$B$40</definedName>
    <definedName name="rrair">#REF!</definedName>
    <definedName name="rrrrr" localSheetId="2">'[38]05TRANS'!$B$7:$L$34</definedName>
    <definedName name="rrrrr">#REF!</definedName>
    <definedName name="rsa_inflation" localSheetId="2">#REF!</definedName>
    <definedName name="rsa_inflation">#REF!</definedName>
    <definedName name="rtecon" localSheetId="2">[5]Parameters!$D$24</definedName>
    <definedName name="rtecon">#REF!</definedName>
    <definedName name="RYUK" localSheetId="2" hidden="1">{"PAGE1",#N/A,FALSE,"CPFFMSTR";"PAGE2",#N/A,FALSE,"CPFFMSTR"}</definedName>
    <definedName name="RYUK" hidden="1">{"PAGE1",#N/A,FALSE,"CPFFMSTR";"PAGE2",#N/A,FALSE,"CPFFMSTR"}</definedName>
    <definedName name="sa">#REF!</definedName>
    <definedName name="SAL">#REF!</definedName>
    <definedName name="salary_inflation" localSheetId="2">'[39]Formula Values'!$B$4</definedName>
    <definedName name="salary_inflation">#REF!</definedName>
    <definedName name="SALARYORHOURLY" localSheetId="2">#REF!</definedName>
    <definedName name="SALARYORHOURLY">#REF!</definedName>
    <definedName name="salesc">0.05</definedName>
    <definedName name="salinc">#REF!</definedName>
    <definedName name="salincr" localSheetId="2">[5]Parameters!$D$7</definedName>
    <definedName name="salincr">#REF!</definedName>
    <definedName name="salincrease" localSheetId="2">[36]Info!$C$5</definedName>
    <definedName name="salincrease">#REF!</definedName>
    <definedName name="salincrloc" localSheetId="2">[7]Parameters!$B$503</definedName>
    <definedName name="salincrloc">#REF!</definedName>
    <definedName name="salmaxes6" localSheetId="2">[7]Parameters!$B$559</definedName>
    <definedName name="salmaxes6">#REF!</definedName>
    <definedName name="salmaxfsn" localSheetId="2">[7]Parameters!$B$560</definedName>
    <definedName name="salmaxfsn">#REF!</definedName>
    <definedName name="sanmarcos" localSheetId="2">#REF!</definedName>
    <definedName name="sanmarcos">#REF!</definedName>
    <definedName name="sc" localSheetId="2">[40]Sheet1!$M$3:$M$8</definedName>
    <definedName name="sc">#REF!</definedName>
    <definedName name="sda" localSheetId="2" hidden="1">{#N/A,#N/A,FALSE,"ManLoading"}</definedName>
    <definedName name="sda" hidden="1">{#N/A,#N/A,FALSE,"ManLoading"}</definedName>
    <definedName name="sdfg" localSheetId="2" hidden="1">{"PAGE1",#N/A,FALSE,"CPFFMSTR";"PAGE2",#N/A,FALSE,"CPFFMSTR"}</definedName>
    <definedName name="sdfg" hidden="1">{"PAGE1",#N/A,FALSE,"CPFFMSTR";"PAGE2",#N/A,FALSE,"CPFFMSTR"}</definedName>
    <definedName name="Senior_CCNRate" localSheetId="2">[32]Assumptions!$B$14</definedName>
    <definedName name="Senior_CCNRate">#REF!</definedName>
    <definedName name="Senior_TCNRate" localSheetId="2">[32]Assumptions!$B$12</definedName>
    <definedName name="Senior_TCNRate">#REF!</definedName>
    <definedName name="SEV" localSheetId="2">#REF!</definedName>
    <definedName name="SEV">#REF!</definedName>
    <definedName name="severance" localSheetId="2">[5]Parameters!$D$64</definedName>
    <definedName name="severance">#REF!</definedName>
    <definedName name="severancedata" localSheetId="2">'[21]Summary Budget'!$O$34:$R$35</definedName>
    <definedName name="severancedata">#REF!</definedName>
    <definedName name="SEVPA" localSheetId="2">#REF!</definedName>
    <definedName name="SEVPA">#REF!</definedName>
    <definedName name="SFG" localSheetId="2" hidden="1">{"PAGE1",#N/A,FALSE,"CPFFMSTR";"PAGE2",#N/A,FALSE,"CPFFMSTR"}</definedName>
    <definedName name="SFG" hidden="1">{"PAGE1",#N/A,FALSE,"CPFFMSTR";"PAGE2",#N/A,FALSE,"CPFFMSTR"}</definedName>
    <definedName name="sho" localSheetId="2">'[3]Detailed Budget-SAVE'!#REF!</definedName>
    <definedName name="sho">#REF!</definedName>
    <definedName name="Site" localSheetId="2">[10]RATES!#REF!</definedName>
    <definedName name="Site">#REF!</definedName>
    <definedName name="small" localSheetId="2">#REF!</definedName>
    <definedName name="small">#REF!</definedName>
    <definedName name="staff" localSheetId="2">[41]Sheet1!$M$3:$M$8</definedName>
    <definedName name="staff">#REF!</definedName>
    <definedName name="staff_fringe" localSheetId="2">#REF!</definedName>
    <definedName name="staff_fringe">#REF!</definedName>
    <definedName name="stafffringe" localSheetId="2">#REF!</definedName>
    <definedName name="stafffringe">#REF!</definedName>
    <definedName name="staffperdiem" localSheetId="2">#REF!</definedName>
    <definedName name="staffperdiem">#REF!</definedName>
    <definedName name="START">#N/A</definedName>
    <definedName name="startdate">#REF!</definedName>
    <definedName name="stexpercent" localSheetId="2">[5]Parameters!$D$30</definedName>
    <definedName name="stexpercent">#REF!</definedName>
    <definedName name="stlp" localSheetId="2">[7]Parameters!$A$298</definedName>
    <definedName name="stlp">#REF!</definedName>
    <definedName name="stlp1" localSheetId="2">[7]Parameters!$A$300</definedName>
    <definedName name="stlp1">#REF!</definedName>
    <definedName name="stlp10" localSheetId="2">[7]Parameters!$A$309</definedName>
    <definedName name="stlp10">#REF!</definedName>
    <definedName name="stlp10co" localSheetId="2">[7]Parameters!$G$309</definedName>
    <definedName name="stlp10co">#REF!</definedName>
    <definedName name="stlp10name" localSheetId="2">[7]Parameters!$C$309</definedName>
    <definedName name="stlp10name">#REF!</definedName>
    <definedName name="stlp10sal1" localSheetId="2">[7]Parameters!$E$309</definedName>
    <definedName name="stlp10sal1">#REF!</definedName>
    <definedName name="stlp11" localSheetId="2">[7]Parameters!$A$310</definedName>
    <definedName name="stlp11">#REF!</definedName>
    <definedName name="stlp12" localSheetId="2">[7]Parameters!$A$311</definedName>
    <definedName name="stlp12">#REF!</definedName>
    <definedName name="stlp13" localSheetId="2">[7]Parameters!$A$312</definedName>
    <definedName name="stlp13">#REF!</definedName>
    <definedName name="stlp14" localSheetId="2">[7]Parameters!$A$313</definedName>
    <definedName name="stlp14">#REF!</definedName>
    <definedName name="stlp15" localSheetId="2">[7]Parameters!$A$314</definedName>
    <definedName name="stlp15">#REF!</definedName>
    <definedName name="stlp16" localSheetId="2">[7]Parameters!$A$315</definedName>
    <definedName name="stlp16">#REF!</definedName>
    <definedName name="stlp17" localSheetId="2">[7]Parameters!$A$316</definedName>
    <definedName name="stlp17">#REF!</definedName>
    <definedName name="stlp18" localSheetId="2">[7]Parameters!$A$317</definedName>
    <definedName name="stlp18">#REF!</definedName>
    <definedName name="stlp19" localSheetId="2">[7]Parameters!$A$318</definedName>
    <definedName name="stlp19">#REF!</definedName>
    <definedName name="stlp1co" localSheetId="2">[7]Parameters!$G$300</definedName>
    <definedName name="stlp1co">#REF!</definedName>
    <definedName name="stlp1name" localSheetId="2">[7]Parameters!$C$300</definedName>
    <definedName name="stlp1name">#REF!</definedName>
    <definedName name="stlp1sal1" localSheetId="2">[7]Parameters!$E$300</definedName>
    <definedName name="stlp1sal1">#REF!</definedName>
    <definedName name="stlp2" localSheetId="2">[7]Parameters!$A$301</definedName>
    <definedName name="stlp2">#REF!</definedName>
    <definedName name="stlp20" localSheetId="2">[7]Parameters!$A$319</definedName>
    <definedName name="stlp20">#REF!</definedName>
    <definedName name="stlp21" localSheetId="2">[7]Parameters!$A$320</definedName>
    <definedName name="stlp21">#REF!</definedName>
    <definedName name="stlp22" localSheetId="2">[7]Parameters!$A$321</definedName>
    <definedName name="stlp22">#REF!</definedName>
    <definedName name="stlp23" localSheetId="2">[7]Parameters!$A$322</definedName>
    <definedName name="stlp23">#REF!</definedName>
    <definedName name="stlp24" localSheetId="2">[7]Parameters!$A$323</definedName>
    <definedName name="stlp24">#REF!</definedName>
    <definedName name="stlp25" localSheetId="2">[7]Parameters!$A$324</definedName>
    <definedName name="stlp25">#REF!</definedName>
    <definedName name="stlp26" localSheetId="2">[7]Parameters!$A$325</definedName>
    <definedName name="stlp26">#REF!</definedName>
    <definedName name="stlp27" localSheetId="2">[7]Parameters!$A$326</definedName>
    <definedName name="stlp27">#REF!</definedName>
    <definedName name="stlp28" localSheetId="2">[7]Parameters!$A$327</definedName>
    <definedName name="stlp28">#REF!</definedName>
    <definedName name="stlp29" localSheetId="2">[7]Parameters!$A$328</definedName>
    <definedName name="stlp29">#REF!</definedName>
    <definedName name="stlp2co" localSheetId="2">[7]Parameters!$G$301</definedName>
    <definedName name="stlp2co">#REF!</definedName>
    <definedName name="stlp2name" localSheetId="2">[7]Parameters!$C$301</definedName>
    <definedName name="stlp2name">#REF!</definedName>
    <definedName name="stlp2sal1" localSheetId="2">[7]Parameters!$E$301</definedName>
    <definedName name="stlp2sal1">#REF!</definedName>
    <definedName name="stlp3" localSheetId="2">[7]Parameters!$A$302</definedName>
    <definedName name="stlp3">#REF!</definedName>
    <definedName name="stlp30" localSheetId="2">[7]Parameters!$A$329</definedName>
    <definedName name="stlp30">#REF!</definedName>
    <definedName name="stlp31" localSheetId="2">[7]Parameters!$A$330</definedName>
    <definedName name="stlp31">#REF!</definedName>
    <definedName name="stlp32" localSheetId="2">[7]Parameters!$A$331</definedName>
    <definedName name="stlp32">#REF!</definedName>
    <definedName name="stlp33" localSheetId="2">[7]Parameters!$A$332</definedName>
    <definedName name="stlp33">#REF!</definedName>
    <definedName name="stlp34" localSheetId="2">[7]Parameters!$A$333</definedName>
    <definedName name="stlp34">#REF!</definedName>
    <definedName name="stlp35" localSheetId="2">[7]Parameters!$A$334</definedName>
    <definedName name="stlp35">#REF!</definedName>
    <definedName name="stlp36" localSheetId="2">[7]Parameters!$A$335</definedName>
    <definedName name="stlp36">#REF!</definedName>
    <definedName name="stlp37" localSheetId="2">[7]Parameters!$A$336</definedName>
    <definedName name="stlp37">#REF!</definedName>
    <definedName name="stlp38" localSheetId="2">[7]Parameters!$A$337</definedName>
    <definedName name="stlp38">#REF!</definedName>
    <definedName name="stlp39" localSheetId="2">[7]Parameters!$A$338</definedName>
    <definedName name="stlp39">#REF!</definedName>
    <definedName name="stlp3co" localSheetId="2">[7]Parameters!$G$302</definedName>
    <definedName name="stlp3co">#REF!</definedName>
    <definedName name="stlp3name" localSheetId="2">[7]Parameters!$C$302</definedName>
    <definedName name="stlp3name">#REF!</definedName>
    <definedName name="stlp3sal1" localSheetId="2">[7]Parameters!$E$302</definedName>
    <definedName name="stlp3sal1">#REF!</definedName>
    <definedName name="stlp4" localSheetId="2">[7]Parameters!$A$303</definedName>
    <definedName name="stlp4">#REF!</definedName>
    <definedName name="stlp40" localSheetId="2">[7]Parameters!$A$339</definedName>
    <definedName name="stlp40">#REF!</definedName>
    <definedName name="stlp41" localSheetId="2">[7]Parameters!$A$340</definedName>
    <definedName name="stlp41">#REF!</definedName>
    <definedName name="stlp42" localSheetId="2">[7]Parameters!$A$341</definedName>
    <definedName name="stlp42">#REF!</definedName>
    <definedName name="stlp43" localSheetId="2">[7]Parameters!$A$342</definedName>
    <definedName name="stlp43">#REF!</definedName>
    <definedName name="stlp44" localSheetId="2">[7]Parameters!$A$343</definedName>
    <definedName name="stlp44">#REF!</definedName>
    <definedName name="stlp45" localSheetId="2">[7]Parameters!$A$344</definedName>
    <definedName name="stlp45">#REF!</definedName>
    <definedName name="stlp46" localSheetId="2">[7]Parameters!$A$345</definedName>
    <definedName name="stlp46">#REF!</definedName>
    <definedName name="stlp47" localSheetId="2">[7]Parameters!$A$346</definedName>
    <definedName name="stlp47">#REF!</definedName>
    <definedName name="stlp48" localSheetId="2">[7]Parameters!$A$347</definedName>
    <definedName name="stlp48">#REF!</definedName>
    <definedName name="stlp49" localSheetId="2">[7]Parameters!$A$348</definedName>
    <definedName name="stlp49">#REF!</definedName>
    <definedName name="stlp4co" localSheetId="2">[7]Parameters!$G$303</definedName>
    <definedName name="stlp4co">#REF!</definedName>
    <definedName name="stlp4name" localSheetId="2">[7]Parameters!$C$303</definedName>
    <definedName name="stlp4name">#REF!</definedName>
    <definedName name="stlp4sal1" localSheetId="2">[7]Parameters!$E$303</definedName>
    <definedName name="stlp4sal1">#REF!</definedName>
    <definedName name="stlp5" localSheetId="2">[7]Parameters!$A$304</definedName>
    <definedName name="stlp5">#REF!</definedName>
    <definedName name="stlp50" localSheetId="2">[7]Parameters!$A$349</definedName>
    <definedName name="stlp50">#REF!</definedName>
    <definedName name="stlp51" localSheetId="2">[7]Parameters!$A$350</definedName>
    <definedName name="stlp51">#REF!</definedName>
    <definedName name="stlp52" localSheetId="2">[7]Parameters!$A$351</definedName>
    <definedName name="stlp52">#REF!</definedName>
    <definedName name="stlp53" localSheetId="2">[7]Parameters!$A$352</definedName>
    <definedName name="stlp53">#REF!</definedName>
    <definedName name="stlp54" localSheetId="2">[7]Parameters!$A$353</definedName>
    <definedName name="stlp54">#REF!</definedName>
    <definedName name="stlp55" localSheetId="2">[7]Parameters!$A$354</definedName>
    <definedName name="stlp55">#REF!</definedName>
    <definedName name="stlp56" localSheetId="2">[7]Parameters!$A$355</definedName>
    <definedName name="stlp56">#REF!</definedName>
    <definedName name="stlp57" localSheetId="2">[7]Parameters!$A$356</definedName>
    <definedName name="stlp57">#REF!</definedName>
    <definedName name="stlp58" localSheetId="2">[7]Parameters!$A$357</definedName>
    <definedName name="stlp58">#REF!</definedName>
    <definedName name="stlp59" localSheetId="2">[7]Parameters!$A$358</definedName>
    <definedName name="stlp59">#REF!</definedName>
    <definedName name="stlp5co" localSheetId="2">[7]Parameters!$G$304</definedName>
    <definedName name="stlp5co">#REF!</definedName>
    <definedName name="stlp5name" localSheetId="2">[7]Parameters!$C$304</definedName>
    <definedName name="stlp5name">#REF!</definedName>
    <definedName name="stlp5sal1" localSheetId="2">[7]Parameters!$E$304</definedName>
    <definedName name="stlp5sal1">#REF!</definedName>
    <definedName name="stlp6" localSheetId="2">[7]Parameters!$A$305</definedName>
    <definedName name="stlp6">#REF!</definedName>
    <definedName name="stlp60" localSheetId="2">[7]Parameters!$A$359</definedName>
    <definedName name="stlp60">#REF!</definedName>
    <definedName name="stlp61" localSheetId="2">[7]Parameters!$A$360</definedName>
    <definedName name="stlp61">#REF!</definedName>
    <definedName name="stlp62" localSheetId="2">[7]Parameters!$A$361</definedName>
    <definedName name="stlp62">#REF!</definedName>
    <definedName name="stlp63" localSheetId="2">[7]Parameters!$A$362</definedName>
    <definedName name="stlp63">#REF!</definedName>
    <definedName name="stlp64" localSheetId="2">[7]Parameters!$A$363</definedName>
    <definedName name="stlp64">#REF!</definedName>
    <definedName name="stlp65" localSheetId="2">[7]Parameters!$A$364</definedName>
    <definedName name="stlp65">#REF!</definedName>
    <definedName name="stlp66" localSheetId="2">[7]Parameters!$A$365</definedName>
    <definedName name="stlp66">#REF!</definedName>
    <definedName name="stlp67" localSheetId="2">[7]Parameters!$A$366</definedName>
    <definedName name="stlp67">#REF!</definedName>
    <definedName name="stlp68" localSheetId="2">[7]Parameters!$A$367</definedName>
    <definedName name="stlp68">#REF!</definedName>
    <definedName name="stlp69" localSheetId="2">[7]Parameters!$A$368</definedName>
    <definedName name="stlp69">#REF!</definedName>
    <definedName name="stlp6co" localSheetId="2">[7]Parameters!$G$305</definedName>
    <definedName name="stlp6co">#REF!</definedName>
    <definedName name="stlp6name" localSheetId="2">[7]Parameters!$C$305</definedName>
    <definedName name="stlp6name">#REF!</definedName>
    <definedName name="stlp6sal1" localSheetId="2">[7]Parameters!$E$305</definedName>
    <definedName name="stlp6sal1">#REF!</definedName>
    <definedName name="stlp7" localSheetId="2">[7]Parameters!$A$306</definedName>
    <definedName name="stlp7">#REF!</definedName>
    <definedName name="stlp70" localSheetId="2">[7]Parameters!$A$369</definedName>
    <definedName name="stlp70">#REF!</definedName>
    <definedName name="stlp71" localSheetId="2">[7]Parameters!$A$370</definedName>
    <definedName name="stlp71">#REF!</definedName>
    <definedName name="stlp72" localSheetId="2">[7]Parameters!$A$371</definedName>
    <definedName name="stlp72">#REF!</definedName>
    <definedName name="stlp73" localSheetId="2">[7]Parameters!$A$372</definedName>
    <definedName name="stlp73">#REF!</definedName>
    <definedName name="stlp74" localSheetId="2">[7]Parameters!$A$373</definedName>
    <definedName name="stlp74">#REF!</definedName>
    <definedName name="stlp75" localSheetId="2">[7]Parameters!$A$374</definedName>
    <definedName name="stlp75">#REF!</definedName>
    <definedName name="stlp7co" localSheetId="2">[7]Parameters!$G$306</definedName>
    <definedName name="stlp7co">#REF!</definedName>
    <definedName name="stlp7name" localSheetId="2">[7]Parameters!$C$306</definedName>
    <definedName name="stlp7name">#REF!</definedName>
    <definedName name="stlp7sal1" localSheetId="2">[7]Parameters!$E$306</definedName>
    <definedName name="stlp7sal1">#REF!</definedName>
    <definedName name="stlp8" localSheetId="2">[7]Parameters!$A$307</definedName>
    <definedName name="stlp8">#REF!</definedName>
    <definedName name="stlp8co" localSheetId="2">[7]Parameters!$G$307</definedName>
    <definedName name="stlp8co">#REF!</definedName>
    <definedName name="stlp8name" localSheetId="2">[7]Parameters!$C$307</definedName>
    <definedName name="stlp8name">#REF!</definedName>
    <definedName name="stlp8sal1" localSheetId="2">[7]Parameters!$E$307</definedName>
    <definedName name="stlp8sal1">#REF!</definedName>
    <definedName name="stlp9" localSheetId="2">[7]Parameters!$A$308</definedName>
    <definedName name="stlp9">#REF!</definedName>
    <definedName name="stlp9co" localSheetId="2">[7]Parameters!$G$308</definedName>
    <definedName name="stlp9co">#REF!</definedName>
    <definedName name="stlp9name" localSheetId="2">[7]Parameters!$C$308</definedName>
    <definedName name="stlp9name">#REF!</definedName>
    <definedName name="stlp9sal1" localSheetId="2">[7]Parameters!$E$308</definedName>
    <definedName name="stlp9sal1">#REF!</definedName>
    <definedName name="stlpco11" localSheetId="2">[7]Parameters!$G$310</definedName>
    <definedName name="stlpco11">#REF!</definedName>
    <definedName name="stlpco12" localSheetId="2">[7]Parameters!$G$311</definedName>
    <definedName name="stlpco12">#REF!</definedName>
    <definedName name="stlpco13" localSheetId="2">[7]Parameters!$G$312</definedName>
    <definedName name="stlpco13">#REF!</definedName>
    <definedName name="stlpco14" localSheetId="2">[7]Parameters!$G$313</definedName>
    <definedName name="stlpco14">#REF!</definedName>
    <definedName name="stlpco15" localSheetId="2">[7]Parameters!$G$314</definedName>
    <definedName name="stlpco15">#REF!</definedName>
    <definedName name="stlpco16" localSheetId="2">[7]Parameters!$G$315</definedName>
    <definedName name="stlpco16">#REF!</definedName>
    <definedName name="stlpco17" localSheetId="2">[7]Parameters!$G$316</definedName>
    <definedName name="stlpco17">#REF!</definedName>
    <definedName name="stlpco18" localSheetId="2">[7]Parameters!$G$317</definedName>
    <definedName name="stlpco18">#REF!</definedName>
    <definedName name="stlpco19" localSheetId="2">[7]Parameters!$G$318</definedName>
    <definedName name="stlpco19">#REF!</definedName>
    <definedName name="stlpco20" localSheetId="2">[7]Parameters!$G$319</definedName>
    <definedName name="stlpco20">#REF!</definedName>
    <definedName name="stlpco21" localSheetId="2">[7]Parameters!$G$320</definedName>
    <definedName name="stlpco21">#REF!</definedName>
    <definedName name="stlpco22" localSheetId="2">[7]Parameters!$G$321</definedName>
    <definedName name="stlpco22">#REF!</definedName>
    <definedName name="stlpco23" localSheetId="2">[7]Parameters!$G$322</definedName>
    <definedName name="stlpco23">#REF!</definedName>
    <definedName name="stlpco24" localSheetId="2">[7]Parameters!$G$323</definedName>
    <definedName name="stlpco24">#REF!</definedName>
    <definedName name="stlpco25" localSheetId="2">[7]Parameters!$G$324</definedName>
    <definedName name="stlpco25">#REF!</definedName>
    <definedName name="stlpco26" localSheetId="2">[7]Parameters!$G$325</definedName>
    <definedName name="stlpco26">#REF!</definedName>
    <definedName name="stlpco27" localSheetId="2">[7]Parameters!$G$326</definedName>
    <definedName name="stlpco27">#REF!</definedName>
    <definedName name="stlpco28" localSheetId="2">[7]Parameters!$G$327</definedName>
    <definedName name="stlpco28">#REF!</definedName>
    <definedName name="stlpco29" localSheetId="2">[7]Parameters!$G$328</definedName>
    <definedName name="stlpco29">#REF!</definedName>
    <definedName name="stlpco30" localSheetId="2">[7]Parameters!$G$329</definedName>
    <definedName name="stlpco30">#REF!</definedName>
    <definedName name="stlpco31" localSheetId="2">[7]Parameters!$G$330</definedName>
    <definedName name="stlpco31">#REF!</definedName>
    <definedName name="stlpco32" localSheetId="2">[7]Parameters!$G$331</definedName>
    <definedName name="stlpco32">#REF!</definedName>
    <definedName name="stlpco33" localSheetId="2">[7]Parameters!$G$332</definedName>
    <definedName name="stlpco33">#REF!</definedName>
    <definedName name="stlpco34" localSheetId="2">[7]Parameters!$G$333</definedName>
    <definedName name="stlpco34">#REF!</definedName>
    <definedName name="stlpco35" localSheetId="2">[7]Parameters!$G$334</definedName>
    <definedName name="stlpco35">#REF!</definedName>
    <definedName name="stlpco36" localSheetId="2">[7]Parameters!$G$335</definedName>
    <definedName name="stlpco36">#REF!</definedName>
    <definedName name="stlpco37" localSheetId="2">[7]Parameters!$G$336</definedName>
    <definedName name="stlpco37">#REF!</definedName>
    <definedName name="stlpco38" localSheetId="2">[7]Parameters!$G$337</definedName>
    <definedName name="stlpco38">#REF!</definedName>
    <definedName name="stlpco39" localSheetId="2">[7]Parameters!$G$338</definedName>
    <definedName name="stlpco39">#REF!</definedName>
    <definedName name="stlpco40" localSheetId="2">[7]Parameters!$G$339</definedName>
    <definedName name="stlpco40">#REF!</definedName>
    <definedName name="stlpco41" localSheetId="2">[7]Parameters!$G$340</definedName>
    <definedName name="stlpco41">#REF!</definedName>
    <definedName name="stlpco42" localSheetId="2">[7]Parameters!$G$341</definedName>
    <definedName name="stlpco42">#REF!</definedName>
    <definedName name="stlpco43" localSheetId="2">[7]Parameters!$G$342</definedName>
    <definedName name="stlpco43">#REF!</definedName>
    <definedName name="stlpco44" localSheetId="2">[7]Parameters!$G$343</definedName>
    <definedName name="stlpco44">#REF!</definedName>
    <definedName name="stlpco45" localSheetId="2">[7]Parameters!$G$344</definedName>
    <definedName name="stlpco45">#REF!</definedName>
    <definedName name="stlpco46" localSheetId="2">[7]Parameters!$G$345</definedName>
    <definedName name="stlpco46">#REF!</definedName>
    <definedName name="stlpco47" localSheetId="2">[7]Parameters!$G$346</definedName>
    <definedName name="stlpco47">#REF!</definedName>
    <definedName name="stlpco48" localSheetId="2">[7]Parameters!$G$347</definedName>
    <definedName name="stlpco48">#REF!</definedName>
    <definedName name="stlpco49" localSheetId="2">[7]Parameters!$G$348</definedName>
    <definedName name="stlpco49">#REF!</definedName>
    <definedName name="stlpco50" localSheetId="2">[7]Parameters!$G$349</definedName>
    <definedName name="stlpco50">#REF!</definedName>
    <definedName name="stlpco51" localSheetId="2">[7]Parameters!$G$350</definedName>
    <definedName name="stlpco51">#REF!</definedName>
    <definedName name="stlpco52" localSheetId="2">[7]Parameters!$G$351</definedName>
    <definedName name="stlpco52">#REF!</definedName>
    <definedName name="stlpco53" localSheetId="2">[7]Parameters!$G$352</definedName>
    <definedName name="stlpco53">#REF!</definedName>
    <definedName name="stlpco54" localSheetId="2">[7]Parameters!$G$353</definedName>
    <definedName name="stlpco54">#REF!</definedName>
    <definedName name="stlpco55" localSheetId="2">[7]Parameters!$G$354</definedName>
    <definedName name="stlpco55">#REF!</definedName>
    <definedName name="stlpco56" localSheetId="2">[7]Parameters!$G$355</definedName>
    <definedName name="stlpco56">#REF!</definedName>
    <definedName name="stlpco57" localSheetId="2">[7]Parameters!$G$356</definedName>
    <definedName name="stlpco57">#REF!</definedName>
    <definedName name="stlpco58" localSheetId="2">[7]Parameters!$G$357</definedName>
    <definedName name="stlpco58">#REF!</definedName>
    <definedName name="stlpco59" localSheetId="2">[7]Parameters!$G$358</definedName>
    <definedName name="stlpco59">#REF!</definedName>
    <definedName name="stlpco60" localSheetId="2">[7]Parameters!$G$359</definedName>
    <definedName name="stlpco60">#REF!</definedName>
    <definedName name="stlpco61" localSheetId="2">[7]Parameters!$G$360</definedName>
    <definedName name="stlpco61">#REF!</definedName>
    <definedName name="stlpco62" localSheetId="2">[7]Parameters!$G$361</definedName>
    <definedName name="stlpco62">#REF!</definedName>
    <definedName name="stlpco63" localSheetId="2">[7]Parameters!$G$362</definedName>
    <definedName name="stlpco63">#REF!</definedName>
    <definedName name="stlpco64" localSheetId="2">[7]Parameters!$G$363</definedName>
    <definedName name="stlpco64">#REF!</definedName>
    <definedName name="stlpco65" localSheetId="2">[7]Parameters!$G$364</definedName>
    <definedName name="stlpco65">#REF!</definedName>
    <definedName name="stlpco66" localSheetId="2">[7]Parameters!$G$365</definedName>
    <definedName name="stlpco66">#REF!</definedName>
    <definedName name="stlpco67" localSheetId="2">[7]Parameters!$G$366</definedName>
    <definedName name="stlpco67">#REF!</definedName>
    <definedName name="stlpco68" localSheetId="2">[7]Parameters!$G$367</definedName>
    <definedName name="stlpco68">#REF!</definedName>
    <definedName name="stlpco69" localSheetId="2">[7]Parameters!$G$368</definedName>
    <definedName name="stlpco69">#REF!</definedName>
    <definedName name="stlpco70" localSheetId="2">[7]Parameters!$G$369</definedName>
    <definedName name="stlpco70">#REF!</definedName>
    <definedName name="stlpco71" localSheetId="2">[7]Parameters!$G$370</definedName>
    <definedName name="stlpco71">#REF!</definedName>
    <definedName name="stlpco72" localSheetId="2">[7]Parameters!$G$371</definedName>
    <definedName name="stlpco72">#REF!</definedName>
    <definedName name="stlpco73" localSheetId="2">[7]Parameters!$G$372</definedName>
    <definedName name="stlpco73">#REF!</definedName>
    <definedName name="stlpco74" localSheetId="2">[7]Parameters!$G$373</definedName>
    <definedName name="stlpco74">#REF!</definedName>
    <definedName name="stlpco75" localSheetId="2">[7]Parameters!$G$374</definedName>
    <definedName name="stlpco75">#REF!</definedName>
    <definedName name="stlpjob1" localSheetId="2">[7]Parameters!$I$300</definedName>
    <definedName name="stlpjob1">#REF!</definedName>
    <definedName name="stlpjob10" localSheetId="2">[7]Parameters!$I$309</definedName>
    <definedName name="stlpjob10">#REF!</definedName>
    <definedName name="stlpjob11" localSheetId="2">[7]Parameters!$I$310</definedName>
    <definedName name="stlpjob11">#REF!</definedName>
    <definedName name="stlpjob12" localSheetId="2">[7]Parameters!$I$311</definedName>
    <definedName name="stlpjob12">#REF!</definedName>
    <definedName name="stlpjob13" localSheetId="2">[7]Parameters!$I$312</definedName>
    <definedName name="stlpjob13">#REF!</definedName>
    <definedName name="stlpjob14" localSheetId="2">[7]Parameters!$I$313</definedName>
    <definedName name="stlpjob14">#REF!</definedName>
    <definedName name="stlpjob15" localSheetId="2">[7]Parameters!$I$314</definedName>
    <definedName name="stlpjob15">#REF!</definedName>
    <definedName name="stlpjob16" localSheetId="2">[7]Parameters!$I$315</definedName>
    <definedName name="stlpjob16">#REF!</definedName>
    <definedName name="stlpjob17" localSheetId="2">[7]Parameters!$I$316</definedName>
    <definedName name="stlpjob17">#REF!</definedName>
    <definedName name="stlpjob18" localSheetId="2">[7]Parameters!$I$317</definedName>
    <definedName name="stlpjob18">#REF!</definedName>
    <definedName name="stlpjob19" localSheetId="2">[7]Parameters!$I$318</definedName>
    <definedName name="stlpjob19">#REF!</definedName>
    <definedName name="stlpjob2" localSheetId="2">[7]Parameters!$I$301</definedName>
    <definedName name="stlpjob2">#REF!</definedName>
    <definedName name="stlpjob20" localSheetId="2">[7]Parameters!$I$319</definedName>
    <definedName name="stlpjob20">#REF!</definedName>
    <definedName name="stlpjob21" localSheetId="2">[7]Parameters!$I$320</definedName>
    <definedName name="stlpjob21">#REF!</definedName>
    <definedName name="stlpjob22" localSheetId="2">[7]Parameters!$I$321</definedName>
    <definedName name="stlpjob22">#REF!</definedName>
    <definedName name="stlpjob23" localSheetId="2">[7]Parameters!$I$322</definedName>
    <definedName name="stlpjob23">#REF!</definedName>
    <definedName name="stlpjob24" localSheetId="2">[7]Parameters!$I$323</definedName>
    <definedName name="stlpjob24">#REF!</definedName>
    <definedName name="stlpjob25" localSheetId="2">[7]Parameters!$I$324</definedName>
    <definedName name="stlpjob25">#REF!</definedName>
    <definedName name="stlpjob26" localSheetId="2">[7]Parameters!$I$325</definedName>
    <definedName name="stlpjob26">#REF!</definedName>
    <definedName name="stlpjob27" localSheetId="2">[7]Parameters!$I$326</definedName>
    <definedName name="stlpjob27">#REF!</definedName>
    <definedName name="stlpjob28" localSheetId="2">[7]Parameters!$I$327</definedName>
    <definedName name="stlpjob28">#REF!</definedName>
    <definedName name="stlpjob29" localSheetId="2">[7]Parameters!$I$328</definedName>
    <definedName name="stlpjob29">#REF!</definedName>
    <definedName name="stlpjob3" localSheetId="2">[7]Parameters!$I$302</definedName>
    <definedName name="stlpjob3">#REF!</definedName>
    <definedName name="stlpjob30" localSheetId="2">[7]Parameters!$I$329</definedName>
    <definedName name="stlpjob30">#REF!</definedName>
    <definedName name="stlpjob31" localSheetId="2">[7]Parameters!$I$330</definedName>
    <definedName name="stlpjob31">#REF!</definedName>
    <definedName name="stlpjob32" localSheetId="2">[7]Parameters!$I$331</definedName>
    <definedName name="stlpjob32">#REF!</definedName>
    <definedName name="stlpjob33" localSheetId="2">[7]Parameters!$I$332</definedName>
    <definedName name="stlpjob33">#REF!</definedName>
    <definedName name="stlpjob34" localSheetId="2">[7]Parameters!$I$333</definedName>
    <definedName name="stlpjob34">#REF!</definedName>
    <definedName name="stlpjob35" localSheetId="2">[7]Parameters!$I$334</definedName>
    <definedName name="stlpjob35">#REF!</definedName>
    <definedName name="stlpjob36" localSheetId="2">[7]Parameters!$I$335</definedName>
    <definedName name="stlpjob36">#REF!</definedName>
    <definedName name="stlpjob37" localSheetId="2">[7]Parameters!$I$336</definedName>
    <definedName name="stlpjob37">#REF!</definedName>
    <definedName name="stlpjob38" localSheetId="2">[7]Parameters!$I$337</definedName>
    <definedName name="stlpjob38">#REF!</definedName>
    <definedName name="stlpjob39" localSheetId="2">[7]Parameters!$I$338</definedName>
    <definedName name="stlpjob39">#REF!</definedName>
    <definedName name="stlpjob4" localSheetId="2">[7]Parameters!$I$303</definedName>
    <definedName name="stlpjob4">#REF!</definedName>
    <definedName name="stlpjob40" localSheetId="2">[7]Parameters!$I$339</definedName>
    <definedName name="stlpjob40">#REF!</definedName>
    <definedName name="stlpjob41" localSheetId="2">[7]Parameters!$I$340</definedName>
    <definedName name="stlpjob41">#REF!</definedName>
    <definedName name="stlpjob42" localSheetId="2">[7]Parameters!$I$341</definedName>
    <definedName name="stlpjob42">#REF!</definedName>
    <definedName name="stlpjob43" localSheetId="2">[7]Parameters!$I$342</definedName>
    <definedName name="stlpjob43">#REF!</definedName>
    <definedName name="stlpjob44" localSheetId="2">[7]Parameters!$I$343</definedName>
    <definedName name="stlpjob44">#REF!</definedName>
    <definedName name="stlpjob45" localSheetId="2">[7]Parameters!$I$344</definedName>
    <definedName name="stlpjob45">#REF!</definedName>
    <definedName name="stlpjob46" localSheetId="2">[7]Parameters!$I$345</definedName>
    <definedName name="stlpjob46">#REF!</definedName>
    <definedName name="stlpjob47" localSheetId="2">[7]Parameters!$I$346</definedName>
    <definedName name="stlpjob47">#REF!</definedName>
    <definedName name="stlpjob48" localSheetId="2">[7]Parameters!$I$347</definedName>
    <definedName name="stlpjob48">#REF!</definedName>
    <definedName name="stlpjob49" localSheetId="2">[7]Parameters!$I$348</definedName>
    <definedName name="stlpjob49">#REF!</definedName>
    <definedName name="stlpjob5" localSheetId="2">[7]Parameters!$I$304</definedName>
    <definedName name="stlpjob5">#REF!</definedName>
    <definedName name="stlpjob50" localSheetId="2">[7]Parameters!$I$349</definedName>
    <definedName name="stlpjob50">#REF!</definedName>
    <definedName name="stlpjob51" localSheetId="2">[7]Parameters!$I$350</definedName>
    <definedName name="stlpjob51">#REF!</definedName>
    <definedName name="stlpjob52" localSheetId="2">[7]Parameters!$I$351</definedName>
    <definedName name="stlpjob52">#REF!</definedName>
    <definedName name="stlpjob53" localSheetId="2">[7]Parameters!$I$352</definedName>
    <definedName name="stlpjob53">#REF!</definedName>
    <definedName name="stlpjob54" localSheetId="2">[7]Parameters!$I$353</definedName>
    <definedName name="stlpjob54">#REF!</definedName>
    <definedName name="stlpjob55" localSheetId="2">[7]Parameters!$I$354</definedName>
    <definedName name="stlpjob55">#REF!</definedName>
    <definedName name="stlpjob56" localSheetId="2">[7]Parameters!$I$355</definedName>
    <definedName name="stlpjob56">#REF!</definedName>
    <definedName name="stlpjob57" localSheetId="2">[7]Parameters!$I$356</definedName>
    <definedName name="stlpjob57">#REF!</definedName>
    <definedName name="stlpjob58" localSheetId="2">[7]Parameters!$I$357</definedName>
    <definedName name="stlpjob58">#REF!</definedName>
    <definedName name="stlpjob59" localSheetId="2">[7]Parameters!$I$358</definedName>
    <definedName name="stlpjob59">#REF!</definedName>
    <definedName name="stlpjob6" localSheetId="2">[7]Parameters!$I$305</definedName>
    <definedName name="stlpjob6">#REF!</definedName>
    <definedName name="stlpjob60" localSheetId="2">[7]Parameters!$I$359</definedName>
    <definedName name="stlpjob60">#REF!</definedName>
    <definedName name="stlpjob61" localSheetId="2">[7]Parameters!$I$360</definedName>
    <definedName name="stlpjob61">#REF!</definedName>
    <definedName name="stlpjob62" localSheetId="2">[7]Parameters!$I$361</definedName>
    <definedName name="stlpjob62">#REF!</definedName>
    <definedName name="stlpjob63" localSheetId="2">[7]Parameters!$I$362</definedName>
    <definedName name="stlpjob63">#REF!</definedName>
    <definedName name="stlpjob64" localSheetId="2">[7]Parameters!$I$363</definedName>
    <definedName name="stlpjob64">#REF!</definedName>
    <definedName name="stlpjob65" localSheetId="2">[7]Parameters!$I$364</definedName>
    <definedName name="stlpjob65">#REF!</definedName>
    <definedName name="stlpjob66" localSheetId="2">[7]Parameters!$I$365</definedName>
    <definedName name="stlpjob66">#REF!</definedName>
    <definedName name="stlpjob67" localSheetId="2">[7]Parameters!$I$366</definedName>
    <definedName name="stlpjob67">#REF!</definedName>
    <definedName name="stlpjob68" localSheetId="2">[7]Parameters!$I$367</definedName>
    <definedName name="stlpjob68">#REF!</definedName>
    <definedName name="stlpjob69" localSheetId="2">[7]Parameters!$I$368</definedName>
    <definedName name="stlpjob69">#REF!</definedName>
    <definedName name="stlpjob7" localSheetId="2">[7]Parameters!$I$306</definedName>
    <definedName name="stlpjob7">#REF!</definedName>
    <definedName name="stlpjob70" localSheetId="2">[7]Parameters!$I$369</definedName>
    <definedName name="stlpjob70">#REF!</definedName>
    <definedName name="stlpjob71" localSheetId="2">[7]Parameters!$I$370</definedName>
    <definedName name="stlpjob71">#REF!</definedName>
    <definedName name="stlpjob72" localSheetId="2">[7]Parameters!$I$371</definedName>
    <definedName name="stlpjob72">#REF!</definedName>
    <definedName name="stlpjob73" localSheetId="2">[7]Parameters!$I$372</definedName>
    <definedName name="stlpjob73">#REF!</definedName>
    <definedName name="stlpjob74" localSheetId="2">[7]Parameters!$I$373</definedName>
    <definedName name="stlpjob74">#REF!</definedName>
    <definedName name="stlpjob75" localSheetId="2">[7]Parameters!$I$374</definedName>
    <definedName name="stlpjob75">#REF!</definedName>
    <definedName name="stlpjob8" localSheetId="2">[7]Parameters!$I$307</definedName>
    <definedName name="stlpjob8">#REF!</definedName>
    <definedName name="stlpjob9" localSheetId="2">[7]Parameters!$I$308</definedName>
    <definedName name="stlpjob9">#REF!</definedName>
    <definedName name="stlpname11" localSheetId="2">[7]Parameters!$C$310</definedName>
    <definedName name="stlpname11">#REF!</definedName>
    <definedName name="stlpname12" localSheetId="2">[7]Parameters!$C$311</definedName>
    <definedName name="stlpname12">#REF!</definedName>
    <definedName name="stlpname13" localSheetId="2">[7]Parameters!$C$312</definedName>
    <definedName name="stlpname13">#REF!</definedName>
    <definedName name="stlpname14" localSheetId="2">[7]Parameters!$C$313</definedName>
    <definedName name="stlpname14">#REF!</definedName>
    <definedName name="stlpname15" localSheetId="2">[7]Parameters!$C$314</definedName>
    <definedName name="stlpname15">#REF!</definedName>
    <definedName name="stlpname16" localSheetId="2">[7]Parameters!$C$315</definedName>
    <definedName name="stlpname16">#REF!</definedName>
    <definedName name="stlpname17" localSheetId="2">[7]Parameters!$C$316</definedName>
    <definedName name="stlpname17">#REF!</definedName>
    <definedName name="stlpname18" localSheetId="2">[7]Parameters!$C$317</definedName>
    <definedName name="stlpname18">#REF!</definedName>
    <definedName name="stlpname19" localSheetId="2">[7]Parameters!$C$318</definedName>
    <definedName name="stlpname19">#REF!</definedName>
    <definedName name="stlpname20" localSheetId="2">[7]Parameters!$C$319</definedName>
    <definedName name="stlpname20">#REF!</definedName>
    <definedName name="stlpname21" localSheetId="2">[7]Parameters!$C$320</definedName>
    <definedName name="stlpname21">#REF!</definedName>
    <definedName name="stlpname22" localSheetId="2">[7]Parameters!$C$321</definedName>
    <definedName name="stlpname22">#REF!</definedName>
    <definedName name="stlpname23" localSheetId="2">[7]Parameters!$C$322</definedName>
    <definedName name="stlpname23">#REF!</definedName>
    <definedName name="stlpname24" localSheetId="2">[7]Parameters!$C$323</definedName>
    <definedName name="stlpname24">#REF!</definedName>
    <definedName name="stlpname25" localSheetId="2">[7]Parameters!$C$324</definedName>
    <definedName name="stlpname25">#REF!</definedName>
    <definedName name="stlpname26" localSheetId="2">[7]Parameters!$C$325</definedName>
    <definedName name="stlpname26">#REF!</definedName>
    <definedName name="stlpname27" localSheetId="2">[7]Parameters!$C$326</definedName>
    <definedName name="stlpname27">#REF!</definedName>
    <definedName name="stlpname28" localSheetId="2">[7]Parameters!$C$327</definedName>
    <definedName name="stlpname28">#REF!</definedName>
    <definedName name="stlpname29" localSheetId="2">[7]Parameters!$C$328</definedName>
    <definedName name="stlpname29">#REF!</definedName>
    <definedName name="stlpname30" localSheetId="2">[7]Parameters!$C$329</definedName>
    <definedName name="stlpname30">#REF!</definedName>
    <definedName name="stlpname31" localSheetId="2">[7]Parameters!$C$330</definedName>
    <definedName name="stlpname31">#REF!</definedName>
    <definedName name="stlpname32" localSheetId="2">[7]Parameters!$C$331</definedName>
    <definedName name="stlpname32">#REF!</definedName>
    <definedName name="stlpname33" localSheetId="2">[7]Parameters!$C$332</definedName>
    <definedName name="stlpname33">#REF!</definedName>
    <definedName name="stlpname34" localSheetId="2">[7]Parameters!$C$333</definedName>
    <definedName name="stlpname34">#REF!</definedName>
    <definedName name="stlpname35" localSheetId="2">[7]Parameters!$C$334</definedName>
    <definedName name="stlpname35">#REF!</definedName>
    <definedName name="stlpname36" localSheetId="2">[7]Parameters!$C$335</definedName>
    <definedName name="stlpname36">#REF!</definedName>
    <definedName name="stlpname37" localSheetId="2">[7]Parameters!$C$336</definedName>
    <definedName name="stlpname37">#REF!</definedName>
    <definedName name="stlpname38" localSheetId="2">[7]Parameters!$C$337</definedName>
    <definedName name="stlpname38">#REF!</definedName>
    <definedName name="stlpname39" localSheetId="2">[7]Parameters!$C$338</definedName>
    <definedName name="stlpname39">#REF!</definedName>
    <definedName name="stlpname40" localSheetId="2">[7]Parameters!$C$339</definedName>
    <definedName name="stlpname40">#REF!</definedName>
    <definedName name="stlpname41" localSheetId="2">[7]Parameters!$C$340</definedName>
    <definedName name="stlpname41">#REF!</definedName>
    <definedName name="stlpname42" localSheetId="2">[7]Parameters!$C$341</definedName>
    <definedName name="stlpname42">#REF!</definedName>
    <definedName name="stlpname43" localSheetId="2">[7]Parameters!$C$342</definedName>
    <definedName name="stlpname43">#REF!</definedName>
    <definedName name="stlpname44" localSheetId="2">[7]Parameters!$C$343</definedName>
    <definedName name="stlpname44">#REF!</definedName>
    <definedName name="stlpname45" localSheetId="2">[7]Parameters!$C$344</definedName>
    <definedName name="stlpname45">#REF!</definedName>
    <definedName name="stlpname46" localSheetId="2">[7]Parameters!$C$345</definedName>
    <definedName name="stlpname46">#REF!</definedName>
    <definedName name="stlpname47" localSheetId="2">[7]Parameters!$C$346</definedName>
    <definedName name="stlpname47">#REF!</definedName>
    <definedName name="stlpname48" localSheetId="2">[7]Parameters!$C$347</definedName>
    <definedName name="stlpname48">#REF!</definedName>
    <definedName name="stlpname49" localSheetId="2">[7]Parameters!$C$348</definedName>
    <definedName name="stlpname49">#REF!</definedName>
    <definedName name="stlpname50" localSheetId="2">[7]Parameters!$C$349</definedName>
    <definedName name="stlpname50">#REF!</definedName>
    <definedName name="stlpname51" localSheetId="2">[7]Parameters!$C$350</definedName>
    <definedName name="stlpname51">#REF!</definedName>
    <definedName name="stlpname52" localSheetId="2">[7]Parameters!$C$351</definedName>
    <definedName name="stlpname52">#REF!</definedName>
    <definedName name="stlpname53" localSheetId="2">[7]Parameters!$C$352</definedName>
    <definedName name="stlpname53">#REF!</definedName>
    <definedName name="stlpname54" localSheetId="2">[7]Parameters!$C$353</definedName>
    <definedName name="stlpname54">#REF!</definedName>
    <definedName name="stlpname55" localSheetId="2">[7]Parameters!$C$354</definedName>
    <definedName name="stlpname55">#REF!</definedName>
    <definedName name="stlpname56" localSheetId="2">[7]Parameters!$C$355</definedName>
    <definedName name="stlpname56">#REF!</definedName>
    <definedName name="stlpname57" localSheetId="2">[7]Parameters!$C$356</definedName>
    <definedName name="stlpname57">#REF!</definedName>
    <definedName name="stlpname58" localSheetId="2">[7]Parameters!$C$357</definedName>
    <definedName name="stlpname58">#REF!</definedName>
    <definedName name="stlpname59" localSheetId="2">[7]Parameters!$C$358</definedName>
    <definedName name="stlpname59">#REF!</definedName>
    <definedName name="stlpname60" localSheetId="2">[7]Parameters!$C$359</definedName>
    <definedName name="stlpname60">#REF!</definedName>
    <definedName name="stlpname61" localSheetId="2">[7]Parameters!$C$360</definedName>
    <definedName name="stlpname61">#REF!</definedName>
    <definedName name="stlpname62" localSheetId="2">[7]Parameters!$C$361</definedName>
    <definedName name="stlpname62">#REF!</definedName>
    <definedName name="stlpname63" localSheetId="2">[7]Parameters!$C$362</definedName>
    <definedName name="stlpname63">#REF!</definedName>
    <definedName name="stlpname64" localSheetId="2">[7]Parameters!$C$363</definedName>
    <definedName name="stlpname64">#REF!</definedName>
    <definedName name="stlpname65" localSheetId="2">[7]Parameters!$C$364</definedName>
    <definedName name="stlpname65">#REF!</definedName>
    <definedName name="stlpname66" localSheetId="2">[7]Parameters!$C$365</definedName>
    <definedName name="stlpname66">#REF!</definedName>
    <definedName name="stlpname67" localSheetId="2">[7]Parameters!$C$366</definedName>
    <definedName name="stlpname67">#REF!</definedName>
    <definedName name="stlpname68" localSheetId="2">[7]Parameters!$C$367</definedName>
    <definedName name="stlpname68">#REF!</definedName>
    <definedName name="stlpname69" localSheetId="2">[7]Parameters!$C$368</definedName>
    <definedName name="stlpname69">#REF!</definedName>
    <definedName name="stlpname70" localSheetId="2">[7]Parameters!$C$369</definedName>
    <definedName name="stlpname70">#REF!</definedName>
    <definedName name="stlpname71" localSheetId="2">[7]Parameters!$C$370</definedName>
    <definedName name="stlpname71">#REF!</definedName>
    <definedName name="stlpname72" localSheetId="2">[7]Parameters!$C$371</definedName>
    <definedName name="stlpname72">#REF!</definedName>
    <definedName name="stlpname73" localSheetId="2">[7]Parameters!$C$372</definedName>
    <definedName name="stlpname73">#REF!</definedName>
    <definedName name="stlpname74" localSheetId="2">[7]Parameters!$C$373</definedName>
    <definedName name="stlpname74">#REF!</definedName>
    <definedName name="stlpname75" localSheetId="2">[7]Parameters!$C$374</definedName>
    <definedName name="stlpname75">#REF!</definedName>
    <definedName name="stlpsal11" localSheetId="2">[7]Parameters!$E$310</definedName>
    <definedName name="stlpsal11">#REF!</definedName>
    <definedName name="stlpsal12" localSheetId="2">[7]Parameters!$E$311</definedName>
    <definedName name="stlpsal12">#REF!</definedName>
    <definedName name="stlpsal13" localSheetId="2">[7]Parameters!$E$312</definedName>
    <definedName name="stlpsal13">#REF!</definedName>
    <definedName name="stlpsal14" localSheetId="2">[7]Parameters!$E$313</definedName>
    <definedName name="stlpsal14">#REF!</definedName>
    <definedName name="stlpsal15" localSheetId="2">[7]Parameters!$E$314</definedName>
    <definedName name="stlpsal15">#REF!</definedName>
    <definedName name="stlpsal16" localSheetId="2">[7]Parameters!$E$315</definedName>
    <definedName name="stlpsal16">#REF!</definedName>
    <definedName name="stlpsal17" localSheetId="2">[7]Parameters!$E$316</definedName>
    <definedName name="stlpsal17">#REF!</definedName>
    <definedName name="stlpsal18" localSheetId="2">[7]Parameters!$E$317</definedName>
    <definedName name="stlpsal18">#REF!</definedName>
    <definedName name="stlpsal19" localSheetId="2">[7]Parameters!$E$318</definedName>
    <definedName name="stlpsal19">#REF!</definedName>
    <definedName name="stlpsal20" localSheetId="2">[7]Parameters!$E$319</definedName>
    <definedName name="stlpsal20">#REF!</definedName>
    <definedName name="stlpsal21" localSheetId="2">[7]Parameters!$E$320</definedName>
    <definedName name="stlpsal21">#REF!</definedName>
    <definedName name="stlpsal22" localSheetId="2">[7]Parameters!$E$321</definedName>
    <definedName name="stlpsal22">#REF!</definedName>
    <definedName name="stlpsal23" localSheetId="2">[7]Parameters!$E$322</definedName>
    <definedName name="stlpsal23">#REF!</definedName>
    <definedName name="stlpsal24" localSheetId="2">[7]Parameters!$E$323</definedName>
    <definedName name="stlpsal24">#REF!</definedName>
    <definedName name="stlpsal25" localSheetId="2">[7]Parameters!$E$324</definedName>
    <definedName name="stlpsal25">#REF!</definedName>
    <definedName name="stlpsal26" localSheetId="2">[7]Parameters!$E$325</definedName>
    <definedName name="stlpsal26">#REF!</definedName>
    <definedName name="stlpsal27" localSheetId="2">[7]Parameters!$E$326</definedName>
    <definedName name="stlpsal27">#REF!</definedName>
    <definedName name="stlpsal28" localSheetId="2">[7]Parameters!$E$327</definedName>
    <definedName name="stlpsal28">#REF!</definedName>
    <definedName name="stlpsal29" localSheetId="2">[7]Parameters!$E$328</definedName>
    <definedName name="stlpsal29">#REF!</definedName>
    <definedName name="stlpsal30" localSheetId="2">[7]Parameters!$E$329</definedName>
    <definedName name="stlpsal30">#REF!</definedName>
    <definedName name="stlpsal31" localSheetId="2">[7]Parameters!$E$330</definedName>
    <definedName name="stlpsal31">#REF!</definedName>
    <definedName name="stlpsal32" localSheetId="2">[7]Parameters!$E$331</definedName>
    <definedName name="stlpsal32">#REF!</definedName>
    <definedName name="stlpsal33" localSheetId="2">[7]Parameters!$E$332</definedName>
    <definedName name="stlpsal33">#REF!</definedName>
    <definedName name="stlpsal34" localSheetId="2">[7]Parameters!$E$333</definedName>
    <definedName name="stlpsal34">#REF!</definedName>
    <definedName name="stlpsal35" localSheetId="2">[7]Parameters!$E$334</definedName>
    <definedName name="stlpsal35">#REF!</definedName>
    <definedName name="stlpsal36" localSheetId="2">[7]Parameters!$E$335</definedName>
    <definedName name="stlpsal36">#REF!</definedName>
    <definedName name="stlpsal37" localSheetId="2">[7]Parameters!$E$336</definedName>
    <definedName name="stlpsal37">#REF!</definedName>
    <definedName name="stlpsal38" localSheetId="2">[7]Parameters!$E$337</definedName>
    <definedName name="stlpsal38">#REF!</definedName>
    <definedName name="stlpsal39" localSheetId="2">[7]Parameters!$E$338</definedName>
    <definedName name="stlpsal39">#REF!</definedName>
    <definedName name="stlpsal40" localSheetId="2">[7]Parameters!$E$339</definedName>
    <definedName name="stlpsal40">#REF!</definedName>
    <definedName name="stlpsal41" localSheetId="2">[7]Parameters!$E$340</definedName>
    <definedName name="stlpsal41">#REF!</definedName>
    <definedName name="stlpsal42" localSheetId="2">[7]Parameters!$E$341</definedName>
    <definedName name="stlpsal42">#REF!</definedName>
    <definedName name="stlpsal43" localSheetId="2">[7]Parameters!$E$342</definedName>
    <definedName name="stlpsal43">#REF!</definedName>
    <definedName name="stlpsal44" localSheetId="2">[7]Parameters!$E$343</definedName>
    <definedName name="stlpsal44">#REF!</definedName>
    <definedName name="stlpsal45" localSheetId="2">[7]Parameters!$E$344</definedName>
    <definedName name="stlpsal45">#REF!</definedName>
    <definedName name="stlpsal46" localSheetId="2">[7]Parameters!$E$345</definedName>
    <definedName name="stlpsal46">#REF!</definedName>
    <definedName name="stlpsal47" localSheetId="2">[7]Parameters!$E$346</definedName>
    <definedName name="stlpsal47">#REF!</definedName>
    <definedName name="stlpsal48" localSheetId="2">[7]Parameters!$E$347</definedName>
    <definedName name="stlpsal48">#REF!</definedName>
    <definedName name="stlpsal49" localSheetId="2">[7]Parameters!$E$348</definedName>
    <definedName name="stlpsal49">#REF!</definedName>
    <definedName name="stlpsal50" localSheetId="2">[7]Parameters!$E$349</definedName>
    <definedName name="stlpsal50">#REF!</definedName>
    <definedName name="stlpsal51" localSheetId="2">[7]Parameters!$E$350</definedName>
    <definedName name="stlpsal51">#REF!</definedName>
    <definedName name="stlpsal52" localSheetId="2">[7]Parameters!$E$351</definedName>
    <definedName name="stlpsal52">#REF!</definedName>
    <definedName name="stlpsal53" localSheetId="2">[7]Parameters!$E$352</definedName>
    <definedName name="stlpsal53">#REF!</definedName>
    <definedName name="stlpsal54" localSheetId="2">[7]Parameters!$E$353</definedName>
    <definedName name="stlpsal54">#REF!</definedName>
    <definedName name="stlpsal55" localSheetId="2">[7]Parameters!$E$354</definedName>
    <definedName name="stlpsal55">#REF!</definedName>
    <definedName name="stlpsal56" localSheetId="2">[7]Parameters!$E$355</definedName>
    <definedName name="stlpsal56">#REF!</definedName>
    <definedName name="stlpsal57" localSheetId="2">[7]Parameters!$E$356</definedName>
    <definedName name="stlpsal57">#REF!</definedName>
    <definedName name="stlpsal58" localSheetId="2">[7]Parameters!$E$357</definedName>
    <definedName name="stlpsal58">#REF!</definedName>
    <definedName name="stlpsal59" localSheetId="2">[7]Parameters!$E$358</definedName>
    <definedName name="stlpsal59">#REF!</definedName>
    <definedName name="stlpsal60" localSheetId="2">[7]Parameters!$E$359</definedName>
    <definedName name="stlpsal60">#REF!</definedName>
    <definedName name="stlpsal61" localSheetId="2">[7]Parameters!$E$360</definedName>
    <definedName name="stlpsal61">#REF!</definedName>
    <definedName name="stlpsal62" localSheetId="2">[7]Parameters!$E$361</definedName>
    <definedName name="stlpsal62">#REF!</definedName>
    <definedName name="stlpsal63" localSheetId="2">[7]Parameters!$E$362</definedName>
    <definedName name="stlpsal63">#REF!</definedName>
    <definedName name="stlpsal64" localSheetId="2">[7]Parameters!$E$363</definedName>
    <definedName name="stlpsal64">#REF!</definedName>
    <definedName name="stlpsal65" localSheetId="2">[7]Parameters!$E$364</definedName>
    <definedName name="stlpsal65">#REF!</definedName>
    <definedName name="stlpsal66" localSheetId="2">[7]Parameters!$E$365</definedName>
    <definedName name="stlpsal66">#REF!</definedName>
    <definedName name="stlpsal67" localSheetId="2">[7]Parameters!$E$366</definedName>
    <definedName name="stlpsal67">#REF!</definedName>
    <definedName name="stlpsal68" localSheetId="2">[7]Parameters!$E$367</definedName>
    <definedName name="stlpsal68">#REF!</definedName>
    <definedName name="stlpsal69" localSheetId="2">[7]Parameters!$E$368</definedName>
    <definedName name="stlpsal69">#REF!</definedName>
    <definedName name="stlpsal70" localSheetId="2">[7]Parameters!$E$369</definedName>
    <definedName name="stlpsal70">#REF!</definedName>
    <definedName name="stlpsal71" localSheetId="2">[7]Parameters!$E$370</definedName>
    <definedName name="stlpsal71">#REF!</definedName>
    <definedName name="stlpsal72" localSheetId="2">[7]Parameters!$E$371</definedName>
    <definedName name="stlpsal72">#REF!</definedName>
    <definedName name="stlpsal73" localSheetId="2">[7]Parameters!$E$372</definedName>
    <definedName name="stlpsal73">#REF!</definedName>
    <definedName name="stlpsal74" localSheetId="2">[7]Parameters!$E$373</definedName>
    <definedName name="stlpsal74">#REF!</definedName>
    <definedName name="stlpsal75" localSheetId="2">[7]Parameters!$E$374</definedName>
    <definedName name="stlpsal75">#REF!</definedName>
    <definedName name="stmedevac" localSheetId="2">[5]Parameters!$D$18</definedName>
    <definedName name="stmedevac">#REF!</definedName>
    <definedName name="STTA_Accra" localSheetId="2">[42]Assumptions!#REF!</definedName>
    <definedName name="STTA_Accra">#REF!</definedName>
    <definedName name="STTA_Dayspertrip" localSheetId="2">[32]Assumptions!$B$25</definedName>
    <definedName name="STTA_Dayspertrip">#REF!</definedName>
    <definedName name="STTA_Field" localSheetId="2">[42]Assumptions!#REF!</definedName>
    <definedName name="STTA_Field">#REF!</definedName>
    <definedName name="sttaperdiembam" localSheetId="2">#REF!</definedName>
    <definedName name="sttaperdiembam">#REF!</definedName>
    <definedName name="sttaperdiemother" localSheetId="2">#REF!</definedName>
    <definedName name="sttaperdiemother">#REF!</definedName>
    <definedName name="sttcn" localSheetId="2">[7]Parameters!$A$285</definedName>
    <definedName name="sttcn">#REF!</definedName>
    <definedName name="sttcn1" localSheetId="2">[7]Parameters!$A$287</definedName>
    <definedName name="sttcn1">#REF!</definedName>
    <definedName name="sttcn10" localSheetId="2">[7]Parameters!$A$296</definedName>
    <definedName name="sttcn10">#REF!</definedName>
    <definedName name="sttcn10co" localSheetId="2">[7]Parameters!$G$296</definedName>
    <definedName name="sttcn10co">#REF!</definedName>
    <definedName name="sttcn10name" localSheetId="2">[7]Parameters!$C$296</definedName>
    <definedName name="sttcn10name">#REF!</definedName>
    <definedName name="sttcn10sal1" localSheetId="2">[7]Parameters!$E$296</definedName>
    <definedName name="sttcn10sal1">#REF!</definedName>
    <definedName name="sttcn1co" localSheetId="2">[7]Parameters!$G$287</definedName>
    <definedName name="sttcn1co">#REF!</definedName>
    <definedName name="sttcn1name" localSheetId="2">[7]Parameters!$C$287</definedName>
    <definedName name="sttcn1name">#REF!</definedName>
    <definedName name="sttcn1sal1" localSheetId="2">[7]Parameters!$E$287</definedName>
    <definedName name="sttcn1sal1">#REF!</definedName>
    <definedName name="sttcn2" localSheetId="2">[7]Parameters!$A$288</definedName>
    <definedName name="sttcn2">#REF!</definedName>
    <definedName name="sttcn2co" localSheetId="2">[7]Parameters!$G$288</definedName>
    <definedName name="sttcn2co">#REF!</definedName>
    <definedName name="sttcn2name" localSheetId="2">[7]Parameters!$C$288</definedName>
    <definedName name="sttcn2name">#REF!</definedName>
    <definedName name="sttcn2sal1" localSheetId="2">[7]Parameters!$E$288</definedName>
    <definedName name="sttcn2sal1">#REF!</definedName>
    <definedName name="sttcn3" localSheetId="2">[7]Parameters!$A$289</definedName>
    <definedName name="sttcn3">#REF!</definedName>
    <definedName name="sttcn3co" localSheetId="2">[7]Parameters!$G$289</definedName>
    <definedName name="sttcn3co">#REF!</definedName>
    <definedName name="sttcn3name" localSheetId="2">[7]Parameters!$C$289</definedName>
    <definedName name="sttcn3name">#REF!</definedName>
    <definedName name="sttcn3sal1" localSheetId="2">[7]Parameters!$E$289</definedName>
    <definedName name="sttcn3sal1">#REF!</definedName>
    <definedName name="sttcn4" localSheetId="2">[7]Parameters!$A$290</definedName>
    <definedName name="sttcn4">#REF!</definedName>
    <definedName name="sttcn4co" localSheetId="2">[7]Parameters!$G$290</definedName>
    <definedName name="sttcn4co">#REF!</definedName>
    <definedName name="sttcn4name" localSheetId="2">[7]Parameters!$C$290</definedName>
    <definedName name="sttcn4name">#REF!</definedName>
    <definedName name="sttcn4sal1" localSheetId="2">[7]Parameters!$E$290</definedName>
    <definedName name="sttcn4sal1">#REF!</definedName>
    <definedName name="sttcn5" localSheetId="2">[7]Parameters!$A$291</definedName>
    <definedName name="sttcn5">#REF!</definedName>
    <definedName name="sttcn5co" localSheetId="2">[7]Parameters!$G$291</definedName>
    <definedName name="sttcn5co">#REF!</definedName>
    <definedName name="sttcn5name" localSheetId="2">[7]Parameters!$C$291</definedName>
    <definedName name="sttcn5name">#REF!</definedName>
    <definedName name="sttcn5sal1" localSheetId="2">[7]Parameters!$E$291</definedName>
    <definedName name="sttcn5sal1">#REF!</definedName>
    <definedName name="sttcn6" localSheetId="2">[7]Parameters!$A$292</definedName>
    <definedName name="sttcn6">#REF!</definedName>
    <definedName name="sttcn6co" localSheetId="2">[7]Parameters!$G$292</definedName>
    <definedName name="sttcn6co">#REF!</definedName>
    <definedName name="sttcn6name" localSheetId="2">[7]Parameters!$C$292</definedName>
    <definedName name="sttcn6name">#REF!</definedName>
    <definedName name="sttcn6sal1" localSheetId="2">[7]Parameters!$E$292</definedName>
    <definedName name="sttcn6sal1">#REF!</definedName>
    <definedName name="sttcn7" localSheetId="2">[7]Parameters!$A$293</definedName>
    <definedName name="sttcn7">#REF!</definedName>
    <definedName name="sttcn7co" localSheetId="2">[7]Parameters!$G$293</definedName>
    <definedName name="sttcn7co">#REF!</definedName>
    <definedName name="sttcn7name" localSheetId="2">[7]Parameters!$C$293</definedName>
    <definedName name="sttcn7name">#REF!</definedName>
    <definedName name="sttcn7sal1" localSheetId="2">[7]Parameters!$E$293</definedName>
    <definedName name="sttcn7sal1">#REF!</definedName>
    <definedName name="sttcn8" localSheetId="2">[7]Parameters!$A$294</definedName>
    <definedName name="sttcn8">#REF!</definedName>
    <definedName name="sttcn8co" localSheetId="2">[7]Parameters!$G$294</definedName>
    <definedName name="sttcn8co">#REF!</definedName>
    <definedName name="sttcn8name" localSheetId="2">[7]Parameters!$C$294</definedName>
    <definedName name="sttcn8name">#REF!</definedName>
    <definedName name="sttcn8sal1" localSheetId="2">[7]Parameters!$E$294</definedName>
    <definedName name="sttcn8sal1">#REF!</definedName>
    <definedName name="sttcn9" localSheetId="2">[7]Parameters!$A$295</definedName>
    <definedName name="sttcn9">#REF!</definedName>
    <definedName name="sttcn9co" localSheetId="2">[7]Parameters!$G$295</definedName>
    <definedName name="sttcn9co">#REF!</definedName>
    <definedName name="sttcn9name" localSheetId="2">[7]Parameters!$C$295</definedName>
    <definedName name="sttcn9name">#REF!</definedName>
    <definedName name="sttcn9sal1" localSheetId="2">[7]Parameters!$E$295</definedName>
    <definedName name="sttcn9sal1">#REF!</definedName>
    <definedName name="sttcnjob1" localSheetId="2">[7]Parameters!$I$287</definedName>
    <definedName name="sttcnjob1">#REF!</definedName>
    <definedName name="sttcnjob10" localSheetId="2">[7]Parameters!$I$296</definedName>
    <definedName name="sttcnjob10">#REF!</definedName>
    <definedName name="sttcnjob2" localSheetId="2">[7]Parameters!$I$288</definedName>
    <definedName name="sttcnjob2">#REF!</definedName>
    <definedName name="sttcnjob3" localSheetId="2">[7]Parameters!$I$289</definedName>
    <definedName name="sttcnjob3">#REF!</definedName>
    <definedName name="sttcnjob4" localSheetId="2">[7]Parameters!$I$290</definedName>
    <definedName name="sttcnjob4">#REF!</definedName>
    <definedName name="sttcnjob5" localSheetId="2">[7]Parameters!$I$291</definedName>
    <definedName name="sttcnjob5">#REF!</definedName>
    <definedName name="sttcnjob6" localSheetId="2">[7]Parameters!$I$292</definedName>
    <definedName name="sttcnjob6">#REF!</definedName>
    <definedName name="sttcnjob7" localSheetId="2">[7]Parameters!$I$293</definedName>
    <definedName name="sttcnjob7">#REF!</definedName>
    <definedName name="sttcnjob8" localSheetId="2">[7]Parameters!$I$294</definedName>
    <definedName name="sttcnjob8">#REF!</definedName>
    <definedName name="sttcnjob9" localSheetId="2">[7]Parameters!$I$295</definedName>
    <definedName name="sttcnjob9">#REF!</definedName>
    <definedName name="sttrip" localSheetId="2">[5]Parameters!$D$29</definedName>
    <definedName name="sttrip">#REF!</definedName>
    <definedName name="Sttripfactor" localSheetId="2">[12]Sheet1!$C$18</definedName>
    <definedName name="Sttripfactor">#REF!</definedName>
    <definedName name="stus" localSheetId="2">[7]Parameters!$A$207</definedName>
    <definedName name="stus">#REF!</definedName>
    <definedName name="stus1" localSheetId="2">[7]Parameters!$A$209</definedName>
    <definedName name="stus1">#REF!</definedName>
    <definedName name="stus10" localSheetId="2">[7]Parameters!$A$218</definedName>
    <definedName name="stus10">#REF!</definedName>
    <definedName name="stus10co" localSheetId="2">[7]Parameters!$G$218</definedName>
    <definedName name="stus10co">#REF!</definedName>
    <definedName name="stus10name" localSheetId="2">[7]Parameters!$C$218</definedName>
    <definedName name="stus10name">#REF!</definedName>
    <definedName name="stus10sal1" localSheetId="2">[7]Parameters!$E$218</definedName>
    <definedName name="stus10sal1">#REF!</definedName>
    <definedName name="stus11" localSheetId="2">[7]Parameters!$A$219</definedName>
    <definedName name="stus11">#REF!</definedName>
    <definedName name="stus12" localSheetId="2">[7]Parameters!$A$220</definedName>
    <definedName name="stus12">#REF!</definedName>
    <definedName name="stus13" localSheetId="2">[7]Parameters!$A$221</definedName>
    <definedName name="stus13">#REF!</definedName>
    <definedName name="stus14" localSheetId="2">[7]Parameters!$A$222</definedName>
    <definedName name="stus14">#REF!</definedName>
    <definedName name="stus15" localSheetId="2">[7]Parameters!$A$223</definedName>
    <definedName name="stus15">#REF!</definedName>
    <definedName name="stus16" localSheetId="2">[7]Parameters!$A$224</definedName>
    <definedName name="stus16">#REF!</definedName>
    <definedName name="stus17" localSheetId="2">[7]Parameters!$A$225</definedName>
    <definedName name="stus17">#REF!</definedName>
    <definedName name="stus18" localSheetId="2">[7]Parameters!$A$226</definedName>
    <definedName name="stus18">#REF!</definedName>
    <definedName name="stus19" localSheetId="2">[7]Parameters!$A$227</definedName>
    <definedName name="stus19">#REF!</definedName>
    <definedName name="stus1co" localSheetId="2">[7]Parameters!$G$209</definedName>
    <definedName name="stus1co">#REF!</definedName>
    <definedName name="stus1name" localSheetId="2">[7]Parameters!$C$209</definedName>
    <definedName name="stus1name">#REF!</definedName>
    <definedName name="stus1sal1" localSheetId="2">[7]Parameters!$E$209</definedName>
    <definedName name="stus1sal1">#REF!</definedName>
    <definedName name="stus2" localSheetId="2">[7]Parameters!$A$210</definedName>
    <definedName name="stus2">#REF!</definedName>
    <definedName name="stus20" localSheetId="2">[7]Parameters!$A$228</definedName>
    <definedName name="stus20">#REF!</definedName>
    <definedName name="stus21" localSheetId="2">[7]Parameters!$A$229</definedName>
    <definedName name="stus21">#REF!</definedName>
    <definedName name="stus22" localSheetId="2">[7]Parameters!$A$230</definedName>
    <definedName name="stus22">#REF!</definedName>
    <definedName name="stus23" localSheetId="2">[7]Parameters!$A$231</definedName>
    <definedName name="stus23">#REF!</definedName>
    <definedName name="stus24" localSheetId="2">[7]Parameters!$A$232</definedName>
    <definedName name="stus24">#REF!</definedName>
    <definedName name="stus25" localSheetId="2">[7]Parameters!$A$233</definedName>
    <definedName name="stus25">#REF!</definedName>
    <definedName name="stus26" localSheetId="2">[7]Parameters!$A$234</definedName>
    <definedName name="stus26">#REF!</definedName>
    <definedName name="stus27" localSheetId="2">[7]Parameters!$A$235</definedName>
    <definedName name="stus27">#REF!</definedName>
    <definedName name="stus28" localSheetId="2">[7]Parameters!$A$236</definedName>
    <definedName name="stus28">#REF!</definedName>
    <definedName name="stus29" localSheetId="2">[7]Parameters!$A$237</definedName>
    <definedName name="stus29">#REF!</definedName>
    <definedName name="stus2co" localSheetId="2">[7]Parameters!$G$210</definedName>
    <definedName name="stus2co">#REF!</definedName>
    <definedName name="stus2name" localSheetId="2">[7]Parameters!$C$210</definedName>
    <definedName name="stus2name">#REF!</definedName>
    <definedName name="stus2sal1" localSheetId="2">[7]Parameters!$E$210</definedName>
    <definedName name="stus2sal1">#REF!</definedName>
    <definedName name="stus3" localSheetId="2">[7]Parameters!$A$211</definedName>
    <definedName name="stus3">#REF!</definedName>
    <definedName name="stus30" localSheetId="2">[7]Parameters!$A$238</definedName>
    <definedName name="stus30">#REF!</definedName>
    <definedName name="stus31" localSheetId="2">[7]Parameters!$A$239</definedName>
    <definedName name="stus31">#REF!</definedName>
    <definedName name="stus32" localSheetId="2">[7]Parameters!$A$240</definedName>
    <definedName name="stus32">#REF!</definedName>
    <definedName name="stus33" localSheetId="2">[7]Parameters!$A$241</definedName>
    <definedName name="stus33">#REF!</definedName>
    <definedName name="stus34" localSheetId="2">[7]Parameters!$A$242</definedName>
    <definedName name="stus34">#REF!</definedName>
    <definedName name="stus35" localSheetId="2">[7]Parameters!$A$243</definedName>
    <definedName name="stus35">#REF!</definedName>
    <definedName name="stus36" localSheetId="2">[7]Parameters!$A$244</definedName>
    <definedName name="stus36">#REF!</definedName>
    <definedName name="stus37" localSheetId="2">[7]Parameters!$A$245</definedName>
    <definedName name="stus37">#REF!</definedName>
    <definedName name="stus38" localSheetId="2">[7]Parameters!$A$246</definedName>
    <definedName name="stus38">#REF!</definedName>
    <definedName name="stus39" localSheetId="2">[7]Parameters!$A$247</definedName>
    <definedName name="stus39">#REF!</definedName>
    <definedName name="stus3co" localSheetId="2">[7]Parameters!$G$211</definedName>
    <definedName name="stus3co">#REF!</definedName>
    <definedName name="stus3name" localSheetId="2">[7]Parameters!$C$211</definedName>
    <definedName name="stus3name">#REF!</definedName>
    <definedName name="stus3sal1" localSheetId="2">[7]Parameters!$E$211</definedName>
    <definedName name="stus3sal1">#REF!</definedName>
    <definedName name="stus4" localSheetId="2">[7]Parameters!$A$212</definedName>
    <definedName name="stus4">#REF!</definedName>
    <definedName name="stus40" localSheetId="2">[7]Parameters!$A$248</definedName>
    <definedName name="stus40">#REF!</definedName>
    <definedName name="stus41" localSheetId="2">[7]Parameters!$A$249</definedName>
    <definedName name="stus41">#REF!</definedName>
    <definedName name="stus42" localSheetId="2">[7]Parameters!$A$250</definedName>
    <definedName name="stus42">#REF!</definedName>
    <definedName name="stus43" localSheetId="2">[7]Parameters!$A$251</definedName>
    <definedName name="stus43">#REF!</definedName>
    <definedName name="stus44" localSheetId="2">[7]Parameters!$A$252</definedName>
    <definedName name="stus44">#REF!</definedName>
    <definedName name="stus45" localSheetId="2">[7]Parameters!$A$253</definedName>
    <definedName name="stus45">#REF!</definedName>
    <definedName name="stus46" localSheetId="2">[7]Parameters!$A$254</definedName>
    <definedName name="stus46">#REF!</definedName>
    <definedName name="stus47" localSheetId="2">[7]Parameters!$A$255</definedName>
    <definedName name="stus47">#REF!</definedName>
    <definedName name="stus48" localSheetId="2">[7]Parameters!$A$256</definedName>
    <definedName name="stus48">#REF!</definedName>
    <definedName name="stus49" localSheetId="2">[7]Parameters!$A$257</definedName>
    <definedName name="stus49">#REF!</definedName>
    <definedName name="stus4co" localSheetId="2">[7]Parameters!$G$212</definedName>
    <definedName name="stus4co">#REF!</definedName>
    <definedName name="stus4name" localSheetId="2">[7]Parameters!$C$212</definedName>
    <definedName name="stus4name">#REF!</definedName>
    <definedName name="stus4sal1" localSheetId="2">[7]Parameters!$E$212</definedName>
    <definedName name="stus4sal1">#REF!</definedName>
    <definedName name="stus5" localSheetId="2">[7]Parameters!$A$213</definedName>
    <definedName name="stus5">#REF!</definedName>
    <definedName name="stus50" localSheetId="2">[7]Parameters!$A$258</definedName>
    <definedName name="stus50">#REF!</definedName>
    <definedName name="stus51" localSheetId="2">[7]Parameters!$A$259</definedName>
    <definedName name="stus51">#REF!</definedName>
    <definedName name="stus52" localSheetId="2">[7]Parameters!$A$260</definedName>
    <definedName name="stus52">#REF!</definedName>
    <definedName name="stus53" localSheetId="2">[7]Parameters!$A$261</definedName>
    <definedName name="stus53">#REF!</definedName>
    <definedName name="stus54" localSheetId="2">[7]Parameters!$A$262</definedName>
    <definedName name="stus54">#REF!</definedName>
    <definedName name="stus55" localSheetId="2">[7]Parameters!$A$263</definedName>
    <definedName name="stus55">#REF!</definedName>
    <definedName name="stus56" localSheetId="2">[7]Parameters!$A$264</definedName>
    <definedName name="stus56">#REF!</definedName>
    <definedName name="stus57" localSheetId="2">[7]Parameters!$A$265</definedName>
    <definedName name="stus57">#REF!</definedName>
    <definedName name="stus58" localSheetId="2">[7]Parameters!$A$266</definedName>
    <definedName name="stus58">#REF!</definedName>
    <definedName name="stus59" localSheetId="2">[7]Parameters!$A$267</definedName>
    <definedName name="stus59">#REF!</definedName>
    <definedName name="stus5co" localSheetId="2">[7]Parameters!$G$213</definedName>
    <definedName name="stus5co">#REF!</definedName>
    <definedName name="stus5name" localSheetId="2">[7]Parameters!$C$213</definedName>
    <definedName name="stus5name">#REF!</definedName>
    <definedName name="stus5sal1" localSheetId="2">[7]Parameters!$E$213</definedName>
    <definedName name="stus5sal1">#REF!</definedName>
    <definedName name="stus6" localSheetId="2">[7]Parameters!$A$214</definedName>
    <definedName name="stus6">#REF!</definedName>
    <definedName name="stus60" localSheetId="2">[7]Parameters!$A$268</definedName>
    <definedName name="stus60">#REF!</definedName>
    <definedName name="stus61" localSheetId="2">[7]Parameters!$A$269</definedName>
    <definedName name="stus61">#REF!</definedName>
    <definedName name="stus62" localSheetId="2">[7]Parameters!$A$270</definedName>
    <definedName name="stus62">#REF!</definedName>
    <definedName name="stus63" localSheetId="2">[7]Parameters!$A$271</definedName>
    <definedName name="stus63">#REF!</definedName>
    <definedName name="stus64" localSheetId="2">[7]Parameters!$A$272</definedName>
    <definedName name="stus64">#REF!</definedName>
    <definedName name="stus65" localSheetId="2">[7]Parameters!$A$273</definedName>
    <definedName name="stus65">#REF!</definedName>
    <definedName name="stus66" localSheetId="2">[7]Parameters!$A$274</definedName>
    <definedName name="stus66">#REF!</definedName>
    <definedName name="stus67" localSheetId="2">[7]Parameters!$A$275</definedName>
    <definedName name="stus67">#REF!</definedName>
    <definedName name="stus68" localSheetId="2">[7]Parameters!$A$276</definedName>
    <definedName name="stus68">#REF!</definedName>
    <definedName name="stus69" localSheetId="2">[7]Parameters!$A$277</definedName>
    <definedName name="stus69">#REF!</definedName>
    <definedName name="stus6co" localSheetId="2">[7]Parameters!$G$214</definedName>
    <definedName name="stus6co">#REF!</definedName>
    <definedName name="stus6name" localSheetId="2">[7]Parameters!$C$214</definedName>
    <definedName name="stus6name">#REF!</definedName>
    <definedName name="stus6sal1" localSheetId="2">[7]Parameters!$E$214</definedName>
    <definedName name="stus6sal1">#REF!</definedName>
    <definedName name="stus7" localSheetId="2">[7]Parameters!$A$215</definedName>
    <definedName name="stus7">#REF!</definedName>
    <definedName name="stus70" localSheetId="2">[7]Parameters!$A$278</definedName>
    <definedName name="stus70">#REF!</definedName>
    <definedName name="stus71" localSheetId="2">[7]Parameters!$A$279</definedName>
    <definedName name="stus71">#REF!</definedName>
    <definedName name="stus72" localSheetId="2">[7]Parameters!$A$280</definedName>
    <definedName name="stus72">#REF!</definedName>
    <definedName name="stus73" localSheetId="2">[7]Parameters!$A$281</definedName>
    <definedName name="stus73">#REF!</definedName>
    <definedName name="stus74" localSheetId="2">[7]Parameters!$A$282</definedName>
    <definedName name="stus74">#REF!</definedName>
    <definedName name="stus75" localSheetId="2">[7]Parameters!$A$283</definedName>
    <definedName name="stus75">#REF!</definedName>
    <definedName name="stus7co" localSheetId="2">[7]Parameters!$G$215</definedName>
    <definedName name="stus7co">#REF!</definedName>
    <definedName name="stus7name" localSheetId="2">[7]Parameters!$C$215</definedName>
    <definedName name="stus7name">#REF!</definedName>
    <definedName name="stus7sal1" localSheetId="2">[7]Parameters!$E$215</definedName>
    <definedName name="stus7sal1">#REF!</definedName>
    <definedName name="stus8" localSheetId="2">[7]Parameters!$A$216</definedName>
    <definedName name="stus8">#REF!</definedName>
    <definedName name="stus8co" localSheetId="2">[7]Parameters!$G$216</definedName>
    <definedName name="stus8co">#REF!</definedName>
    <definedName name="stus8name" localSheetId="2">[7]Parameters!$C$216</definedName>
    <definedName name="stus8name">#REF!</definedName>
    <definedName name="stus8sal1" localSheetId="2">[7]Parameters!$E$216</definedName>
    <definedName name="stus8sal1">#REF!</definedName>
    <definedName name="stus9" localSheetId="2">[7]Parameters!$A$217</definedName>
    <definedName name="stus9">#REF!</definedName>
    <definedName name="stus9co" localSheetId="2">[7]Parameters!$G$217</definedName>
    <definedName name="stus9co">#REF!</definedName>
    <definedName name="stus9name" localSheetId="2">[7]Parameters!$C$217</definedName>
    <definedName name="stus9name">#REF!</definedName>
    <definedName name="stus9sal1" localSheetId="2">[7]Parameters!$E$217</definedName>
    <definedName name="stus9sal1">#REF!</definedName>
    <definedName name="stusco11" localSheetId="2">[7]Parameters!$G$219</definedName>
    <definedName name="stusco11">#REF!</definedName>
    <definedName name="stusco12" localSheetId="2">[7]Parameters!$G$220</definedName>
    <definedName name="stusco12">#REF!</definedName>
    <definedName name="stusco13" localSheetId="2">[7]Parameters!$G$221</definedName>
    <definedName name="stusco13">#REF!</definedName>
    <definedName name="stusco14" localSheetId="2">[7]Parameters!$G$222</definedName>
    <definedName name="stusco14">#REF!</definedName>
    <definedName name="stusco15" localSheetId="2">[7]Parameters!$G$223</definedName>
    <definedName name="stusco15">#REF!</definedName>
    <definedName name="stusco16" localSheetId="2">[7]Parameters!$G$224</definedName>
    <definedName name="stusco16">#REF!</definedName>
    <definedName name="stusco17" localSheetId="2">[7]Parameters!$G$225</definedName>
    <definedName name="stusco17">#REF!</definedName>
    <definedName name="stusco18" localSheetId="2">[7]Parameters!$G$226</definedName>
    <definedName name="stusco18">#REF!</definedName>
    <definedName name="stusco19" localSheetId="2">[7]Parameters!$G$227</definedName>
    <definedName name="stusco19">#REF!</definedName>
    <definedName name="stusco20" localSheetId="2">[7]Parameters!$G$228</definedName>
    <definedName name="stusco20">#REF!</definedName>
    <definedName name="stusco21" localSheetId="2">[7]Parameters!$G$229</definedName>
    <definedName name="stusco21">#REF!</definedName>
    <definedName name="stusco22" localSheetId="2">[7]Parameters!$G$230</definedName>
    <definedName name="stusco22">#REF!</definedName>
    <definedName name="stusco23" localSheetId="2">[7]Parameters!$G$231</definedName>
    <definedName name="stusco23">#REF!</definedName>
    <definedName name="stusco24" localSheetId="2">[7]Parameters!$G$232</definedName>
    <definedName name="stusco24">#REF!</definedName>
    <definedName name="stusco25" localSheetId="2">[7]Parameters!$G$233</definedName>
    <definedName name="stusco25">#REF!</definedName>
    <definedName name="stusco26" localSheetId="2">[7]Parameters!$G$234</definedName>
    <definedName name="stusco26">#REF!</definedName>
    <definedName name="stusco27" localSheetId="2">[7]Parameters!$G$235</definedName>
    <definedName name="stusco27">#REF!</definedName>
    <definedName name="stusco28" localSheetId="2">[7]Parameters!$G$236</definedName>
    <definedName name="stusco28">#REF!</definedName>
    <definedName name="stusco29" localSheetId="2">[7]Parameters!$G$237</definedName>
    <definedName name="stusco29">#REF!</definedName>
    <definedName name="stusco30" localSheetId="2">[7]Parameters!$G$238</definedName>
    <definedName name="stusco30">#REF!</definedName>
    <definedName name="stusco31" localSheetId="2">[7]Parameters!$G$239</definedName>
    <definedName name="stusco31">#REF!</definedName>
    <definedName name="stusco32" localSheetId="2">[7]Parameters!$G$240</definedName>
    <definedName name="stusco32">#REF!</definedName>
    <definedName name="stusco33" localSheetId="2">[7]Parameters!$G$241</definedName>
    <definedName name="stusco33">#REF!</definedName>
    <definedName name="stusco34" localSheetId="2">[7]Parameters!$G$242</definedName>
    <definedName name="stusco34">#REF!</definedName>
    <definedName name="stusco35" localSheetId="2">[7]Parameters!$G$243</definedName>
    <definedName name="stusco35">#REF!</definedName>
    <definedName name="stusco36" localSheetId="2">[7]Parameters!$G$244</definedName>
    <definedName name="stusco36">#REF!</definedName>
    <definedName name="stusco37" localSheetId="2">[7]Parameters!$G$245</definedName>
    <definedName name="stusco37">#REF!</definedName>
    <definedName name="stusco38" localSheetId="2">[7]Parameters!$G$246</definedName>
    <definedName name="stusco38">#REF!</definedName>
    <definedName name="stusco39" localSheetId="2">[7]Parameters!$G$247</definedName>
    <definedName name="stusco39">#REF!</definedName>
    <definedName name="stusco40" localSheetId="2">[7]Parameters!$G$248</definedName>
    <definedName name="stusco40">#REF!</definedName>
    <definedName name="stusco41" localSheetId="2">[7]Parameters!$G$249</definedName>
    <definedName name="stusco41">#REF!</definedName>
    <definedName name="stusco42" localSheetId="2">[7]Parameters!$G$250</definedName>
    <definedName name="stusco42">#REF!</definedName>
    <definedName name="stusco43" localSheetId="2">[7]Parameters!$G$251</definedName>
    <definedName name="stusco43">#REF!</definedName>
    <definedName name="stusco44" localSheetId="2">[7]Parameters!$G$252</definedName>
    <definedName name="stusco44">#REF!</definedName>
    <definedName name="stusco45" localSheetId="2">[7]Parameters!$G$253</definedName>
    <definedName name="stusco45">#REF!</definedName>
    <definedName name="stusco46" localSheetId="2">[7]Parameters!$G$254</definedName>
    <definedName name="stusco46">#REF!</definedName>
    <definedName name="stusco47" localSheetId="2">[7]Parameters!$G$255</definedName>
    <definedName name="stusco47">#REF!</definedName>
    <definedName name="stusco48" localSheetId="2">[7]Parameters!$G$256</definedName>
    <definedName name="stusco48">#REF!</definedName>
    <definedName name="stusco49" localSheetId="2">[7]Parameters!$G$257</definedName>
    <definedName name="stusco49">#REF!</definedName>
    <definedName name="stusco50" localSheetId="2">[7]Parameters!$G$258</definedName>
    <definedName name="stusco50">#REF!</definedName>
    <definedName name="stusco51" localSheetId="2">[7]Parameters!$G$259</definedName>
    <definedName name="stusco51">#REF!</definedName>
    <definedName name="stusco52" localSheetId="2">[7]Parameters!$G$260</definedName>
    <definedName name="stusco52">#REF!</definedName>
    <definedName name="stusco53" localSheetId="2">[7]Parameters!$G$261</definedName>
    <definedName name="stusco53">#REF!</definedName>
    <definedName name="stusco54" localSheetId="2">[7]Parameters!$G$262</definedName>
    <definedName name="stusco54">#REF!</definedName>
    <definedName name="stusco55" localSheetId="2">[7]Parameters!$G$263</definedName>
    <definedName name="stusco55">#REF!</definedName>
    <definedName name="stusco56" localSheetId="2">[7]Parameters!$G$264</definedName>
    <definedName name="stusco56">#REF!</definedName>
    <definedName name="stusco57" localSheetId="2">[7]Parameters!$G$265</definedName>
    <definedName name="stusco57">#REF!</definedName>
    <definedName name="stusco58" localSheetId="2">[7]Parameters!$G$266</definedName>
    <definedName name="stusco58">#REF!</definedName>
    <definedName name="stusco59" localSheetId="2">[7]Parameters!$G$267</definedName>
    <definedName name="stusco59">#REF!</definedName>
    <definedName name="stusco60" localSheetId="2">[7]Parameters!$G$268</definedName>
    <definedName name="stusco60">#REF!</definedName>
    <definedName name="stusco61" localSheetId="2">[7]Parameters!$G$269</definedName>
    <definedName name="stusco61">#REF!</definedName>
    <definedName name="stusco62" localSheetId="2">[7]Parameters!$G$270</definedName>
    <definedName name="stusco62">#REF!</definedName>
    <definedName name="stusco63" localSheetId="2">[7]Parameters!$G$271</definedName>
    <definedName name="stusco63">#REF!</definedName>
    <definedName name="stusco64" localSheetId="2">[7]Parameters!$G$272</definedName>
    <definedName name="stusco64">#REF!</definedName>
    <definedName name="stusco65" localSheetId="2">[7]Parameters!$G$273</definedName>
    <definedName name="stusco65">#REF!</definedName>
    <definedName name="stusco66" localSheetId="2">[7]Parameters!$G$274</definedName>
    <definedName name="stusco66">#REF!</definedName>
    <definedName name="stusco67" localSheetId="2">[7]Parameters!$G$275</definedName>
    <definedName name="stusco67">#REF!</definedName>
    <definedName name="stusco68" localSheetId="2">[7]Parameters!$G$276</definedName>
    <definedName name="stusco68">#REF!</definedName>
    <definedName name="stusco69" localSheetId="2">[7]Parameters!$G$277</definedName>
    <definedName name="stusco69">#REF!</definedName>
    <definedName name="stusco70" localSheetId="2">[7]Parameters!$G$278</definedName>
    <definedName name="stusco70">#REF!</definedName>
    <definedName name="stusco71" localSheetId="2">[7]Parameters!$G$279</definedName>
    <definedName name="stusco71">#REF!</definedName>
    <definedName name="stusco72" localSheetId="2">[7]Parameters!$G$280</definedName>
    <definedName name="stusco72">#REF!</definedName>
    <definedName name="stusco73" localSheetId="2">[7]Parameters!$G$281</definedName>
    <definedName name="stusco73">#REF!</definedName>
    <definedName name="stusco74" localSheetId="2">[7]Parameters!$G$282</definedName>
    <definedName name="stusco74">#REF!</definedName>
    <definedName name="stusco75" localSheetId="2">[7]Parameters!$G$283</definedName>
    <definedName name="stusco75">#REF!</definedName>
    <definedName name="stusjob1" localSheetId="2">[7]Parameters!$I$209</definedName>
    <definedName name="stusjob1">#REF!</definedName>
    <definedName name="stusjob10" localSheetId="2">[7]Parameters!$I$218</definedName>
    <definedName name="stusjob10">#REF!</definedName>
    <definedName name="stusjob11" localSheetId="2">[7]Parameters!$I$219</definedName>
    <definedName name="stusjob11">#REF!</definedName>
    <definedName name="stusjob12" localSheetId="2">[7]Parameters!$I$220</definedName>
    <definedName name="stusjob12">#REF!</definedName>
    <definedName name="stusjob13" localSheetId="2">[7]Parameters!$I$221</definedName>
    <definedName name="stusjob13">#REF!</definedName>
    <definedName name="stusjob14" localSheetId="2">[7]Parameters!$I$222</definedName>
    <definedName name="stusjob14">#REF!</definedName>
    <definedName name="stusjob15" localSheetId="2">[7]Parameters!$I$223</definedName>
    <definedName name="stusjob15">#REF!</definedName>
    <definedName name="stusjob16" localSheetId="2">[7]Parameters!$I$224</definedName>
    <definedName name="stusjob16">#REF!</definedName>
    <definedName name="stusjob17" localSheetId="2">[7]Parameters!$I$225</definedName>
    <definedName name="stusjob17">#REF!</definedName>
    <definedName name="stusjob18" localSheetId="2">[7]Parameters!$I$226</definedName>
    <definedName name="stusjob18">#REF!</definedName>
    <definedName name="stusjob19" localSheetId="2">[7]Parameters!$I$227</definedName>
    <definedName name="stusjob19">#REF!</definedName>
    <definedName name="stusjob2" localSheetId="2">[7]Parameters!$I$210</definedName>
    <definedName name="stusjob2">#REF!</definedName>
    <definedName name="stusjob20" localSheetId="2">[7]Parameters!$I$228</definedName>
    <definedName name="stusjob20">#REF!</definedName>
    <definedName name="stusjob21" localSheetId="2">[7]Parameters!$I$229</definedName>
    <definedName name="stusjob21">#REF!</definedName>
    <definedName name="stusjob22" localSheetId="2">[7]Parameters!$I$230</definedName>
    <definedName name="stusjob22">#REF!</definedName>
    <definedName name="stusjob23" localSheetId="2">[7]Parameters!$I$231</definedName>
    <definedName name="stusjob23">#REF!</definedName>
    <definedName name="stusjob24" localSheetId="2">[7]Parameters!$I$232</definedName>
    <definedName name="stusjob24">#REF!</definedName>
    <definedName name="stusjob25" localSheetId="2">[7]Parameters!$I$233</definedName>
    <definedName name="stusjob25">#REF!</definedName>
    <definedName name="stusjob26" localSheetId="2">[7]Parameters!$I$234</definedName>
    <definedName name="stusjob26">#REF!</definedName>
    <definedName name="stusjob27" localSheetId="2">[7]Parameters!$I$235</definedName>
    <definedName name="stusjob27">#REF!</definedName>
    <definedName name="stusjob28" localSheetId="2">[7]Parameters!$I$236</definedName>
    <definedName name="stusjob28">#REF!</definedName>
    <definedName name="stusjob29" localSheetId="2">[7]Parameters!$I$237</definedName>
    <definedName name="stusjob29">#REF!</definedName>
    <definedName name="stusjob3" localSheetId="2">[7]Parameters!$I$211</definedName>
    <definedName name="stusjob3">#REF!</definedName>
    <definedName name="stusjob30" localSheetId="2">[7]Parameters!$I$238</definedName>
    <definedName name="stusjob30">#REF!</definedName>
    <definedName name="stusjob31" localSheetId="2">[7]Parameters!$I$239</definedName>
    <definedName name="stusjob31">#REF!</definedName>
    <definedName name="stusjob32" localSheetId="2">[7]Parameters!$I$240</definedName>
    <definedName name="stusjob32">#REF!</definedName>
    <definedName name="stusjob33" localSheetId="2">[7]Parameters!$I$241</definedName>
    <definedName name="stusjob33">#REF!</definedName>
    <definedName name="stusjob34" localSheetId="2">[7]Parameters!$I$242</definedName>
    <definedName name="stusjob34">#REF!</definedName>
    <definedName name="stusjob35" localSheetId="2">[7]Parameters!$I$243</definedName>
    <definedName name="stusjob35">#REF!</definedName>
    <definedName name="stusjob36" localSheetId="2">[7]Parameters!$I$244</definedName>
    <definedName name="stusjob36">#REF!</definedName>
    <definedName name="stusjob37" localSheetId="2">[7]Parameters!$I$245</definedName>
    <definedName name="stusjob37">#REF!</definedName>
    <definedName name="stusjob38" localSheetId="2">[7]Parameters!$I$246</definedName>
    <definedName name="stusjob38">#REF!</definedName>
    <definedName name="stusjob39" localSheetId="2">[7]Parameters!$I$247</definedName>
    <definedName name="stusjob39">#REF!</definedName>
    <definedName name="stusjob4" localSheetId="2">[7]Parameters!$I$212</definedName>
    <definedName name="stusjob4">#REF!</definedName>
    <definedName name="stusjob40" localSheetId="2">[7]Parameters!$I$248</definedName>
    <definedName name="stusjob40">#REF!</definedName>
    <definedName name="stusjob41" localSheetId="2">[7]Parameters!$I$249</definedName>
    <definedName name="stusjob41">#REF!</definedName>
    <definedName name="stusjob42" localSheetId="2">[7]Parameters!$I$250</definedName>
    <definedName name="stusjob42">#REF!</definedName>
    <definedName name="stusjob43" localSheetId="2">[7]Parameters!$I$251</definedName>
    <definedName name="stusjob43">#REF!</definedName>
    <definedName name="stusjob44" localSheetId="2">[7]Parameters!$I$252</definedName>
    <definedName name="stusjob44">#REF!</definedName>
    <definedName name="stusjob45" localSheetId="2">[7]Parameters!$I$253</definedName>
    <definedName name="stusjob45">#REF!</definedName>
    <definedName name="stusjob46" localSheetId="2">[7]Parameters!$I$254</definedName>
    <definedName name="stusjob46">#REF!</definedName>
    <definedName name="stusjob47" localSheetId="2">[7]Parameters!$I$255</definedName>
    <definedName name="stusjob47">#REF!</definedName>
    <definedName name="stusjob48" localSheetId="2">[7]Parameters!$I$256</definedName>
    <definedName name="stusjob48">#REF!</definedName>
    <definedName name="stusjob49" localSheetId="2">[7]Parameters!$I$257</definedName>
    <definedName name="stusjob49">#REF!</definedName>
    <definedName name="stusjob5" localSheetId="2">[7]Parameters!$I$213</definedName>
    <definedName name="stusjob5">#REF!</definedName>
    <definedName name="stusjob51" localSheetId="2">[7]Parameters!$I$259</definedName>
    <definedName name="stusjob51">#REF!</definedName>
    <definedName name="stusjob52" localSheetId="2">[7]Parameters!$I$260</definedName>
    <definedName name="stusjob52">#REF!</definedName>
    <definedName name="stusjob53" localSheetId="2">[7]Parameters!$I$261</definedName>
    <definedName name="stusjob53">#REF!</definedName>
    <definedName name="stusjob54" localSheetId="2">[7]Parameters!$I$262</definedName>
    <definedName name="stusjob54">#REF!</definedName>
    <definedName name="stusjob55" localSheetId="2">[7]Parameters!$I$263</definedName>
    <definedName name="stusjob55">#REF!</definedName>
    <definedName name="stusjob56" localSheetId="2">[7]Parameters!$I$264</definedName>
    <definedName name="stusjob56">#REF!</definedName>
    <definedName name="stusjob57" localSheetId="2">[7]Parameters!$I$265</definedName>
    <definedName name="stusjob57">#REF!</definedName>
    <definedName name="stusjob58" localSheetId="2">[7]Parameters!$I$266</definedName>
    <definedName name="stusjob58">#REF!</definedName>
    <definedName name="stusjob59" localSheetId="2">[7]Parameters!$I$267</definedName>
    <definedName name="stusjob59">#REF!</definedName>
    <definedName name="stusjob6" localSheetId="2">[7]Parameters!$I$214</definedName>
    <definedName name="stusjob6">#REF!</definedName>
    <definedName name="stusjob60" localSheetId="2">[7]Parameters!$I$268</definedName>
    <definedName name="stusjob60">#REF!</definedName>
    <definedName name="stusjob61" localSheetId="2">[7]Parameters!$I$269</definedName>
    <definedName name="stusjob61">#REF!</definedName>
    <definedName name="stusjob62" localSheetId="2">[7]Parameters!$I$270</definedName>
    <definedName name="stusjob62">#REF!</definedName>
    <definedName name="stusjob63" localSheetId="2">[7]Parameters!$I$271</definedName>
    <definedName name="stusjob63">#REF!</definedName>
    <definedName name="stusjob64" localSheetId="2">[7]Parameters!$I$272</definedName>
    <definedName name="stusjob64">#REF!</definedName>
    <definedName name="stusjob65" localSheetId="2">[7]Parameters!$I$273</definedName>
    <definedName name="stusjob65">#REF!</definedName>
    <definedName name="stusjob66" localSheetId="2">[7]Parameters!$I$274</definedName>
    <definedName name="stusjob66">#REF!</definedName>
    <definedName name="stusjob67" localSheetId="2">[7]Parameters!$I$275</definedName>
    <definedName name="stusjob67">#REF!</definedName>
    <definedName name="stusjob68" localSheetId="2">[7]Parameters!$I$276</definedName>
    <definedName name="stusjob68">#REF!</definedName>
    <definedName name="stusjob69" localSheetId="2">[7]Parameters!$I$277</definedName>
    <definedName name="stusjob69">#REF!</definedName>
    <definedName name="stusjob7" localSheetId="2">[7]Parameters!$I$215</definedName>
    <definedName name="stusjob7">#REF!</definedName>
    <definedName name="stusjob70" localSheetId="2">[7]Parameters!$I$278</definedName>
    <definedName name="stusjob70">#REF!</definedName>
    <definedName name="stusjob71" localSheetId="2">[7]Parameters!$I$279</definedName>
    <definedName name="stusjob71">#REF!</definedName>
    <definedName name="stusjob72" localSheetId="2">[7]Parameters!$I$280</definedName>
    <definedName name="stusjob72">#REF!</definedName>
    <definedName name="stusjob73" localSheetId="2">[7]Parameters!$I$281</definedName>
    <definedName name="stusjob73">#REF!</definedName>
    <definedName name="stusjob74" localSheetId="2">[7]Parameters!$I$282</definedName>
    <definedName name="stusjob74">#REF!</definedName>
    <definedName name="stusjob75" localSheetId="2">[7]Parameters!$I$283</definedName>
    <definedName name="stusjob75">#REF!</definedName>
    <definedName name="stusjob8" localSheetId="2">[7]Parameters!$I$216</definedName>
    <definedName name="stusjob8">#REF!</definedName>
    <definedName name="stusjob9" localSheetId="2">[7]Parameters!$I$217</definedName>
    <definedName name="stusjob9">#REF!</definedName>
    <definedName name="stusname11" localSheetId="2">[7]Parameters!$C$219</definedName>
    <definedName name="stusname11">#REF!</definedName>
    <definedName name="stusname12" localSheetId="2">[7]Parameters!$C$220</definedName>
    <definedName name="stusname12">#REF!</definedName>
    <definedName name="stusname13" localSheetId="2">[7]Parameters!$C$221</definedName>
    <definedName name="stusname13">#REF!</definedName>
    <definedName name="stusname14" localSheetId="2">[7]Parameters!$C$222</definedName>
    <definedName name="stusname14">#REF!</definedName>
    <definedName name="stusname15" localSheetId="2">[7]Parameters!$C$223</definedName>
    <definedName name="stusname15">#REF!</definedName>
    <definedName name="stusname16" localSheetId="2">[7]Parameters!$C$224</definedName>
    <definedName name="stusname16">#REF!</definedName>
    <definedName name="stusname17" localSheetId="2">[7]Parameters!$C$225</definedName>
    <definedName name="stusname17">#REF!</definedName>
    <definedName name="stusname18" localSheetId="2">[7]Parameters!$C$226</definedName>
    <definedName name="stusname18">#REF!</definedName>
    <definedName name="stusname19" localSheetId="2">[7]Parameters!$C$227</definedName>
    <definedName name="stusname19">#REF!</definedName>
    <definedName name="stusname20" localSheetId="2">[7]Parameters!$C$228</definedName>
    <definedName name="stusname20">#REF!</definedName>
    <definedName name="stusname21" localSheetId="2">[7]Parameters!$C$229</definedName>
    <definedName name="stusname21">#REF!</definedName>
    <definedName name="stusname22" localSheetId="2">[7]Parameters!$C$230</definedName>
    <definedName name="stusname22">#REF!</definedName>
    <definedName name="stusname23" localSheetId="2">[7]Parameters!$C$231</definedName>
    <definedName name="stusname23">#REF!</definedName>
    <definedName name="stusname24" localSheetId="2">[7]Parameters!$C$232</definedName>
    <definedName name="stusname24">#REF!</definedName>
    <definedName name="stusname25" localSheetId="2">[7]Parameters!$C$233</definedName>
    <definedName name="stusname25">#REF!</definedName>
    <definedName name="stusname26" localSheetId="2">[7]Parameters!$C$234</definedName>
    <definedName name="stusname26">#REF!</definedName>
    <definedName name="stusname27" localSheetId="2">[7]Parameters!$C$235</definedName>
    <definedName name="stusname27">#REF!</definedName>
    <definedName name="stusname28" localSheetId="2">[7]Parameters!$C$236</definedName>
    <definedName name="stusname28">#REF!</definedName>
    <definedName name="stusname29" localSheetId="2">[7]Parameters!$C$237</definedName>
    <definedName name="stusname29">#REF!</definedName>
    <definedName name="stusname30" localSheetId="2">[7]Parameters!$C$238</definedName>
    <definedName name="stusname30">#REF!</definedName>
    <definedName name="stusname31" localSheetId="2">[7]Parameters!$C$239</definedName>
    <definedName name="stusname31">#REF!</definedName>
    <definedName name="stusname32" localSheetId="2">[7]Parameters!$C$240</definedName>
    <definedName name="stusname32">#REF!</definedName>
    <definedName name="stusname33" localSheetId="2">[7]Parameters!$C$241</definedName>
    <definedName name="stusname33">#REF!</definedName>
    <definedName name="stusname34" localSheetId="2">[7]Parameters!$C$242</definedName>
    <definedName name="stusname34">#REF!</definedName>
    <definedName name="stusname35" localSheetId="2">[7]Parameters!$C$243</definedName>
    <definedName name="stusname35">#REF!</definedName>
    <definedName name="stusname36" localSheetId="2">[7]Parameters!$C$244</definedName>
    <definedName name="stusname36">#REF!</definedName>
    <definedName name="stusname37" localSheetId="2">[7]Parameters!$C$245</definedName>
    <definedName name="stusname37">#REF!</definedName>
    <definedName name="stusname38" localSheetId="2">[7]Parameters!$C$246</definedName>
    <definedName name="stusname38">#REF!</definedName>
    <definedName name="stusname39" localSheetId="2">[7]Parameters!$C$247</definedName>
    <definedName name="stusname39">#REF!</definedName>
    <definedName name="stusname40" localSheetId="2">[7]Parameters!$C$248</definedName>
    <definedName name="stusname40">#REF!</definedName>
    <definedName name="stusname41" localSheetId="2">[7]Parameters!$C$249</definedName>
    <definedName name="stusname41">#REF!</definedName>
    <definedName name="stusname42" localSheetId="2">[7]Parameters!$C$250</definedName>
    <definedName name="stusname42">#REF!</definedName>
    <definedName name="stusname43" localSheetId="2">[7]Parameters!$C$251</definedName>
    <definedName name="stusname43">#REF!</definedName>
    <definedName name="stusname44" localSheetId="2">[7]Parameters!$C$252</definedName>
    <definedName name="stusname44">#REF!</definedName>
    <definedName name="stusname45" localSheetId="2">[7]Parameters!$C$253</definedName>
    <definedName name="stusname45">#REF!</definedName>
    <definedName name="stusname46" localSheetId="2">[7]Parameters!$C$254</definedName>
    <definedName name="stusname46">#REF!</definedName>
    <definedName name="stusname47" localSheetId="2">[7]Parameters!$C$255</definedName>
    <definedName name="stusname47">#REF!</definedName>
    <definedName name="stusname48" localSheetId="2">[7]Parameters!$C$256</definedName>
    <definedName name="stusname48">#REF!</definedName>
    <definedName name="stusname49" localSheetId="2">[7]Parameters!$C$257</definedName>
    <definedName name="stusname49">#REF!</definedName>
    <definedName name="stusname50" localSheetId="2">[7]Parameters!$C$258</definedName>
    <definedName name="stusname50">#REF!</definedName>
    <definedName name="stusname51" localSheetId="2">[7]Parameters!$C$259</definedName>
    <definedName name="stusname51">#REF!</definedName>
    <definedName name="stusname52" localSheetId="2">[7]Parameters!$C$260</definedName>
    <definedName name="stusname52">#REF!</definedName>
    <definedName name="stusname53" localSheetId="2">[7]Parameters!$C$261</definedName>
    <definedName name="stusname53">#REF!</definedName>
    <definedName name="stusname54" localSheetId="2">[7]Parameters!$C$262</definedName>
    <definedName name="stusname54">#REF!</definedName>
    <definedName name="stusname55" localSheetId="2">[7]Parameters!$C$263</definedName>
    <definedName name="stusname55">#REF!</definedName>
    <definedName name="stusname56" localSheetId="2">[7]Parameters!$C$264</definedName>
    <definedName name="stusname56">#REF!</definedName>
    <definedName name="stusname57" localSheetId="2">[7]Parameters!$C$265</definedName>
    <definedName name="stusname57">#REF!</definedName>
    <definedName name="stusname58" localSheetId="2">[7]Parameters!$C$266</definedName>
    <definedName name="stusname58">#REF!</definedName>
    <definedName name="stusname59" localSheetId="2">[7]Parameters!$C$267</definedName>
    <definedName name="stusname59">#REF!</definedName>
    <definedName name="stusname60" localSheetId="2">[7]Parameters!$C$268</definedName>
    <definedName name="stusname60">#REF!</definedName>
    <definedName name="stusname61" localSheetId="2">[7]Parameters!$C$269</definedName>
    <definedName name="stusname61">#REF!</definedName>
    <definedName name="stusname62" localSheetId="2">[7]Parameters!$C$270</definedName>
    <definedName name="stusname62">#REF!</definedName>
    <definedName name="stusname63" localSheetId="2">[7]Parameters!$C$271</definedName>
    <definedName name="stusname63">#REF!</definedName>
    <definedName name="stusname64" localSheetId="2">[7]Parameters!$C$272</definedName>
    <definedName name="stusname64">#REF!</definedName>
    <definedName name="stusname65" localSheetId="2">[7]Parameters!$C$273</definedName>
    <definedName name="stusname65">#REF!</definedName>
    <definedName name="stusname66" localSheetId="2">[7]Parameters!$C$274</definedName>
    <definedName name="stusname66">#REF!</definedName>
    <definedName name="stusname67" localSheetId="2">[7]Parameters!$C$275</definedName>
    <definedName name="stusname67">#REF!</definedName>
    <definedName name="stusname68" localSheetId="2">[7]Parameters!$C$276</definedName>
    <definedName name="stusname68">#REF!</definedName>
    <definedName name="stusname69" localSheetId="2">[7]Parameters!$C$277</definedName>
    <definedName name="stusname69">#REF!</definedName>
    <definedName name="stusname70" localSheetId="2">[7]Parameters!$C$278</definedName>
    <definedName name="stusname70">#REF!</definedName>
    <definedName name="stusname71" localSheetId="2">[7]Parameters!$C$279</definedName>
    <definedName name="stusname71">#REF!</definedName>
    <definedName name="stusname72" localSheetId="2">[7]Parameters!$C$280</definedName>
    <definedName name="stusname72">#REF!</definedName>
    <definedName name="stusname73" localSheetId="2">[7]Parameters!$C$281</definedName>
    <definedName name="stusname73">#REF!</definedName>
    <definedName name="stusname74" localSheetId="2">[7]Parameters!$C$282</definedName>
    <definedName name="stusname74">#REF!</definedName>
    <definedName name="stusname75" localSheetId="2">[7]Parameters!$C$283</definedName>
    <definedName name="stusname75">#REF!</definedName>
    <definedName name="stussal11" localSheetId="2">[7]Parameters!$E$219</definedName>
    <definedName name="stussal11">#REF!</definedName>
    <definedName name="stussal12" localSheetId="2">[7]Parameters!$E$220</definedName>
    <definedName name="stussal12">#REF!</definedName>
    <definedName name="stussal13" localSheetId="2">[7]Parameters!$E$221</definedName>
    <definedName name="stussal13">#REF!</definedName>
    <definedName name="stussal14" localSheetId="2">[7]Parameters!$E$222</definedName>
    <definedName name="stussal14">#REF!</definedName>
    <definedName name="stussal15" localSheetId="2">[7]Parameters!$E$223</definedName>
    <definedName name="stussal15">#REF!</definedName>
    <definedName name="stussal16" localSheetId="2">[7]Parameters!$E$224</definedName>
    <definedName name="stussal16">#REF!</definedName>
    <definedName name="stussal17" localSheetId="2">[7]Parameters!$E$225</definedName>
    <definedName name="stussal17">#REF!</definedName>
    <definedName name="stussal18" localSheetId="2">[7]Parameters!$E$226</definedName>
    <definedName name="stussal18">#REF!</definedName>
    <definedName name="stussal19" localSheetId="2">[7]Parameters!$E$227</definedName>
    <definedName name="stussal19">#REF!</definedName>
    <definedName name="stussal20" localSheetId="2">[7]Parameters!$E$228</definedName>
    <definedName name="stussal20">#REF!</definedName>
    <definedName name="stussal21" localSheetId="2">[7]Parameters!$E$229</definedName>
    <definedName name="stussal21">#REF!</definedName>
    <definedName name="stussal22" localSheetId="2">[7]Parameters!$E$230</definedName>
    <definedName name="stussal22">#REF!</definedName>
    <definedName name="stussal23" localSheetId="2">[7]Parameters!$E$231</definedName>
    <definedName name="stussal23">#REF!</definedName>
    <definedName name="stussal24" localSheetId="2">[7]Parameters!$E$232</definedName>
    <definedName name="stussal24">#REF!</definedName>
    <definedName name="stussal25" localSheetId="2">[7]Parameters!$E$233</definedName>
    <definedName name="stussal25">#REF!</definedName>
    <definedName name="stussal26" localSheetId="2">[7]Parameters!$E$234</definedName>
    <definedName name="stussal26">#REF!</definedName>
    <definedName name="stussal27" localSheetId="2">[7]Parameters!$E$235</definedName>
    <definedName name="stussal27">#REF!</definedName>
    <definedName name="stussal28" localSheetId="2">[7]Parameters!$E$236</definedName>
    <definedName name="stussal28">#REF!</definedName>
    <definedName name="stussal29" localSheetId="2">[7]Parameters!$E$237</definedName>
    <definedName name="stussal29">#REF!</definedName>
    <definedName name="stussal30" localSheetId="2">[7]Parameters!$E$238</definedName>
    <definedName name="stussal30">#REF!</definedName>
    <definedName name="stussal31" localSheetId="2">[7]Parameters!$E$239</definedName>
    <definedName name="stussal31">#REF!</definedName>
    <definedName name="stussal32" localSheetId="2">[7]Parameters!$E$240</definedName>
    <definedName name="stussal32">#REF!</definedName>
    <definedName name="stussal33" localSheetId="2">[7]Parameters!$E$241</definedName>
    <definedName name="stussal33">#REF!</definedName>
    <definedName name="stussal34" localSheetId="2">[7]Parameters!$E$242</definedName>
    <definedName name="stussal34">#REF!</definedName>
    <definedName name="stussal35" localSheetId="2">[7]Parameters!$E$243</definedName>
    <definedName name="stussal35">#REF!</definedName>
    <definedName name="stussal36" localSheetId="2">[7]Parameters!$E$244</definedName>
    <definedName name="stussal36">#REF!</definedName>
    <definedName name="stussal37" localSheetId="2">[7]Parameters!$E$245</definedName>
    <definedName name="stussal37">#REF!</definedName>
    <definedName name="stussal38" localSheetId="2">[7]Parameters!$E$246</definedName>
    <definedName name="stussal38">#REF!</definedName>
    <definedName name="stussal39" localSheetId="2">[7]Parameters!$E$247</definedName>
    <definedName name="stussal39">#REF!</definedName>
    <definedName name="stussal40" localSheetId="2">[7]Parameters!$E$248</definedName>
    <definedName name="stussal40">#REF!</definedName>
    <definedName name="stussal41" localSheetId="2">[7]Parameters!$E$249</definedName>
    <definedName name="stussal41">#REF!</definedName>
    <definedName name="stussal42" localSheetId="2">[7]Parameters!$E$250</definedName>
    <definedName name="stussal42">#REF!</definedName>
    <definedName name="stussal43" localSheetId="2">[7]Parameters!$E$251</definedName>
    <definedName name="stussal43">#REF!</definedName>
    <definedName name="stussal44" localSheetId="2">[7]Parameters!$E$252</definedName>
    <definedName name="stussal44">#REF!</definedName>
    <definedName name="stussal45" localSheetId="2">[7]Parameters!$E$253</definedName>
    <definedName name="stussal45">#REF!</definedName>
    <definedName name="stussal46" localSheetId="2">[7]Parameters!$E$254</definedName>
    <definedName name="stussal46">#REF!</definedName>
    <definedName name="stussal47" localSheetId="2">[7]Parameters!$E$255</definedName>
    <definedName name="stussal47">#REF!</definedName>
    <definedName name="stussal48" localSheetId="2">[7]Parameters!$E$256</definedName>
    <definedName name="stussal48">#REF!</definedName>
    <definedName name="stussal49" localSheetId="2">[7]Parameters!$E$257</definedName>
    <definedName name="stussal49">#REF!</definedName>
    <definedName name="stussal50" localSheetId="2">[7]Parameters!$E$258</definedName>
    <definedName name="stussal50">#REF!</definedName>
    <definedName name="stussal51" localSheetId="2">[7]Parameters!$E$259</definedName>
    <definedName name="stussal51">#REF!</definedName>
    <definedName name="stussal52" localSheetId="2">[7]Parameters!$E$260</definedName>
    <definedName name="stussal52">#REF!</definedName>
    <definedName name="stussal53" localSheetId="2">[7]Parameters!$E$261</definedName>
    <definedName name="stussal53">#REF!</definedName>
    <definedName name="stussal54" localSheetId="2">[7]Parameters!$E$262</definedName>
    <definedName name="stussal54">#REF!</definedName>
    <definedName name="stussal55" localSheetId="2">[7]Parameters!$E$263</definedName>
    <definedName name="stussal55">#REF!</definedName>
    <definedName name="stussal56" localSheetId="2">[7]Parameters!$E$264</definedName>
    <definedName name="stussal56">#REF!</definedName>
    <definedName name="stussal57" localSheetId="2">[7]Parameters!$E$265</definedName>
    <definedName name="stussal57">#REF!</definedName>
    <definedName name="stussal58" localSheetId="2">[7]Parameters!$E$266</definedName>
    <definedName name="stussal58">#REF!</definedName>
    <definedName name="stussal59" localSheetId="2">[7]Parameters!$E$267</definedName>
    <definedName name="stussal59">#REF!</definedName>
    <definedName name="stussal60" localSheetId="2">[7]Parameters!$E$268</definedName>
    <definedName name="stussal60">#REF!</definedName>
    <definedName name="stussal61" localSheetId="2">[7]Parameters!$E$269</definedName>
    <definedName name="stussal61">#REF!</definedName>
    <definedName name="stussal62" localSheetId="2">[7]Parameters!$E$270</definedName>
    <definedName name="stussal62">#REF!</definedName>
    <definedName name="stussal63" localSheetId="2">[7]Parameters!$E$271</definedName>
    <definedName name="stussal63">#REF!</definedName>
    <definedName name="stussal64" localSheetId="2">[7]Parameters!$E$272</definedName>
    <definedName name="stussal64">#REF!</definedName>
    <definedName name="stussal65" localSheetId="2">[7]Parameters!$E$273</definedName>
    <definedName name="stussal65">#REF!</definedName>
    <definedName name="stussal66" localSheetId="2">[7]Parameters!$E$274</definedName>
    <definedName name="stussal66">#REF!</definedName>
    <definedName name="stussal67" localSheetId="2">[7]Parameters!$E$275</definedName>
    <definedName name="stussal67">#REF!</definedName>
    <definedName name="stussal68" localSheetId="2">[7]Parameters!$E$276</definedName>
    <definedName name="stussal68">#REF!</definedName>
    <definedName name="stussal69" localSheetId="2">[7]Parameters!$E$277</definedName>
    <definedName name="stussal69">#REF!</definedName>
    <definedName name="stussal70" localSheetId="2">[7]Parameters!$E$278</definedName>
    <definedName name="stussal70">#REF!</definedName>
    <definedName name="stussal71" localSheetId="2">[7]Parameters!$E$279</definedName>
    <definedName name="stussal71">#REF!</definedName>
    <definedName name="stussal72" localSheetId="2">[7]Parameters!$E$280</definedName>
    <definedName name="stussal72">#REF!</definedName>
    <definedName name="stussal73" localSheetId="2">[7]Parameters!$E$281</definedName>
    <definedName name="stussal73">#REF!</definedName>
    <definedName name="stussal74" localSheetId="2">[7]Parameters!$E$282</definedName>
    <definedName name="stussal74">#REF!</definedName>
    <definedName name="stussal75" localSheetId="2">[7]Parameters!$E$283</definedName>
    <definedName name="stussal75">#REF!</definedName>
    <definedName name="Sub" localSheetId="2">[10]RATES!#REF!</definedName>
    <definedName name="Sub">#REF!</definedName>
    <definedName name="sub10fee" localSheetId="2">[7]Parameters!$V$497</definedName>
    <definedName name="sub10fee">#REF!</definedName>
    <definedName name="sub10fringeexp" localSheetId="2">[7]Parameters!$V$486</definedName>
    <definedName name="sub10fringeexp">#REF!</definedName>
    <definedName name="sub10fringeloc" localSheetId="2">[7]Parameters!$V$487</definedName>
    <definedName name="sub10fringeloc">#REF!</definedName>
    <definedName name="sub10ga" localSheetId="2">[7]Parameters!$V$494</definedName>
    <definedName name="sub10ga">#REF!</definedName>
    <definedName name="sub10ohfo" localSheetId="2">[7]Parameters!$V$491</definedName>
    <definedName name="sub10ohfo">#REF!</definedName>
    <definedName name="sub1name" localSheetId="2">[7]Parameters!$B$17</definedName>
    <definedName name="sub1name">#REF!</definedName>
    <definedName name="sub2name" localSheetId="2">[7]Parameters!$B$18</definedName>
    <definedName name="sub2name">#REF!</definedName>
    <definedName name="sub3name" localSheetId="2">[7]Parameters!$B$19</definedName>
    <definedName name="sub3name">#REF!</definedName>
    <definedName name="sub4name" localSheetId="2">[7]Parameters!$B$20</definedName>
    <definedName name="sub4name">#REF!</definedName>
    <definedName name="sub5name" localSheetId="2">[7]Parameters!$B$21</definedName>
    <definedName name="sub5name">#REF!</definedName>
    <definedName name="SUBCONTRACOR_IDs" localSheetId="2">#REF!</definedName>
    <definedName name="SUBCONTRACOR_IDs">#REF!</definedName>
    <definedName name="subcontractor" localSheetId="2">#REF!</definedName>
    <definedName name="subcontractor">#REF!</definedName>
    <definedName name="subfee" localSheetId="2">#REF!</definedName>
    <definedName name="subfee">#REF!</definedName>
    <definedName name="subho" localSheetId="2">[7]Parameters!$A$455</definedName>
    <definedName name="subho">#REF!</definedName>
    <definedName name="subho1" localSheetId="2">[7]Parameters!$A$457</definedName>
    <definedName name="subho1">#REF!</definedName>
    <definedName name="subho10" localSheetId="2">[7]Parameters!$A$466</definedName>
    <definedName name="subho10">#REF!</definedName>
    <definedName name="subho10co" localSheetId="2">[7]Parameters!$G$466</definedName>
    <definedName name="subho10co">#REF!</definedName>
    <definedName name="subho10name" localSheetId="2">[7]Parameters!$C$466</definedName>
    <definedName name="subho10name">#REF!</definedName>
    <definedName name="subho10sal1" localSheetId="2">[7]Parameters!$E$466</definedName>
    <definedName name="subho10sal1">#REF!</definedName>
    <definedName name="subho1co" localSheetId="2">[7]Parameters!$G$457</definedName>
    <definedName name="subho1co">#REF!</definedName>
    <definedName name="subho1name" localSheetId="2">[7]Parameters!$C$457</definedName>
    <definedName name="subho1name">#REF!</definedName>
    <definedName name="subho1sal1" localSheetId="2">[7]Parameters!$E$457</definedName>
    <definedName name="subho1sal1">#REF!</definedName>
    <definedName name="subho2" localSheetId="2">[7]Parameters!$A$458</definedName>
    <definedName name="subho2">#REF!</definedName>
    <definedName name="subho2co" localSheetId="2">[7]Parameters!$G$458</definedName>
    <definedName name="subho2co">#REF!</definedName>
    <definedName name="subho2name" localSheetId="2">[7]Parameters!$C$458</definedName>
    <definedName name="subho2name">#REF!</definedName>
    <definedName name="subho2sal1" localSheetId="2">[7]Parameters!$E$458</definedName>
    <definedName name="subho2sal1">#REF!</definedName>
    <definedName name="subho3" localSheetId="2">[7]Parameters!$A$459</definedName>
    <definedName name="subho3">#REF!</definedName>
    <definedName name="subho3co" localSheetId="2">[7]Parameters!$G$459</definedName>
    <definedName name="subho3co">#REF!</definedName>
    <definedName name="subho3name" localSheetId="2">[7]Parameters!$C$459</definedName>
    <definedName name="subho3name">#REF!</definedName>
    <definedName name="subho3sal1" localSheetId="2">[7]Parameters!$E$459</definedName>
    <definedName name="subho3sal1">#REF!</definedName>
    <definedName name="subho4" localSheetId="2">[7]Parameters!$A$460</definedName>
    <definedName name="subho4">#REF!</definedName>
    <definedName name="subho4co" localSheetId="2">[7]Parameters!$G$460</definedName>
    <definedName name="subho4co">#REF!</definedName>
    <definedName name="subho4name" localSheetId="2">[7]Parameters!$C$460</definedName>
    <definedName name="subho4name">#REF!</definedName>
    <definedName name="subho4sal1" localSheetId="2">[7]Parameters!$E$460</definedName>
    <definedName name="subho4sal1">#REF!</definedName>
    <definedName name="subho5" localSheetId="2">[7]Parameters!$A$461</definedName>
    <definedName name="subho5">#REF!</definedName>
    <definedName name="subho5co" localSheetId="2">[7]Parameters!$G$461</definedName>
    <definedName name="subho5co">#REF!</definedName>
    <definedName name="subho5name" localSheetId="2">[7]Parameters!$C$461</definedName>
    <definedName name="subho5name">#REF!</definedName>
    <definedName name="subho5sal1" localSheetId="2">[7]Parameters!$E$461</definedName>
    <definedName name="subho5sal1">#REF!</definedName>
    <definedName name="subho6" localSheetId="2">[7]Parameters!$A$462</definedName>
    <definedName name="subho6">#REF!</definedName>
    <definedName name="subho6co" localSheetId="2">[7]Parameters!$G$462</definedName>
    <definedName name="subho6co">#REF!</definedName>
    <definedName name="subho6name" localSheetId="2">[7]Parameters!$C$462</definedName>
    <definedName name="subho6name">#REF!</definedName>
    <definedName name="subho6sal1" localSheetId="2">[7]Parameters!$E$462</definedName>
    <definedName name="subho6sal1">#REF!</definedName>
    <definedName name="subho7" localSheetId="2">[7]Parameters!$A$463</definedName>
    <definedName name="subho7">#REF!</definedName>
    <definedName name="subho7co" localSheetId="2">[7]Parameters!$G$463</definedName>
    <definedName name="subho7co">#REF!</definedName>
    <definedName name="subho7name" localSheetId="2">[7]Parameters!$C$463</definedName>
    <definedName name="subho7name">#REF!</definedName>
    <definedName name="subho7sal1" localSheetId="2">[7]Parameters!$E$463</definedName>
    <definedName name="subho7sal1">#REF!</definedName>
    <definedName name="subho8" localSheetId="2">[7]Parameters!$A$464</definedName>
    <definedName name="subho8">#REF!</definedName>
    <definedName name="subho8co" localSheetId="2">[7]Parameters!$G$464</definedName>
    <definedName name="subho8co">#REF!</definedName>
    <definedName name="subho8name" localSheetId="2">[7]Parameters!$C$464</definedName>
    <definedName name="subho8name">#REF!</definedName>
    <definedName name="subho8sal1" localSheetId="2">[7]Parameters!$E$464</definedName>
    <definedName name="subho8sal1">#REF!</definedName>
    <definedName name="subho9" localSheetId="2">[7]Parameters!$A$465</definedName>
    <definedName name="subho9">#REF!</definedName>
    <definedName name="subho9co" localSheetId="2">[7]Parameters!$G$465</definedName>
    <definedName name="subho9co">#REF!</definedName>
    <definedName name="subho9name" localSheetId="2">[7]Parameters!$C$465</definedName>
    <definedName name="subho9name">#REF!</definedName>
    <definedName name="subho9sal1" localSheetId="2">[7]Parameters!$E$465</definedName>
    <definedName name="subho9sal1">#REF!</definedName>
    <definedName name="subhojob1" localSheetId="2">[7]Parameters!$I$457</definedName>
    <definedName name="subhojob1">#REF!</definedName>
    <definedName name="subhojob10" localSheetId="2">[7]Parameters!$I$466</definedName>
    <definedName name="subhojob10">#REF!</definedName>
    <definedName name="subhojob2" localSheetId="2">[7]Parameters!$I$458</definedName>
    <definedName name="subhojob2">#REF!</definedName>
    <definedName name="subhojob3" localSheetId="2">[7]Parameters!$I$459</definedName>
    <definedName name="subhojob3">#REF!</definedName>
    <definedName name="subhojob4" localSheetId="2">[7]Parameters!$I$460</definedName>
    <definedName name="subhojob4">#REF!</definedName>
    <definedName name="subhojob5" localSheetId="2">[7]Parameters!$I$461</definedName>
    <definedName name="subhojob5">#REF!</definedName>
    <definedName name="subhojob6" localSheetId="2">[7]Parameters!$I$462</definedName>
    <definedName name="subhojob6">#REF!</definedName>
    <definedName name="subhojob7" localSheetId="2">[7]Parameters!$I$463</definedName>
    <definedName name="subhojob7">#REF!</definedName>
    <definedName name="subhojob8" localSheetId="2">[7]Parameters!$I$464</definedName>
    <definedName name="subhojob8">#REF!</definedName>
    <definedName name="subhojob9" localSheetId="2">[7]Parameters!$I$465</definedName>
    <definedName name="subhojob9">#REF!</definedName>
    <definedName name="submulti">1.09*1.12</definedName>
    <definedName name="subname10" localSheetId="2">[7]Parameters!$B$26</definedName>
    <definedName name="subname10">#REF!</definedName>
    <definedName name="subname11" localSheetId="2">[7]Parameters!$B$27</definedName>
    <definedName name="subname11">#REF!</definedName>
    <definedName name="subname12" localSheetId="2">[7]Parameters!$B$28</definedName>
    <definedName name="subname12">#REF!</definedName>
    <definedName name="subname13" localSheetId="2">[7]Parameters!$B$29</definedName>
    <definedName name="subname13">#REF!</definedName>
    <definedName name="subname14" localSheetId="2">[7]Parameters!$B$30</definedName>
    <definedName name="subname14">#REF!</definedName>
    <definedName name="subname15" localSheetId="2">[7]Parameters!$B$31</definedName>
    <definedName name="subname15">#REF!</definedName>
    <definedName name="subname6" localSheetId="2">[7]Parameters!$B$22</definedName>
    <definedName name="subname6">#REF!</definedName>
    <definedName name="subname7" localSheetId="2">[7]Parameters!$B$23</definedName>
    <definedName name="subname7">#REF!</definedName>
    <definedName name="subname8" localSheetId="2">[7]Parameters!$B$24</definedName>
    <definedName name="subname8">#REF!</definedName>
    <definedName name="subname9" localSheetId="2">[7]Parameters!$B$25</definedName>
    <definedName name="subname9">#REF!</definedName>
    <definedName name="SUMMARY" localSheetId="2">#REF!</definedName>
    <definedName name="SUMMARY">#REF!</definedName>
    <definedName name="SUMSHELL" localSheetId="2">#REF!</definedName>
    <definedName name="SUMSHELL">#REF!</definedName>
    <definedName name="SV" localSheetId="2">[43]Sheet1!$M$3:$M$8</definedName>
    <definedName name="SV">#REF!</definedName>
    <definedName name="tcn" localSheetId="2">[7]Parameters!$A$115</definedName>
    <definedName name="tcn">#REF!</definedName>
    <definedName name="TCN_CCN" localSheetId="2">#REF!</definedName>
    <definedName name="TCN_CCN">#REF!</definedName>
    <definedName name="TCN_Fringe" localSheetId="2">#REF!</definedName>
    <definedName name="TCN_Fringe">#REF!</definedName>
    <definedName name="tcn10co" localSheetId="2">[7]Parameters!$G$126</definedName>
    <definedName name="tcn10co">#REF!</definedName>
    <definedName name="tcn10name" localSheetId="2">[7]Parameters!$C$126</definedName>
    <definedName name="tcn10name">#REF!</definedName>
    <definedName name="tcn10sal1" localSheetId="2">[7]Parameters!$E$126</definedName>
    <definedName name="tcn10sal1">#REF!</definedName>
    <definedName name="tcn1co" localSheetId="2">[7]Parameters!$G$117</definedName>
    <definedName name="tcn1co">#REF!</definedName>
    <definedName name="tcn1name" localSheetId="2">[7]Parameters!$C$117</definedName>
    <definedName name="tcn1name">#REF!</definedName>
    <definedName name="tcn1sal1" localSheetId="2">[7]Parameters!$E$117</definedName>
    <definedName name="tcn1sal1">#REF!</definedName>
    <definedName name="tcn2co" localSheetId="2">[7]Parameters!$G$118</definedName>
    <definedName name="tcn2co">#REF!</definedName>
    <definedName name="tcn2name" localSheetId="2">[7]Parameters!$C$118</definedName>
    <definedName name="tcn2name">#REF!</definedName>
    <definedName name="tcn2sal1" localSheetId="2">[7]Parameters!$E$118</definedName>
    <definedName name="tcn2sal1">#REF!</definedName>
    <definedName name="tcn3co" localSheetId="2">[7]Parameters!$G$119</definedName>
    <definedName name="tcn3co">#REF!</definedName>
    <definedName name="tcn3name" localSheetId="2">[7]Parameters!$C$119</definedName>
    <definedName name="tcn3name">#REF!</definedName>
    <definedName name="tcn3sal1" localSheetId="2">[7]Parameters!$E$119</definedName>
    <definedName name="tcn3sal1">#REF!</definedName>
    <definedName name="tcn4co" localSheetId="2">[7]Parameters!$G$120</definedName>
    <definedName name="tcn4co">#REF!</definedName>
    <definedName name="tcn4name" localSheetId="2">[7]Parameters!$C$120</definedName>
    <definedName name="tcn4name">#REF!</definedName>
    <definedName name="tcn4sal1" localSheetId="2">[7]Parameters!$E$120</definedName>
    <definedName name="tcn4sal1">#REF!</definedName>
    <definedName name="tcn5co" localSheetId="2">[7]Parameters!$G$121</definedName>
    <definedName name="tcn5co">#REF!</definedName>
    <definedName name="tcn5name" localSheetId="2">[7]Parameters!$C$121</definedName>
    <definedName name="tcn5name">#REF!</definedName>
    <definedName name="tcn5sal1" localSheetId="2">[7]Parameters!$E$121</definedName>
    <definedName name="tcn5sal1">#REF!</definedName>
    <definedName name="tcn6co" localSheetId="2">[7]Parameters!$G$122</definedName>
    <definedName name="tcn6co">#REF!</definedName>
    <definedName name="tcn6name" localSheetId="2">[7]Parameters!$C$122</definedName>
    <definedName name="tcn6name">#REF!</definedName>
    <definedName name="tcn6sal1" localSheetId="2">[7]Parameters!$E$122</definedName>
    <definedName name="tcn6sal1">#REF!</definedName>
    <definedName name="tcn7co" localSheetId="2">[7]Parameters!$G$123</definedName>
    <definedName name="tcn7co">#REF!</definedName>
    <definedName name="tcn7name" localSheetId="2">[7]Parameters!$C$123</definedName>
    <definedName name="tcn7name">#REF!</definedName>
    <definedName name="tcn7sal1" localSheetId="2">[7]Parameters!$E$123</definedName>
    <definedName name="tcn7sal1">#REF!</definedName>
    <definedName name="tcn8co" localSheetId="2">[7]Parameters!$G$124</definedName>
    <definedName name="tcn8co">#REF!</definedName>
    <definedName name="tcn8name" localSheetId="2">[7]Parameters!$C$124</definedName>
    <definedName name="tcn8name">#REF!</definedName>
    <definedName name="tcn8sal1" localSheetId="2">[7]Parameters!$E$124</definedName>
    <definedName name="tcn8sal1">#REF!</definedName>
    <definedName name="tcn9co" localSheetId="2">[7]Parameters!$G$125</definedName>
    <definedName name="tcn9co">#REF!</definedName>
    <definedName name="tcn9name" localSheetId="2">[7]Parameters!$C$125</definedName>
    <definedName name="tcn9name">#REF!</definedName>
    <definedName name="tcn9sal1" localSheetId="2">[7]Parameters!$E$125</definedName>
    <definedName name="tcn9sal1">#REF!</definedName>
    <definedName name="TCNCCNSTTA_DaysYr1" localSheetId="2">'[44]B. Local Hire and TCNs'!$I$20</definedName>
    <definedName name="TCNCCNSTTA_DaysYr1">#REF!</definedName>
    <definedName name="TCNCCNSTTA_DaysYr2" localSheetId="2">'[44]B. Local Hire and TCNs'!$K$20</definedName>
    <definedName name="TCNCCNSTTA_DaysYr2">#REF!</definedName>
    <definedName name="TCNCCNSTTA_DaysYr3" localSheetId="2">'[44]B. Local Hire and TCNs'!$M$20</definedName>
    <definedName name="TCNCCNSTTA_DaysYr3">#REF!</definedName>
    <definedName name="TCNCCNSTTA_DaysYr4" localSheetId="2">'[44]B. Local Hire and TCNs'!$O$20</definedName>
    <definedName name="TCNCCNSTTA_DaysYr4">#REF!</definedName>
    <definedName name="TCNCCNSTTA_DaysYr5" localSheetId="2">'[44]B. Local Hire and TCNs'!$Q$20</definedName>
    <definedName name="TCNCCNSTTA_DaysYr5">#REF!</definedName>
    <definedName name="tcnjob1" localSheetId="2">[7]Parameters!$I$117</definedName>
    <definedName name="tcnjob1">#REF!</definedName>
    <definedName name="tcnjob10" localSheetId="2">[7]Parameters!$I$126</definedName>
    <definedName name="tcnjob10">#REF!</definedName>
    <definedName name="tcnjob2" localSheetId="2">[7]Parameters!$I$118</definedName>
    <definedName name="tcnjob2">#REF!</definedName>
    <definedName name="tcnjob3" localSheetId="2">[7]Parameters!$I$119</definedName>
    <definedName name="tcnjob3">#REF!</definedName>
    <definedName name="tcnjob4" localSheetId="2">[7]Parameters!$I$120</definedName>
    <definedName name="tcnjob4">#REF!</definedName>
    <definedName name="tcnjob5" localSheetId="2">[7]Parameters!$I$121</definedName>
    <definedName name="tcnjob5">#REF!</definedName>
    <definedName name="tcnjob6" localSheetId="2">[7]Parameters!$I$122</definedName>
    <definedName name="tcnjob6">#REF!</definedName>
    <definedName name="tcnjob7" localSheetId="2">[7]Parameters!$I$123</definedName>
    <definedName name="tcnjob7">#REF!</definedName>
    <definedName name="tcnjob8" localSheetId="2">[7]Parameters!$I$124</definedName>
    <definedName name="tcnjob8">#REF!</definedName>
    <definedName name="tcnjob9" localSheetId="2">[7]Parameters!$I$125</definedName>
    <definedName name="tcnjob9">#REF!</definedName>
    <definedName name="Telephone" localSheetId="2">#REF!</definedName>
    <definedName name="Telephone">#REF!</definedName>
    <definedName name="Temp" localSheetId="2" hidden="1">{#N/A,#N/A,FALSE,"ManLoading"}</definedName>
    <definedName name="Temp" hidden="1">{#N/A,#N/A,FALSE,"ManLoading"}</definedName>
    <definedName name="Test">#REF!</definedName>
    <definedName name="testt" localSheetId="2">'FEREMA Sub Budget'!$9:$10</definedName>
    <definedName name="Title" localSheetId="2">[12]Sheet1!$C$15</definedName>
    <definedName name="Title">#REF!</definedName>
    <definedName name="TOPA" localSheetId="2">'[45]SF 1411'!#REF!</definedName>
    <definedName name="TOPA">#REF!</definedName>
    <definedName name="topost" localSheetId="2">[5]Parameters!$D$23</definedName>
    <definedName name="topost">#REF!</definedName>
    <definedName name="totonicapan" localSheetId="2">#REF!</definedName>
    <definedName name="totonicapan">#REF!</definedName>
    <definedName name="Trade11" localSheetId="2">[10]RATES!#REF!</definedName>
    <definedName name="Trade11">#REF!</definedName>
    <definedName name="Trade12" localSheetId="2">[10]RATES!#REF!</definedName>
    <definedName name="Trade12">#REF!</definedName>
    <definedName name="Trade13" localSheetId="2">[10]RATES!#REF!</definedName>
    <definedName name="Trade13">#REF!</definedName>
    <definedName name="Trade41" localSheetId="2">[10]RATES!#REF!</definedName>
    <definedName name="Trade41">#REF!</definedName>
    <definedName name="Trade42" localSheetId="2">[10]RATES!#REF!</definedName>
    <definedName name="Trade42">#REF!</definedName>
    <definedName name="Trade43" localSheetId="2">[10]RATES!#REF!</definedName>
    <definedName name="Trade43">#REF!</definedName>
    <definedName name="Trade51" localSheetId="2">[10]RATES!#REF!</definedName>
    <definedName name="Trade51">#REF!</definedName>
    <definedName name="Trade52" localSheetId="2">[10]RATES!#REF!</definedName>
    <definedName name="Trade52">#REF!</definedName>
    <definedName name="Trade53" localSheetId="2">[10]RATES!#REF!</definedName>
    <definedName name="Trade53">#REF!</definedName>
    <definedName name="Transit" localSheetId="2">#REF!</definedName>
    <definedName name="Transit">#REF!</definedName>
    <definedName name="TRAVEL" localSheetId="2">#REF!</definedName>
    <definedName name="TRAVEL">#REF!</definedName>
    <definedName name="traveldays" localSheetId="2">[16]Assumptions!$D$28</definedName>
    <definedName name="traveldays">#REF!</definedName>
    <definedName name="TRG">#N/A</definedName>
    <definedName name="TRIPS">#N/A</definedName>
    <definedName name="TRM" localSheetId="2">#REF!</definedName>
    <definedName name="TRM">#REF!</definedName>
    <definedName name="trsty" localSheetId="2" hidden="1">{"PAGE1",#N/A,FALSE,"CPFFMSTR";"PAGE2",#N/A,FALSE,"CPFFMSTR"}</definedName>
    <definedName name="trsty" hidden="1">{"PAGE1",#N/A,FALSE,"CPFFMSTR";"PAGE2",#N/A,FALSE,"CPFFMSTR"}</definedName>
    <definedName name="Tulaneclin1">#REF!</definedName>
    <definedName name="tulaneclin2">#REF!</definedName>
    <definedName name="tulaneclin3">#REF!</definedName>
    <definedName name="UFFVA">#N/A</definedName>
    <definedName name="ULAB">#N/A</definedName>
    <definedName name="UNITS">#REF!</definedName>
    <definedName name="Unsure" localSheetId="2" hidden="1">{#N/A,#N/A,FALSE,"ManLoading"}</definedName>
    <definedName name="Unsure" hidden="1">{#N/A,#N/A,FALSE,"ManLoading"}</definedName>
    <definedName name="UODC">#N/A</definedName>
    <definedName name="us" localSheetId="2">[7]Parameters!$A$37</definedName>
    <definedName name="us">#REF!</definedName>
    <definedName name="us10co" localSheetId="2">[7]Parameters!$G$48</definedName>
    <definedName name="us10co">#REF!</definedName>
    <definedName name="us10name" localSheetId="2">[7]Parameters!$C$48</definedName>
    <definedName name="us10name">#REF!</definedName>
    <definedName name="us10sal1" localSheetId="2">[7]Parameters!$E$48</definedName>
    <definedName name="us10sal1">#REF!</definedName>
    <definedName name="us1co" localSheetId="2">[7]Parameters!$G$39</definedName>
    <definedName name="us1co">#REF!</definedName>
    <definedName name="us1name" localSheetId="2">[7]Parameters!$C$39</definedName>
    <definedName name="us1name">#REF!</definedName>
    <definedName name="us1sal1" localSheetId="2">[7]Parameters!$E$39</definedName>
    <definedName name="us1sal1">#REF!</definedName>
    <definedName name="us2co" localSheetId="2">[7]Parameters!$G$40</definedName>
    <definedName name="us2co">#REF!</definedName>
    <definedName name="us2name" localSheetId="2">[7]Parameters!$C$40</definedName>
    <definedName name="us2name">#REF!</definedName>
    <definedName name="us2sal1" localSheetId="2">[7]Parameters!$E$40</definedName>
    <definedName name="us2sal1">#REF!</definedName>
    <definedName name="us3co" localSheetId="2">[7]Parameters!$G$41</definedName>
    <definedName name="us3co">#REF!</definedName>
    <definedName name="us3name" localSheetId="2">[7]Parameters!$C$41</definedName>
    <definedName name="us3name">#REF!</definedName>
    <definedName name="us3sal1" localSheetId="2">[7]Parameters!$E$41</definedName>
    <definedName name="us3sal1">#REF!</definedName>
    <definedName name="us4co" localSheetId="2">[7]Parameters!$G$42</definedName>
    <definedName name="us4co">#REF!</definedName>
    <definedName name="us4name" localSheetId="2">[7]Parameters!$C$42</definedName>
    <definedName name="us4name">#REF!</definedName>
    <definedName name="us4sal1" localSheetId="2">[7]Parameters!$E$42</definedName>
    <definedName name="us4sal1">#REF!</definedName>
    <definedName name="us5co" localSheetId="2">[7]Parameters!$G$43</definedName>
    <definedName name="us5co">#REF!</definedName>
    <definedName name="us5name" localSheetId="2">[7]Parameters!$C$43</definedName>
    <definedName name="us5name">#REF!</definedName>
    <definedName name="us5sal1" localSheetId="2">[7]Parameters!$E$43</definedName>
    <definedName name="us5sal1">#REF!</definedName>
    <definedName name="us6co" localSheetId="2">[7]Parameters!$G$44</definedName>
    <definedName name="us6co">#REF!</definedName>
    <definedName name="us6name" localSheetId="2">[7]Parameters!$C$44</definedName>
    <definedName name="us6name">#REF!</definedName>
    <definedName name="us6sal1" localSheetId="2">[7]Parameters!$E$44</definedName>
    <definedName name="us6sal1">#REF!</definedName>
    <definedName name="us7co" localSheetId="2">[7]Parameters!$G$45</definedName>
    <definedName name="us7co">#REF!</definedName>
    <definedName name="us7name" localSheetId="2">[7]Parameters!$C$45</definedName>
    <definedName name="us7name">#REF!</definedName>
    <definedName name="us7sal1" localSheetId="2">[7]Parameters!$E$45</definedName>
    <definedName name="us7sal1">#REF!</definedName>
    <definedName name="us8co" localSheetId="2">[7]Parameters!$G$46</definedName>
    <definedName name="us8co">#REF!</definedName>
    <definedName name="us8name" localSheetId="2">[7]Parameters!$C$46</definedName>
    <definedName name="us8name">#REF!</definedName>
    <definedName name="us8sal1" localSheetId="2">[7]Parameters!$E$46</definedName>
    <definedName name="us8sal1">#REF!</definedName>
    <definedName name="us9co" localSheetId="2">[7]Parameters!$G$47</definedName>
    <definedName name="us9co">#REF!</definedName>
    <definedName name="us9name" localSheetId="2">[7]Parameters!$C$47</definedName>
    <definedName name="us9name">#REF!</definedName>
    <definedName name="us9sal1" localSheetId="2">[7]Parameters!$E$47</definedName>
    <definedName name="us9sal1">#REF!</definedName>
    <definedName name="usco11" localSheetId="2">[7]Parameters!$G$49</definedName>
    <definedName name="usco11">#REF!</definedName>
    <definedName name="usco12" localSheetId="2">[7]Parameters!$G$50</definedName>
    <definedName name="usco12">#REF!</definedName>
    <definedName name="usco13" localSheetId="2">[7]Parameters!$G$51</definedName>
    <definedName name="usco13">#REF!</definedName>
    <definedName name="usco14" localSheetId="2">[7]Parameters!$G$52</definedName>
    <definedName name="usco14">#REF!</definedName>
    <definedName name="usco15" localSheetId="2">[7]Parameters!$G$53</definedName>
    <definedName name="usco15">#REF!</definedName>
    <definedName name="usco16" localSheetId="2">[7]Parameters!$G$54</definedName>
    <definedName name="usco16">#REF!</definedName>
    <definedName name="usco17" localSheetId="2">[7]Parameters!$G$55</definedName>
    <definedName name="usco17">#REF!</definedName>
    <definedName name="usco18" localSheetId="2">[7]Parameters!$G$56</definedName>
    <definedName name="usco18">#REF!</definedName>
    <definedName name="usco19" localSheetId="2">[7]Parameters!$G$57</definedName>
    <definedName name="usco19">#REF!</definedName>
    <definedName name="usco20" localSheetId="2">[7]Parameters!$G$58</definedName>
    <definedName name="usco20">#REF!</definedName>
    <definedName name="usco21" localSheetId="2">[7]Parameters!$G$59</definedName>
    <definedName name="usco21">#REF!</definedName>
    <definedName name="usco22" localSheetId="2">[7]Parameters!$G$60</definedName>
    <definedName name="usco22">#REF!</definedName>
    <definedName name="usco23" localSheetId="2">[7]Parameters!$G$61</definedName>
    <definedName name="usco23">#REF!</definedName>
    <definedName name="usco24" localSheetId="2">[7]Parameters!$G$62</definedName>
    <definedName name="usco24">#REF!</definedName>
    <definedName name="usco25" localSheetId="2">[7]Parameters!$G$63</definedName>
    <definedName name="usco25">#REF!</definedName>
    <definedName name="usco26" localSheetId="2">[7]Parameters!$G$64</definedName>
    <definedName name="usco26">#REF!</definedName>
    <definedName name="usco27" localSheetId="2">[7]Parameters!$G$65</definedName>
    <definedName name="usco27">#REF!</definedName>
    <definedName name="usco28" localSheetId="2">[7]Parameters!$G$66</definedName>
    <definedName name="usco28">#REF!</definedName>
    <definedName name="usco29" localSheetId="2">[7]Parameters!$G$67</definedName>
    <definedName name="usco29">#REF!</definedName>
    <definedName name="usco30" localSheetId="2">[7]Parameters!$G$68</definedName>
    <definedName name="usco30">#REF!</definedName>
    <definedName name="usco31" localSheetId="2">[7]Parameters!$G$69</definedName>
    <definedName name="usco31">#REF!</definedName>
    <definedName name="usco32" localSheetId="2">[7]Parameters!$G$70</definedName>
    <definedName name="usco32">#REF!</definedName>
    <definedName name="usco33" localSheetId="2">[7]Parameters!$G$71</definedName>
    <definedName name="usco33">#REF!</definedName>
    <definedName name="usco34" localSheetId="2">[7]Parameters!$G$72</definedName>
    <definedName name="usco34">#REF!</definedName>
    <definedName name="usco35" localSheetId="2">[7]Parameters!$G$73</definedName>
    <definedName name="usco35">#REF!</definedName>
    <definedName name="usco36" localSheetId="2">[7]Parameters!$G$74</definedName>
    <definedName name="usco36">#REF!</definedName>
    <definedName name="usco37" localSheetId="2">[7]Parameters!$G$75</definedName>
    <definedName name="usco37">#REF!</definedName>
    <definedName name="usco38" localSheetId="2">[7]Parameters!$G$76</definedName>
    <definedName name="usco38">#REF!</definedName>
    <definedName name="usco39" localSheetId="2">[7]Parameters!$G$77</definedName>
    <definedName name="usco39">#REF!</definedName>
    <definedName name="usco40" localSheetId="2">[7]Parameters!$G$78</definedName>
    <definedName name="usco40">#REF!</definedName>
    <definedName name="usco41" localSheetId="2">[7]Parameters!$G$79</definedName>
    <definedName name="usco41">#REF!</definedName>
    <definedName name="usco42" localSheetId="2">[7]Parameters!$G$80</definedName>
    <definedName name="usco42">#REF!</definedName>
    <definedName name="usco43" localSheetId="2">[7]Parameters!$G$81</definedName>
    <definedName name="usco43">#REF!</definedName>
    <definedName name="usco44" localSheetId="2">[7]Parameters!$G$82</definedName>
    <definedName name="usco44">#REF!</definedName>
    <definedName name="usco45" localSheetId="2">[7]Parameters!$G$83</definedName>
    <definedName name="usco45">#REF!</definedName>
    <definedName name="usco46" localSheetId="2">[7]Parameters!$G$84</definedName>
    <definedName name="usco46">#REF!</definedName>
    <definedName name="usco47" localSheetId="2">[7]Parameters!$G$85</definedName>
    <definedName name="usco47">#REF!</definedName>
    <definedName name="usco48" localSheetId="2">[7]Parameters!$G$86</definedName>
    <definedName name="usco48">#REF!</definedName>
    <definedName name="usco49" localSheetId="2">[7]Parameters!$G$87</definedName>
    <definedName name="usco49">#REF!</definedName>
    <definedName name="usco50" localSheetId="2">[7]Parameters!$G$88</definedName>
    <definedName name="usco50">#REF!</definedName>
    <definedName name="usco51" localSheetId="2">[7]Parameters!$G$89</definedName>
    <definedName name="usco51">#REF!</definedName>
    <definedName name="usco52" localSheetId="2">[7]Parameters!$G$90</definedName>
    <definedName name="usco52">#REF!</definedName>
    <definedName name="usco53" localSheetId="2">[7]Parameters!$G$91</definedName>
    <definedName name="usco53">#REF!</definedName>
    <definedName name="usco54" localSheetId="2">[7]Parameters!$G$92</definedName>
    <definedName name="usco54">#REF!</definedName>
    <definedName name="usco55" localSheetId="2">[7]Parameters!$G$93</definedName>
    <definedName name="usco55">#REF!</definedName>
    <definedName name="usco56" localSheetId="2">[7]Parameters!$G$94</definedName>
    <definedName name="usco56">#REF!</definedName>
    <definedName name="usco57" localSheetId="2">[7]Parameters!$G$95</definedName>
    <definedName name="usco57">#REF!</definedName>
    <definedName name="usco58" localSheetId="2">[7]Parameters!$G$96</definedName>
    <definedName name="usco58">#REF!</definedName>
    <definedName name="usco59" localSheetId="2">[7]Parameters!$G$97</definedName>
    <definedName name="usco59">#REF!</definedName>
    <definedName name="usco60" localSheetId="2">[7]Parameters!$G$98</definedName>
    <definedName name="usco60">#REF!</definedName>
    <definedName name="usco61" localSheetId="2">[7]Parameters!$G$99</definedName>
    <definedName name="usco61">#REF!</definedName>
    <definedName name="usco62" localSheetId="2">[7]Parameters!$G$100</definedName>
    <definedName name="usco62">#REF!</definedName>
    <definedName name="usco63" localSheetId="2">[7]Parameters!$G$101</definedName>
    <definedName name="usco63">#REF!</definedName>
    <definedName name="usco64" localSheetId="2">[7]Parameters!$G$102</definedName>
    <definedName name="usco64">#REF!</definedName>
    <definedName name="usco65" localSheetId="2">[7]Parameters!$G$103</definedName>
    <definedName name="usco65">#REF!</definedName>
    <definedName name="usco66" localSheetId="2">[7]Parameters!$G$104</definedName>
    <definedName name="usco66">#REF!</definedName>
    <definedName name="usco67" localSheetId="2">[7]Parameters!$G$105</definedName>
    <definedName name="usco67">#REF!</definedName>
    <definedName name="usco68" localSheetId="2">[7]Parameters!$G$106</definedName>
    <definedName name="usco68">#REF!</definedName>
    <definedName name="usco69" localSheetId="2">[7]Parameters!$G$107</definedName>
    <definedName name="usco69">#REF!</definedName>
    <definedName name="usco70" localSheetId="2">[7]Parameters!$G$108</definedName>
    <definedName name="usco70">#REF!</definedName>
    <definedName name="usco71" localSheetId="2">[7]Parameters!$G$109</definedName>
    <definedName name="usco71">#REF!</definedName>
    <definedName name="usco72" localSheetId="2">[7]Parameters!$G$110</definedName>
    <definedName name="usco72">#REF!</definedName>
    <definedName name="usco73" localSheetId="2">[7]Parameters!$G$111</definedName>
    <definedName name="usco73">#REF!</definedName>
    <definedName name="usco74" localSheetId="2">[7]Parameters!$G$112</definedName>
    <definedName name="usco74">#REF!</definedName>
    <definedName name="usco75" localSheetId="2">[7]Parameters!$G$113</definedName>
    <definedName name="usco75">#REF!</definedName>
    <definedName name="usd" localSheetId="2">#REF!</definedName>
    <definedName name="usd">#REF!</definedName>
    <definedName name="usinf">0.035</definedName>
    <definedName name="usjob1" localSheetId="2">[7]Parameters!$I$39</definedName>
    <definedName name="usjob1">#REF!</definedName>
    <definedName name="usjob10" localSheetId="2">[7]Parameters!$I$48</definedName>
    <definedName name="usjob10">#REF!</definedName>
    <definedName name="usjob11" localSheetId="2">[7]Parameters!$I$49</definedName>
    <definedName name="usjob11">#REF!</definedName>
    <definedName name="usjob12" localSheetId="2">[7]Parameters!$I$50</definedName>
    <definedName name="usjob12">#REF!</definedName>
    <definedName name="usjob13" localSheetId="2">[7]Parameters!$I$51</definedName>
    <definedName name="usjob13">#REF!</definedName>
    <definedName name="usjob14" localSheetId="2">[7]Parameters!$I$52</definedName>
    <definedName name="usjob14">#REF!</definedName>
    <definedName name="usjob15" localSheetId="2">[7]Parameters!$I$53</definedName>
    <definedName name="usjob15">#REF!</definedName>
    <definedName name="usjob16" localSheetId="2">[7]Parameters!$I$54</definedName>
    <definedName name="usjob16">#REF!</definedName>
    <definedName name="usjob17" localSheetId="2">[7]Parameters!$I$55</definedName>
    <definedName name="usjob17">#REF!</definedName>
    <definedName name="usjob18" localSheetId="2">[7]Parameters!$I$56</definedName>
    <definedName name="usjob18">#REF!</definedName>
    <definedName name="usjob19" localSheetId="2">[7]Parameters!$I$57</definedName>
    <definedName name="usjob19">#REF!</definedName>
    <definedName name="usjob2" localSheetId="2">[7]Parameters!$I$40</definedName>
    <definedName name="usjob2">#REF!</definedName>
    <definedName name="usjob20" localSheetId="2">[7]Parameters!$I$58</definedName>
    <definedName name="usjob20">#REF!</definedName>
    <definedName name="usjob21" localSheetId="2">[7]Parameters!$I$59</definedName>
    <definedName name="usjob21">#REF!</definedName>
    <definedName name="usjob22" localSheetId="2">[7]Parameters!$I$60</definedName>
    <definedName name="usjob22">#REF!</definedName>
    <definedName name="usjob23" localSheetId="2">[7]Parameters!$I$61</definedName>
    <definedName name="usjob23">#REF!</definedName>
    <definedName name="usjob24" localSheetId="2">[7]Parameters!$I$62</definedName>
    <definedName name="usjob24">#REF!</definedName>
    <definedName name="usjob25" localSheetId="2">[7]Parameters!$I$63</definedName>
    <definedName name="usjob25">#REF!</definedName>
    <definedName name="usjob26" localSheetId="2">[7]Parameters!$I$64</definedName>
    <definedName name="usjob26">#REF!</definedName>
    <definedName name="usjob27" localSheetId="2">[7]Parameters!$I$65</definedName>
    <definedName name="usjob27">#REF!</definedName>
    <definedName name="usjob28" localSheetId="2">[7]Parameters!$I$66</definedName>
    <definedName name="usjob28">#REF!</definedName>
    <definedName name="usjob29" localSheetId="2">[7]Parameters!$I$67</definedName>
    <definedName name="usjob29">#REF!</definedName>
    <definedName name="usjob3" localSheetId="2">[7]Parameters!$I$41</definedName>
    <definedName name="usjob3">#REF!</definedName>
    <definedName name="usjob30" localSheetId="2">[7]Parameters!$I$68</definedName>
    <definedName name="usjob30">#REF!</definedName>
    <definedName name="usjob31" localSheetId="2">[7]Parameters!$I$69</definedName>
    <definedName name="usjob31">#REF!</definedName>
    <definedName name="usjob32" localSheetId="2">[7]Parameters!$I$70</definedName>
    <definedName name="usjob32">#REF!</definedName>
    <definedName name="usjob33" localSheetId="2">[7]Parameters!$I$71</definedName>
    <definedName name="usjob33">#REF!</definedName>
    <definedName name="usjob34" localSheetId="2">[7]Parameters!$I$72</definedName>
    <definedName name="usjob34">#REF!</definedName>
    <definedName name="usjob35" localSheetId="2">[7]Parameters!$I$73</definedName>
    <definedName name="usjob35">#REF!</definedName>
    <definedName name="usjob36" localSheetId="2">[7]Parameters!$I$74</definedName>
    <definedName name="usjob36">#REF!</definedName>
    <definedName name="usjob37" localSheetId="2">[7]Parameters!$I$75</definedName>
    <definedName name="usjob37">#REF!</definedName>
    <definedName name="usjob38" localSheetId="2">[7]Parameters!$I$76</definedName>
    <definedName name="usjob38">#REF!</definedName>
    <definedName name="usjob39" localSheetId="2">[7]Parameters!$I$77</definedName>
    <definedName name="usjob39">#REF!</definedName>
    <definedName name="usjob4" localSheetId="2">[7]Parameters!$I$42</definedName>
    <definedName name="usjob4">#REF!</definedName>
    <definedName name="usjob40" localSheetId="2">[7]Parameters!$I$78</definedName>
    <definedName name="usjob40">#REF!</definedName>
    <definedName name="usjob41" localSheetId="2">[7]Parameters!$I$79</definedName>
    <definedName name="usjob41">#REF!</definedName>
    <definedName name="usjob42" localSheetId="2">[7]Parameters!$I$80</definedName>
    <definedName name="usjob42">#REF!</definedName>
    <definedName name="usjob43" localSheetId="2">[7]Parameters!$I$81</definedName>
    <definedName name="usjob43">#REF!</definedName>
    <definedName name="usjob44" localSheetId="2">[7]Parameters!$I$82</definedName>
    <definedName name="usjob44">#REF!</definedName>
    <definedName name="usjob45" localSheetId="2">[7]Parameters!$I$83</definedName>
    <definedName name="usjob45">#REF!</definedName>
    <definedName name="usjob46" localSheetId="2">[7]Parameters!$I$84</definedName>
    <definedName name="usjob46">#REF!</definedName>
    <definedName name="usjob47" localSheetId="2">[7]Parameters!$I$85</definedName>
    <definedName name="usjob47">#REF!</definedName>
    <definedName name="usjob48" localSheetId="2">[7]Parameters!$I$86</definedName>
    <definedName name="usjob48">#REF!</definedName>
    <definedName name="usjob49" localSheetId="2">[7]Parameters!$I$87</definedName>
    <definedName name="usjob49">#REF!</definedName>
    <definedName name="usjob5" localSheetId="2">[7]Parameters!$I$43</definedName>
    <definedName name="usjob5">#REF!</definedName>
    <definedName name="usjob50" localSheetId="2">[7]Parameters!$I$88</definedName>
    <definedName name="usjob50">#REF!</definedName>
    <definedName name="usjob51" localSheetId="2">[7]Parameters!$I$89</definedName>
    <definedName name="usjob51">#REF!</definedName>
    <definedName name="usjob52" localSheetId="2">[7]Parameters!$I$90</definedName>
    <definedName name="usjob52">#REF!</definedName>
    <definedName name="usjob53" localSheetId="2">[7]Parameters!$I$91</definedName>
    <definedName name="usjob53">#REF!</definedName>
    <definedName name="usjob54" localSheetId="2">[7]Parameters!$I$92</definedName>
    <definedName name="usjob54">#REF!</definedName>
    <definedName name="usjob55" localSheetId="2">[7]Parameters!$I$93</definedName>
    <definedName name="usjob55">#REF!</definedName>
    <definedName name="usjob56" localSheetId="2">[7]Parameters!$I$94</definedName>
    <definedName name="usjob56">#REF!</definedName>
    <definedName name="usjob57" localSheetId="2">[7]Parameters!$I$95</definedName>
    <definedName name="usjob57">#REF!</definedName>
    <definedName name="usjob58" localSheetId="2">[7]Parameters!$I$96</definedName>
    <definedName name="usjob58">#REF!</definedName>
    <definedName name="usjob59" localSheetId="2">[7]Parameters!$I$97</definedName>
    <definedName name="usjob59">#REF!</definedName>
    <definedName name="usjob6" localSheetId="2">[7]Parameters!$I$44</definedName>
    <definedName name="usjob6">#REF!</definedName>
    <definedName name="usjob60" localSheetId="2">[7]Parameters!$I$98</definedName>
    <definedName name="usjob60">#REF!</definedName>
    <definedName name="usjob61" localSheetId="2">[7]Parameters!$I$99</definedName>
    <definedName name="usjob61">#REF!</definedName>
    <definedName name="usjob62" localSheetId="2">[7]Parameters!$I$100</definedName>
    <definedName name="usjob62">#REF!</definedName>
    <definedName name="usjob63" localSheetId="2">[7]Parameters!$I$101</definedName>
    <definedName name="usjob63">#REF!</definedName>
    <definedName name="usjob64" localSheetId="2">[7]Parameters!$I$102</definedName>
    <definedName name="usjob64">#REF!</definedName>
    <definedName name="usjob65" localSheetId="2">[7]Parameters!$I$103</definedName>
    <definedName name="usjob65">#REF!</definedName>
    <definedName name="usjob66" localSheetId="2">[7]Parameters!$I$104</definedName>
    <definedName name="usjob66">#REF!</definedName>
    <definedName name="usjob67" localSheetId="2">[7]Parameters!$I$105</definedName>
    <definedName name="usjob67">#REF!</definedName>
    <definedName name="usjob68" localSheetId="2">[7]Parameters!$I$106</definedName>
    <definedName name="usjob68">#REF!</definedName>
    <definedName name="usjob69" localSheetId="2">[7]Parameters!$I$107</definedName>
    <definedName name="usjob69">#REF!</definedName>
    <definedName name="usjob7" localSheetId="2">[7]Parameters!$I$45</definedName>
    <definedName name="usjob7">#REF!</definedName>
    <definedName name="usjob70" localSheetId="2">[7]Parameters!$I$108</definedName>
    <definedName name="usjob70">#REF!</definedName>
    <definedName name="usjob71" localSheetId="2">[7]Parameters!$I$109</definedName>
    <definedName name="usjob71">#REF!</definedName>
    <definedName name="usjob72" localSheetId="2">[7]Parameters!$I$110</definedName>
    <definedName name="usjob72">#REF!</definedName>
    <definedName name="usjob73" localSheetId="2">[7]Parameters!$I$111</definedName>
    <definedName name="usjob73">#REF!</definedName>
    <definedName name="usjob74" localSheetId="2">[7]Parameters!$I$112</definedName>
    <definedName name="usjob74">#REF!</definedName>
    <definedName name="usjob75" localSheetId="2">[7]Parameters!$I$113</definedName>
    <definedName name="usjob75">#REF!</definedName>
    <definedName name="usjob8" localSheetId="2">[7]Parameters!$I$46</definedName>
    <definedName name="usjob8">#REF!</definedName>
    <definedName name="usjob9" localSheetId="2">[7]Parameters!$I$47</definedName>
    <definedName name="usjob9">#REF!</definedName>
    <definedName name="usname11" localSheetId="2">[7]Parameters!$C$49</definedName>
    <definedName name="usname11">#REF!</definedName>
    <definedName name="usname12" localSheetId="2">[7]Parameters!$C$50</definedName>
    <definedName name="usname12">#REF!</definedName>
    <definedName name="usname13" localSheetId="2">[7]Parameters!$C$51</definedName>
    <definedName name="usname13">#REF!</definedName>
    <definedName name="usname14" localSheetId="2">[7]Parameters!$C$52</definedName>
    <definedName name="usname14">#REF!</definedName>
    <definedName name="usname15" localSheetId="2">[7]Parameters!$C$53</definedName>
    <definedName name="usname15">#REF!</definedName>
    <definedName name="usname16" localSheetId="2">[7]Parameters!$C$54</definedName>
    <definedName name="usname16">#REF!</definedName>
    <definedName name="usname17" localSheetId="2">[7]Parameters!$C$55</definedName>
    <definedName name="usname17">#REF!</definedName>
    <definedName name="usname18" localSheetId="2">[7]Parameters!$C$56</definedName>
    <definedName name="usname18">#REF!</definedName>
    <definedName name="usname19" localSheetId="2">[7]Parameters!$C$57</definedName>
    <definedName name="usname19">#REF!</definedName>
    <definedName name="usname20" localSheetId="2">[7]Parameters!$C$58</definedName>
    <definedName name="usname20">#REF!</definedName>
    <definedName name="usname21" localSheetId="2">[7]Parameters!$C$59</definedName>
    <definedName name="usname21">#REF!</definedName>
    <definedName name="usname22" localSheetId="2">[7]Parameters!$C$60</definedName>
    <definedName name="usname22">#REF!</definedName>
    <definedName name="usname23" localSheetId="2">[7]Parameters!$C$61</definedName>
    <definedName name="usname23">#REF!</definedName>
    <definedName name="usname24" localSheetId="2">[7]Parameters!$C$62</definedName>
    <definedName name="usname24">#REF!</definedName>
    <definedName name="usname25" localSheetId="2">[7]Parameters!$C$63</definedName>
    <definedName name="usname25">#REF!</definedName>
    <definedName name="usname26" localSheetId="2">[7]Parameters!$C$64</definedName>
    <definedName name="usname26">#REF!</definedName>
    <definedName name="usname27" localSheetId="2">[7]Parameters!$C$65</definedName>
    <definedName name="usname27">#REF!</definedName>
    <definedName name="usname28" localSheetId="2">[7]Parameters!$C$66</definedName>
    <definedName name="usname28">#REF!</definedName>
    <definedName name="usname29" localSheetId="2">[7]Parameters!$C$67</definedName>
    <definedName name="usname29">#REF!</definedName>
    <definedName name="usname30" localSheetId="2">[7]Parameters!$C$68</definedName>
    <definedName name="usname30">#REF!</definedName>
    <definedName name="usname31" localSheetId="2">[7]Parameters!$C$69</definedName>
    <definedName name="usname31">#REF!</definedName>
    <definedName name="usname32" localSheetId="2">[7]Parameters!$C$70</definedName>
    <definedName name="usname32">#REF!</definedName>
    <definedName name="usname33" localSheetId="2">[7]Parameters!$C$71</definedName>
    <definedName name="usname33">#REF!</definedName>
    <definedName name="usname34" localSheetId="2">[7]Parameters!$C$72</definedName>
    <definedName name="usname34">#REF!</definedName>
    <definedName name="usname35" localSheetId="2">[7]Parameters!$C$73</definedName>
    <definedName name="usname35">#REF!</definedName>
    <definedName name="usname36" localSheetId="2">[7]Parameters!$C$74</definedName>
    <definedName name="usname36">#REF!</definedName>
    <definedName name="usname37" localSheetId="2">[7]Parameters!$C$75</definedName>
    <definedName name="usname37">#REF!</definedName>
    <definedName name="usname38" localSheetId="2">[7]Parameters!$C$76</definedName>
    <definedName name="usname38">#REF!</definedName>
    <definedName name="usname39" localSheetId="2">[7]Parameters!$C$77</definedName>
    <definedName name="usname39">#REF!</definedName>
    <definedName name="usname40" localSheetId="2">[7]Parameters!$C$78</definedName>
    <definedName name="usname40">#REF!</definedName>
    <definedName name="usname41" localSheetId="2">[7]Parameters!$C$79</definedName>
    <definedName name="usname41">#REF!</definedName>
    <definedName name="usname42" localSheetId="2">[7]Parameters!$C$80</definedName>
    <definedName name="usname42">#REF!</definedName>
    <definedName name="usname43" localSheetId="2">[7]Parameters!$C$81</definedName>
    <definedName name="usname43">#REF!</definedName>
    <definedName name="usname44" localSheetId="2">[7]Parameters!$C$82</definedName>
    <definedName name="usname44">#REF!</definedName>
    <definedName name="usname45" localSheetId="2">[7]Parameters!$C$83</definedName>
    <definedName name="usname45">#REF!</definedName>
    <definedName name="usname46" localSheetId="2">[7]Parameters!$C$84</definedName>
    <definedName name="usname46">#REF!</definedName>
    <definedName name="usname47" localSheetId="2">[7]Parameters!$C$85</definedName>
    <definedName name="usname47">#REF!</definedName>
    <definedName name="usname48" localSheetId="2">[7]Parameters!$C$86</definedName>
    <definedName name="usname48">#REF!</definedName>
    <definedName name="usname49" localSheetId="2">[7]Parameters!$C$87</definedName>
    <definedName name="usname49">#REF!</definedName>
    <definedName name="usname50" localSheetId="2">[7]Parameters!$C$88</definedName>
    <definedName name="usname50">#REF!</definedName>
    <definedName name="usname51" localSheetId="2">[7]Parameters!$C$89</definedName>
    <definedName name="usname51">#REF!</definedName>
    <definedName name="usname52" localSheetId="2">[7]Parameters!$C$90</definedName>
    <definedName name="usname52">#REF!</definedName>
    <definedName name="usname53" localSheetId="2">[7]Parameters!$C$91</definedName>
    <definedName name="usname53">#REF!</definedName>
    <definedName name="usname54" localSheetId="2">[7]Parameters!$C$92</definedName>
    <definedName name="usname54">#REF!</definedName>
    <definedName name="usname55" localSheetId="2">[7]Parameters!$C$93</definedName>
    <definedName name="usname55">#REF!</definedName>
    <definedName name="usname56" localSheetId="2">[7]Parameters!$C$94</definedName>
    <definedName name="usname56">#REF!</definedName>
    <definedName name="usname57" localSheetId="2">[7]Parameters!$C$95</definedName>
    <definedName name="usname57">#REF!</definedName>
    <definedName name="usname58" localSheetId="2">[7]Parameters!$C$96</definedName>
    <definedName name="usname58">#REF!</definedName>
    <definedName name="usname59" localSheetId="2">[7]Parameters!$C$97</definedName>
    <definedName name="usname59">#REF!</definedName>
    <definedName name="usname60" localSheetId="2">[7]Parameters!$C$98</definedName>
    <definedName name="usname60">#REF!</definedName>
    <definedName name="usname61" localSheetId="2">[7]Parameters!$C$99</definedName>
    <definedName name="usname61">#REF!</definedName>
    <definedName name="usname62" localSheetId="2">[7]Parameters!$C$100</definedName>
    <definedName name="usname62">#REF!</definedName>
    <definedName name="usname63" localSheetId="2">[7]Parameters!$C$101</definedName>
    <definedName name="usname63">#REF!</definedName>
    <definedName name="usname64" localSheetId="2">[7]Parameters!$C$102</definedName>
    <definedName name="usname64">#REF!</definedName>
    <definedName name="usname65" localSheetId="2">[7]Parameters!$C$103</definedName>
    <definedName name="usname65">#REF!</definedName>
    <definedName name="usname66" localSheetId="2">[7]Parameters!$C$104</definedName>
    <definedName name="usname66">#REF!</definedName>
    <definedName name="usname67" localSheetId="2">[7]Parameters!$C$105</definedName>
    <definedName name="usname67">#REF!</definedName>
    <definedName name="usname68" localSheetId="2">[7]Parameters!$C$106</definedName>
    <definedName name="usname68">#REF!</definedName>
    <definedName name="usname69" localSheetId="2">[7]Parameters!$C$107</definedName>
    <definedName name="usname69">#REF!</definedName>
    <definedName name="usname70" localSheetId="2">[7]Parameters!$C$108</definedName>
    <definedName name="usname70">#REF!</definedName>
    <definedName name="usname71" localSheetId="2">[7]Parameters!$C$109</definedName>
    <definedName name="usname71">#REF!</definedName>
    <definedName name="usname72" localSheetId="2">[7]Parameters!$C$110</definedName>
    <definedName name="usname72">#REF!</definedName>
    <definedName name="usname73" localSheetId="2">[7]Parameters!$C$111</definedName>
    <definedName name="usname73">#REF!</definedName>
    <definedName name="usname74" localSheetId="2">[7]Parameters!$C$112</definedName>
    <definedName name="usname74">#REF!</definedName>
    <definedName name="usname75" localSheetId="2">[7]Parameters!$C$113</definedName>
    <definedName name="usname75">#REF!</definedName>
    <definedName name="USperdiem" localSheetId="2">[16]Assumptions!$D$29</definedName>
    <definedName name="USperdiem">#REF!</definedName>
    <definedName name="ussal11" localSheetId="2">[7]Parameters!$E$49</definedName>
    <definedName name="ussal11">#REF!</definedName>
    <definedName name="ussal12" localSheetId="2">[7]Parameters!$E$50</definedName>
    <definedName name="ussal12">#REF!</definedName>
    <definedName name="ussal13" localSheetId="2">[7]Parameters!$E$51</definedName>
    <definedName name="ussal13">#REF!</definedName>
    <definedName name="ussal14" localSheetId="2">[7]Parameters!$E$52</definedName>
    <definedName name="ussal14">#REF!</definedName>
    <definedName name="ussal15" localSheetId="2">[7]Parameters!$E$53</definedName>
    <definedName name="ussal15">#REF!</definedName>
    <definedName name="ussal16" localSheetId="2">[7]Parameters!$E$54</definedName>
    <definedName name="ussal16">#REF!</definedName>
    <definedName name="ussal17" localSheetId="2">[7]Parameters!$E$55</definedName>
    <definedName name="ussal17">#REF!</definedName>
    <definedName name="ussal18" localSheetId="2">[7]Parameters!$E$56</definedName>
    <definedName name="ussal18">#REF!</definedName>
    <definedName name="ussal19" localSheetId="2">[7]Parameters!$E$57</definedName>
    <definedName name="ussal19">#REF!</definedName>
    <definedName name="ussal20" localSheetId="2">[7]Parameters!$E$58</definedName>
    <definedName name="ussal20">#REF!</definedName>
    <definedName name="ussal21" localSheetId="2">[7]Parameters!$E$59</definedName>
    <definedName name="ussal21">#REF!</definedName>
    <definedName name="ussal22" localSheetId="2">[7]Parameters!$E$60</definedName>
    <definedName name="ussal22">#REF!</definedName>
    <definedName name="ussal23" localSheetId="2">[7]Parameters!$E$61</definedName>
    <definedName name="ussal23">#REF!</definedName>
    <definedName name="ussal24" localSheetId="2">[7]Parameters!$E$62</definedName>
    <definedName name="ussal24">#REF!</definedName>
    <definedName name="ussal25" localSheetId="2">[7]Parameters!$E$63</definedName>
    <definedName name="ussal25">#REF!</definedName>
    <definedName name="ussal26" localSheetId="2">[7]Parameters!$E$64</definedName>
    <definedName name="ussal26">#REF!</definedName>
    <definedName name="ussal27" localSheetId="2">[7]Parameters!$E$65</definedName>
    <definedName name="ussal27">#REF!</definedName>
    <definedName name="ussal28" localSheetId="2">[7]Parameters!$E$66</definedName>
    <definedName name="ussal28">#REF!</definedName>
    <definedName name="ussal29" localSheetId="2">[7]Parameters!$E$67</definedName>
    <definedName name="ussal29">#REF!</definedName>
    <definedName name="ussal30" localSheetId="2">[7]Parameters!$E$68</definedName>
    <definedName name="ussal30">#REF!</definedName>
    <definedName name="ussal31" localSheetId="2">[7]Parameters!$E$69</definedName>
    <definedName name="ussal31">#REF!</definedName>
    <definedName name="ussal32" localSheetId="2">[7]Parameters!$E$70</definedName>
    <definedName name="ussal32">#REF!</definedName>
    <definedName name="ussal33" localSheetId="2">[7]Parameters!$E$71</definedName>
    <definedName name="ussal33">#REF!</definedName>
    <definedName name="ussal34" localSheetId="2">[7]Parameters!$E$72</definedName>
    <definedName name="ussal34">#REF!</definedName>
    <definedName name="ussal35" localSheetId="2">[7]Parameters!$E$73</definedName>
    <definedName name="ussal35">#REF!</definedName>
    <definedName name="ussal36" localSheetId="2">[7]Parameters!$E$74</definedName>
    <definedName name="ussal36">#REF!</definedName>
    <definedName name="ussal37" localSheetId="2">[7]Parameters!$E$75</definedName>
    <definedName name="ussal37">#REF!</definedName>
    <definedName name="ussal38" localSheetId="2">[7]Parameters!$E$76</definedName>
    <definedName name="ussal38">#REF!</definedName>
    <definedName name="ussal39" localSheetId="2">[7]Parameters!$E$77</definedName>
    <definedName name="ussal39">#REF!</definedName>
    <definedName name="ussal40" localSheetId="2">[7]Parameters!$E$78</definedName>
    <definedName name="ussal40">#REF!</definedName>
    <definedName name="ussal41" localSheetId="2">[7]Parameters!$E$79</definedName>
    <definedName name="ussal41">#REF!</definedName>
    <definedName name="ussal42" localSheetId="2">[7]Parameters!$E$80</definedName>
    <definedName name="ussal42">#REF!</definedName>
    <definedName name="ussal43" localSheetId="2">[7]Parameters!$E$81</definedName>
    <definedName name="ussal43">#REF!</definedName>
    <definedName name="ussal44" localSheetId="2">[7]Parameters!$E$82</definedName>
    <definedName name="ussal44">#REF!</definedName>
    <definedName name="ussal45" localSheetId="2">[7]Parameters!$E$83</definedName>
    <definedName name="ussal45">#REF!</definedName>
    <definedName name="ussal46" localSheetId="2">[7]Parameters!$E$84</definedName>
    <definedName name="ussal46">#REF!</definedName>
    <definedName name="ussal47" localSheetId="2">[7]Parameters!$E$85</definedName>
    <definedName name="ussal47">#REF!</definedName>
    <definedName name="ussal48" localSheetId="2">[7]Parameters!$E$86</definedName>
    <definedName name="ussal48">#REF!</definedName>
    <definedName name="ussal49" localSheetId="2">[7]Parameters!$E$87</definedName>
    <definedName name="ussal49">#REF!</definedName>
    <definedName name="ussal50" localSheetId="2">[7]Parameters!$E$88</definedName>
    <definedName name="ussal50">#REF!</definedName>
    <definedName name="ussal51" localSheetId="2">[7]Parameters!$E$89</definedName>
    <definedName name="ussal51">#REF!</definedName>
    <definedName name="ussal52" localSheetId="2">[7]Parameters!$E$90</definedName>
    <definedName name="ussal52">#REF!</definedName>
    <definedName name="ussal53" localSheetId="2">[7]Parameters!$E$91</definedName>
    <definedName name="ussal53">#REF!</definedName>
    <definedName name="ussal54" localSheetId="2">[7]Parameters!$E$92</definedName>
    <definedName name="ussal54">#REF!</definedName>
    <definedName name="ussal55" localSheetId="2">[7]Parameters!$E$93</definedName>
    <definedName name="ussal55">#REF!</definedName>
    <definedName name="ussal56" localSheetId="2">[7]Parameters!$E$94</definedName>
    <definedName name="ussal56">#REF!</definedName>
    <definedName name="ussal57" localSheetId="2">[7]Parameters!$E$95</definedName>
    <definedName name="ussal57">#REF!</definedName>
    <definedName name="ussal58" localSheetId="2">[7]Parameters!$E$96</definedName>
    <definedName name="ussal58">#REF!</definedName>
    <definedName name="ussal59" localSheetId="2">[7]Parameters!$E$97</definedName>
    <definedName name="ussal59">#REF!</definedName>
    <definedName name="ussal60" localSheetId="2">[7]Parameters!$E$98</definedName>
    <definedName name="ussal60">#REF!</definedName>
    <definedName name="ussal61" localSheetId="2">[7]Parameters!$E$99</definedName>
    <definedName name="ussal61">#REF!</definedName>
    <definedName name="ussal62" localSheetId="2">[7]Parameters!$E$100</definedName>
    <definedName name="ussal62">#REF!</definedName>
    <definedName name="ussal63" localSheetId="2">[7]Parameters!$E$101</definedName>
    <definedName name="ussal63">#REF!</definedName>
    <definedName name="ussal64" localSheetId="2">[7]Parameters!$E$102</definedName>
    <definedName name="ussal64">#REF!</definedName>
    <definedName name="ussal65" localSheetId="2">[7]Parameters!$E$103</definedName>
    <definedName name="ussal65">#REF!</definedName>
    <definedName name="ussal66" localSheetId="2">[7]Parameters!$E$104</definedName>
    <definedName name="ussal66">#REF!</definedName>
    <definedName name="ussal67" localSheetId="2">[7]Parameters!$E$105</definedName>
    <definedName name="ussal67">#REF!</definedName>
    <definedName name="ussal68" localSheetId="2">[7]Parameters!$E$106</definedName>
    <definedName name="ussal68">#REF!</definedName>
    <definedName name="ussal69" localSheetId="2">[7]Parameters!$E$107</definedName>
    <definedName name="ussal69">#REF!</definedName>
    <definedName name="ussal70" localSheetId="2">[7]Parameters!$E$108</definedName>
    <definedName name="ussal70">#REF!</definedName>
    <definedName name="ussal71" localSheetId="2">[7]Parameters!$E$109</definedName>
    <definedName name="ussal71">#REF!</definedName>
    <definedName name="ussal72" localSheetId="2">[7]Parameters!$E$110</definedName>
    <definedName name="ussal72">#REF!</definedName>
    <definedName name="ussal73" localSheetId="2">[7]Parameters!$E$111</definedName>
    <definedName name="ussal73">#REF!</definedName>
    <definedName name="ussal74" localSheetId="2">[7]Parameters!$E$112</definedName>
    <definedName name="ussal74">#REF!</definedName>
    <definedName name="ussal75" localSheetId="2">[7]Parameters!$E$113</definedName>
    <definedName name="ussal75">#REF!</definedName>
    <definedName name="ustaxi" localSheetId="2">[12]Sheet1!$C$35</definedName>
    <definedName name="ustaxi">#REF!</definedName>
    <definedName name="UTOT">#N/A</definedName>
    <definedName name="Vc_Days" localSheetId="2">#REF!</definedName>
    <definedName name="Vc_Days">#REF!</definedName>
    <definedName name="WD" localSheetId="2">#REF!</definedName>
    <definedName name="WD">#REF!</definedName>
    <definedName name="WDA">#N/A</definedName>
    <definedName name="WERT" localSheetId="2" hidden="1">{"PAGE1",#N/A,FALSE,"CPFFMSTR";"PAGE2",#N/A,FALSE,"CPFFMSTR"}</definedName>
    <definedName name="WERT" hidden="1">{"PAGE1",#N/A,FALSE,"CPFFMSTR";"PAGE2",#N/A,FALSE,"CPFFMSTR"}</definedName>
    <definedName name="Wk_Days">#REF!</definedName>
    <definedName name="workdaysLT" localSheetId="2">[7]Parameters!$B$509</definedName>
    <definedName name="workdaysLT">#REF!</definedName>
    <definedName name="workdaysST" localSheetId="2">[7]Parameters!$B$510</definedName>
    <definedName name="workdaysST">#REF!</definedName>
    <definedName name="Works" localSheetId="2">#REF!</definedName>
    <definedName name="Works">#REF!</definedName>
    <definedName name="WORKSHEET" localSheetId="2">#REF!</definedName>
    <definedName name="WORKSHEET">#REF!</definedName>
    <definedName name="WORTH">#N/A</definedName>
    <definedName name="wrn.ACC_Cars_125K_Co1." localSheetId="2" hidden="1">{"ACC_Cars_125K_PA",#N/A,FALSE,"ACC Cars Co1 125K ";"ACC_Cars_125K_Prop",#N/A,FALSE,"ACC Cars Co1 125K "}</definedName>
    <definedName name="wrn.ACC_Cars_125K_Co1." hidden="1">{"ACC_Cars_125K_PA",#N/A,FALSE,"ACC Cars Co1 125K ";"ACC_Cars_125K_Prop",#N/A,FALSE,"ACC Cars Co1 125K "}</definedName>
    <definedName name="wrn.ACC_Cars_400K_Co1." localSheetId="2" hidden="1">{"ACC_Cars_400K_PA",#N/A,FALSE,"ACC Cars Co1 400K";"ACC_Cars_400K_Prop",#N/A,FALSE,"ACC Cars Co1 400K"}</definedName>
    <definedName name="wrn.ACC_Cars_400K_Co1." hidden="1">{"ACC_Cars_400K_PA",#N/A,FALSE,"ACC Cars Co1 400K";"ACC_Cars_400K_Prop",#N/A,FALSE,"ACC Cars Co1 400K"}</definedName>
    <definedName name="wrn.ACC_Cars_Travel_125K." localSheetId="2" hidden="1">{"PAGE1",#N/A,FALSE,"ACC_CARS Travel 125K";"PAGE2",#N/A,FALSE,"ACC_CARS Travel 125K"}</definedName>
    <definedName name="wrn.ACC_Cars_Travel_125K." hidden="1">{"PAGE1",#N/A,FALSE,"ACC_CARS Travel 125K";"PAGE2",#N/A,FALSE,"ACC_CARS Travel 125K"}</definedName>
    <definedName name="wrn.ACC_CARS_Travel_400K." localSheetId="2" hidden="1">{"Page1",#N/A,FALSE,"ACC_CARS Travel 400K";"Page2",#N/A,FALSE,"ACC_CARS Travel 400K"}</definedName>
    <definedName name="wrn.ACC_CARS_Travel_400K." hidden="1">{"Page1",#N/A,FALSE,"ACC_CARS Travel 400K";"Page2",#N/A,FALSE,"ACC_CARS Travel 400K"}</definedName>
    <definedName name="wrn.All._.Grant._.Forms." localSheetId="2" hidden="1">{"Form DD",#N/A,FALSE,"DD";"EE",#N/A,FALSE,"EE";"Indirects",#N/A,FALSE,"DD"}</definedName>
    <definedName name="wrn.All._.Grant._.Forms." hidden="1">{"Form DD",#N/A,FALSE,"DD";"EE",#N/A,FALSE,"EE";"Indirects",#N/A,FALSE,"DD"}</definedName>
    <definedName name="wrn.BACKUP." localSheetId="2" hidden="1">{"actuals_1",#N/A,FALSE,"CO 1 YRS";"burden_1",#N/A,FALSE,"CO 1 YRS";"input",#N/A,FALSE,"INPUT"}</definedName>
    <definedName name="wrn.BACKUP." hidden="1">{"actuals_1",#N/A,FALSE,"CO 1 YRS";"burden_1",#N/A,FALSE,"CO 1 YRS";"input",#N/A,FALSE,"INPUT"}</definedName>
    <definedName name="wrn.BTables." localSheetId="2" hidden="1">{#N/A,#N/A,FALSE,"Proposal"}</definedName>
    <definedName name="wrn.BTables." hidden="1">{#N/A,#N/A,FALSE,"Proposal"}</definedName>
    <definedName name="wrn.CCB_JDISS." localSheetId="2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wrn.CCB_JDISS.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wrn.Dolan_Co1." localSheetId="2" hidden="1">{"DolanCo1_PA",#N/A,FALSE,"Tina Dolan";"DolanCo1_Prop",#N/A,FALSE,"Tina Dolan"}</definedName>
    <definedName name="wrn.Dolan_Co1." hidden="1">{"DolanCo1_PA",#N/A,FALSE,"Tina Dolan";"DolanCo1_Prop",#N/A,FALSE,"Tina Dolan"}</definedName>
    <definedName name="wrn.Ebron_350K." localSheetId="2" hidden="1">{"Prop_350K",#N/A,FALSE,"Ebron-350K";"PA_350K",#N/A,FALSE,"Ebron-350K";"Ebron350KTrvl",#N/A,FALSE,"Ebrons Travel 350k"}</definedName>
    <definedName name="wrn.Ebron_350K." hidden="1">{"Prop_350K",#N/A,FALSE,"Ebron-350K";"PA_350K",#N/A,FALSE,"Ebron-350K";"Ebron350KTrvl",#N/A,FALSE,"Ebrons Travel 350k"}</definedName>
    <definedName name="wrn.Ebron_Co1." localSheetId="2" hidden="1">{"EbronCo1_PA",#N/A,FALSE,"Ebrons Task Co1";"EbronCo1_Prop",#N/A,FALSE,"Ebrons Task Co1";"Ebron316KTrvl",#N/A,FALSE,"Ebrons Travel 316k"}</definedName>
    <definedName name="wrn.Ebron_Co1." hidden="1">{"EbronCo1_PA",#N/A,FALSE,"Ebrons Task Co1";"EbronCo1_Prop",#N/A,FALSE,"Ebrons Task Co1";"Ebron316KTrvl",#N/A,FALSE,"Ebrons Travel 316k"}</definedName>
    <definedName name="wrn.Ebron_Co5." localSheetId="2" hidden="1">{"EbronCo5_PA",#N/A,FALSE,"Ebrons Task Co5";"EbronCo5_Prop",#N/A,FALSE,"Ebrons Task Co5"}</definedName>
    <definedName name="wrn.Ebron_Co5." hidden="1">{"EbronCo5_PA",#N/A,FALSE,"Ebrons Task Co5";"EbronCo5_Prop",#N/A,FALSE,"Ebrons Task Co5"}</definedName>
    <definedName name="wrn.INVOICE." localSheetId="2" hidden="1">{"SF1034",#N/A,FALSE,"SF1034";"PAGE1",#N/A,FALSE,"SF1035-CO1-PG1";"PAGE2",#N/A,FALSE,"SF1035-CO1-PG2"}</definedName>
    <definedName name="wrn.INVOICE." hidden="1">{"SF1034",#N/A,FALSE,"SF1034";"PAGE1",#N/A,FALSE,"SF1035-CO1-PG1";"PAGE2",#N/A,FALSE,"SF1035-CO1-PG2"}</definedName>
    <definedName name="wrn.JDISS_Co1." localSheetId="2" hidden="1">{"JDISS_Co1",#N/A,FALSE,"JDISS_Co1";"JDISSCo1_PA",#N/A,FALSE,"JDISS_Co1"}</definedName>
    <definedName name="wrn.JDISS_Co1." hidden="1">{"JDISS_Co1",#N/A,FALSE,"JDISS_Co1";"JDISSCo1_PA",#N/A,FALSE,"JDISS_Co1"}</definedName>
    <definedName name="wrn.Man._.Loading._.Sheet." localSheetId="2" hidden="1">{#N/A,#N/A,FALSE,"ManLoading"}</definedName>
    <definedName name="wrn.Man._.Loading._.Sheet." hidden="1">{#N/A,#N/A,FALSE,"ManLoading"}</definedName>
    <definedName name="wrn.Pearson_Co1." localSheetId="2" hidden="1">{"PearsonCo1_Prop",#N/A,FALSE,"Pearsons Task Co1";"PearsonCo1_PA",#N/A,FALSE,"Pearsons Task Co1"}</definedName>
    <definedName name="wrn.Pearson_Co1." hidden="1">{"PearsonCo1_Prop",#N/A,FALSE,"Pearsons Task Co1";"PearsonCo1_PA",#N/A,FALSE,"Pearsons Task Co1"}</definedName>
    <definedName name="wrn.Pearson_Co5." localSheetId="2" hidden="1">{"PearsonCo5_Prop",#N/A,FALSE,"Pearsons Task Co5";"PearsonCo5_PA",#N/A,FALSE,"Pearsons Task Co5"}</definedName>
    <definedName name="wrn.Pearson_Co5." hidden="1">{"PearsonCo5_Prop",#N/A,FALSE,"Pearsons Task Co5";"PearsonCo5_PA",#N/A,FALSE,"Pearsons Task Co5"}</definedName>
    <definedName name="wrn.price." localSheetId="2" hidden="1">{"PAGE1",#N/A,FALSE,"CPFFMSTR";"PAGE2",#N/A,FALSE,"CPFFMSTR"}</definedName>
    <definedName name="wrn.price." hidden="1">{"PAGE1",#N/A,FALSE,"CPFFMSTR";"PAGE2",#N/A,FALSE,"CPFFMSTR"}</definedName>
    <definedName name="wrn.PRINT._.ALL." localSheetId="2" hidden="1">{"ORIG",#N/A,FALSE,"Sheet1";"GOVT LABOR",#N/A,FALSE,"Sheet1";"INT LABOR",#N/A,FALSE,"Sheet1"}</definedName>
    <definedName name="wrn.PRINT._.ALL." hidden="1">{"ORIG",#N/A,FALSE,"Sheet1";"GOVT LABOR",#N/A,FALSE,"Sheet1";"INT LABOR",#N/A,FALSE,"Sheet1"}</definedName>
    <definedName name="wrn.Print_Detail_And_Summary." localSheetId="2" hidden="1">{"ViewPreCalc",#N/A,TRUE,"PreCalc";"ViewSummary",#N/A,TRUE,"Summary "}</definedName>
    <definedName name="wrn.Print_Detail_And_Summary." hidden="1">{"ViewPreCalc",#N/A,TRUE,"PreCalc";"ViewSummary",#N/A,TRUE,"Summary "}</definedName>
    <definedName name="wrn.Seal._.Team._.J6." localSheetId="2" hidden="1">{"Seal Team J6 Sum",#N/A,FALSE,"Seal Team Summary";"Seal Team J6",#N/A,FALSE,"Seal Team ";"Seal Team ODC J6",#N/A,FALSE,"Seal Team ODCs";"Seal Team Trvl J6",#N/A,FALSE," Seal Team Trvl"}</definedName>
    <definedName name="wrn.Seal._.Team._.J6." hidden="1">{"Seal Team J6 Sum",#N/A,FALSE,"Seal Team Summary";"Seal Team J6",#N/A,FALSE,"Seal Team ";"Seal Team ODC J6",#N/A,FALSE,"Seal Team ODCs";"Seal Team Trvl J6",#N/A,FALSE," Seal Team Trvl"}</definedName>
    <definedName name="wrn.Summary._.1._.Year." localSheetId="2" hidden="1">{"One Year",#N/A,FALSE,"Summary"}</definedName>
    <definedName name="wrn.Summary._.1._.Year." hidden="1">{"One Year",#N/A,FALSE,"Summary"}</definedName>
    <definedName name="wrn.workpapers." localSheetId="2" hidden="1">{"dl",#N/A,FALSE,"Core";"indirects",#N/A,FALSE,"Core";"profit",#N/A,FALSE,"Core"}</definedName>
    <definedName name="wrn.workpapers." hidden="1">{"dl",#N/A,FALSE,"Core";"indirects",#N/A,FALSE,"Core";"profit",#N/A,FALSE,"Core"}</definedName>
    <definedName name="wrn1.price." localSheetId="2" hidden="1">{"PAGE1",#N/A,FALSE,"CPFFMSTR";"PAGE2",#N/A,FALSE,"CPFFMSTR"}</definedName>
    <definedName name="wrn1.price." hidden="1">{"PAGE1",#N/A,FALSE,"CPFFMSTR";"PAGE2",#N/A,FALSE,"CPFFMSTR"}</definedName>
    <definedName name="www">#REF!</definedName>
    <definedName name="x">#REF!</definedName>
    <definedName name="XC" localSheetId="2">[46]DETAIL!$R$2</definedName>
    <definedName name="XC">#REF!</definedName>
    <definedName name="XFDTGH" localSheetId="2" hidden="1">{"PAGE1",#N/A,FALSE,"CPFFMSTR";"PAGE2",#N/A,FALSE,"CPFFMSTR"}</definedName>
    <definedName name="XFDTGH" hidden="1">{"PAGE1",#N/A,FALSE,"CPFFMSTR";"PAGE2",#N/A,FALSE,"CPFFMSTR"}</definedName>
    <definedName name="XGH" localSheetId="2" hidden="1">{"PAGE1",#N/A,FALSE,"CPFFMSTR";"PAGE2",#N/A,FALSE,"CPFFMSTR"}</definedName>
    <definedName name="XGH" hidden="1">{"PAGE1",#N/A,FALSE,"CPFFMSTR";"PAGE2",#N/A,FALSE,"CPFFMSTR"}</definedName>
    <definedName name="XGHXF" localSheetId="2" hidden="1">{"PAGE1",#N/A,FALSE,"CPFFMSTR";"PAGE2",#N/A,FALSE,"CPFFMSTR"}</definedName>
    <definedName name="XGHXF" hidden="1">{"PAGE1",#N/A,FALSE,"CPFFMSTR";"PAGE2",#N/A,FALSE,"CPFFMSTR"}</definedName>
    <definedName name="xvcb" localSheetId="2" hidden="1">{"PAGE1",#N/A,FALSE,"CPFFMSTR";"PAGE2",#N/A,FALSE,"CPFFMSTR"}</definedName>
    <definedName name="xvcb" hidden="1">{"PAGE1",#N/A,FALSE,"CPFFMSTR";"PAGE2",#N/A,FALSE,"CPFFMSTR"}</definedName>
    <definedName name="xxx" localSheetId="2" hidden="1">{"ACC_Cars_125K_PA",#N/A,FALSE,"ACC Cars Co1 125K ";"ACC_Cars_125K_Prop",#N/A,FALSE,"ACC Cars Co1 125K "}</definedName>
    <definedName name="xxx" hidden="1">{"ACC_Cars_125K_PA",#N/A,FALSE,"ACC Cars Co1 125K ";"ACC_Cars_125K_Prop",#N/A,FALSE,"ACC Cars Co1 125K "}</definedName>
    <definedName name="xxx1" localSheetId="2" hidden="1">{"ACC_Cars_400K_PA",#N/A,FALSE,"ACC Cars Co1 400K";"ACC_Cars_400K_Prop",#N/A,FALSE,"ACC Cars Co1 400K"}</definedName>
    <definedName name="xxx1" hidden="1">{"ACC_Cars_400K_PA",#N/A,FALSE,"ACC Cars Co1 400K";"ACC_Cars_400K_Prop",#N/A,FALSE,"ACC Cars Co1 400K"}</definedName>
    <definedName name="Year_1_Cost_Centers" localSheetId="2">[15]INDIRECTS!$S$3:$S$15</definedName>
    <definedName name="Year_1_Cost_Centers">#REF!</definedName>
    <definedName name="Year_2_BAH_Fee" localSheetId="2">[15]INDIRECTS!#REF!</definedName>
    <definedName name="Year_2_BAH_Fee">#REF!</definedName>
    <definedName name="Year_2_Cost_Centers" localSheetId="2">[15]INDIRECTS!#REF!</definedName>
    <definedName name="Year_2_Cost_Centers">#REF!</definedName>
    <definedName name="Year_2_Subcontractor_Fee" localSheetId="2">[15]INDIRECTS!#REF!</definedName>
    <definedName name="Year_2_Subcontractor_Fee">#REF!</definedName>
    <definedName name="Year_3_BAH_Fee" localSheetId="2">[15]INDIRECTS!#REF!</definedName>
    <definedName name="Year_3_BAH_Fee">#REF!</definedName>
    <definedName name="Year_3_Cost_Centers" localSheetId="2">[15]INDIRECTS!#REF!</definedName>
    <definedName name="Year_3_Cost_Centers">#REF!</definedName>
    <definedName name="Year_3_Subcontractor_Fee" localSheetId="2">[15]INDIRECTS!#REF!</definedName>
    <definedName name="Year_3_Subcontractor_Fee">#REF!</definedName>
    <definedName name="Year_4_BAH_Fee" localSheetId="2">[15]INDIRECTS!#REF!</definedName>
    <definedName name="Year_4_BAH_Fee">#REF!</definedName>
    <definedName name="Year_4_Cost_Centers" localSheetId="2">[15]INDIRECTS!#REF!</definedName>
    <definedName name="Year_4_Cost_Centers">#REF!</definedName>
    <definedName name="Year_4_Subcontractor_Fee" localSheetId="2">[15]INDIRECTS!#REF!</definedName>
    <definedName name="Year_4_Subcontractor_Fee">#REF!</definedName>
    <definedName name="Year_5_BAH_Fee" localSheetId="2">[15]INDIRECTS!#REF!</definedName>
    <definedName name="Year_5_BAH_Fee">#REF!</definedName>
    <definedName name="Year_5_Cost_Centers" localSheetId="2">[15]INDIRECTS!#REF!</definedName>
    <definedName name="Year_5_Cost_Centers">#REF!</definedName>
    <definedName name="Year_5_Subcontractor_Fee" localSheetId="2">[15]INDIRECTS!#REF!</definedName>
    <definedName name="Year_5_Subcontractor_Fee">#REF!</definedName>
    <definedName name="YEARS" localSheetId="2">#REF!</definedName>
    <definedName name="YEARS">#REF!</definedName>
    <definedName name="yes" localSheetId="2" hidden="1">{#N/A,#N/A,FALSE,"ManLoading"}</definedName>
    <definedName name="yes" hidden="1">{#N/A,#N/A,FALSE,"ManLoading"}</definedName>
    <definedName name="yes1" localSheetId="2" hidden="1">{#N/A,#N/A,FALSE,"ManLoading"}</definedName>
    <definedName name="yes1" hidden="1">{#N/A,#N/A,FALSE,"ManLoading"}</definedName>
    <definedName name="YORN">#REF!</definedName>
    <definedName name="Yr1Consult" localSheetId="2">[47]DETAIL!$G$4</definedName>
    <definedName name="Yr1Consult">#REF!</definedName>
    <definedName name="Yr1FI" localSheetId="2">[47]DETAIL!$G$8</definedName>
    <definedName name="Yr1FI">#REF!</definedName>
    <definedName name="Yr1ODC" localSheetId="2">[47]DETAIL!$G$7</definedName>
    <definedName name="Yr1ODC">#REF!</definedName>
    <definedName name="Yr1Sal" localSheetId="2">[47]DETAIL!$G$3</definedName>
    <definedName name="Yr1Sal">#REF!</definedName>
    <definedName name="Yr1Travel" localSheetId="2">[47]DETAIL!$G$6</definedName>
    <definedName name="Yr1Travel">#REF!</definedName>
    <definedName name="Yr1Travel_Air" localSheetId="2">[47]DETAIL!$G$5</definedName>
    <definedName name="Yr1Travel_Air">#REF!</definedName>
    <definedName name="Yr2Consult" localSheetId="2">[47]DETAIL!$H$4</definedName>
    <definedName name="Yr2Consult">#REF!</definedName>
    <definedName name="Yr2FI" localSheetId="2">[47]DETAIL!$H$8</definedName>
    <definedName name="Yr2FI">#REF!</definedName>
    <definedName name="Yr2FIfk" localSheetId="2">'[48]AED DETAILED BUDGET'!$H$7</definedName>
    <definedName name="Yr2FIfk">#REF!</definedName>
    <definedName name="Yr2ODC" localSheetId="2">[47]DETAIL!$H$7</definedName>
    <definedName name="Yr2ODC">#REF!</definedName>
    <definedName name="Yr2ODCfk" localSheetId="2">'[48]AED DETAILED BUDGET'!$H$6</definedName>
    <definedName name="Yr2ODCfk">#REF!</definedName>
    <definedName name="Yr2Sal" localSheetId="2">[47]DETAIL!$H$3</definedName>
    <definedName name="Yr2Sal">#REF!</definedName>
    <definedName name="Yr2Travel" localSheetId="2">[47]DETAIL!$H$6</definedName>
    <definedName name="Yr2Travel">#REF!</definedName>
    <definedName name="Yr2Travel_Air" localSheetId="2">[47]DETAIL!$H$5</definedName>
    <definedName name="Yr2Travel_Air">#REF!</definedName>
    <definedName name="Yr2travelfk" localSheetId="2">'[48]AED DETAILED BUDGET'!$H$5</definedName>
    <definedName name="Yr2travelfk">#REF!</definedName>
    <definedName name="Yr3Consult" localSheetId="2">[47]DETAIL!$J$4</definedName>
    <definedName name="Yr3Consult">#REF!</definedName>
    <definedName name="Yr3FI" localSheetId="2">[47]DETAIL!$J$8</definedName>
    <definedName name="Yr3FI">#REF!</definedName>
    <definedName name="Yr3FIfk" localSheetId="2">'[48]AED DETAILED BUDGET'!$J$7</definedName>
    <definedName name="Yr3FIfk">#REF!</definedName>
    <definedName name="Yr3ODC" localSheetId="2">[47]DETAIL!$J$7</definedName>
    <definedName name="Yr3ODC">#REF!</definedName>
    <definedName name="Yr3ODCfk" localSheetId="2">'[48]AED DETAILED BUDGET'!$J$6</definedName>
    <definedName name="Yr3ODCfk">#REF!</definedName>
    <definedName name="Yr3Sal" localSheetId="2">[47]DETAIL!$J$3</definedName>
    <definedName name="Yr3Sal">#REF!</definedName>
    <definedName name="Yr3Travel" localSheetId="2">[47]DETAIL!$J$6</definedName>
    <definedName name="Yr3Travel">#REF!</definedName>
    <definedName name="Yr3Travel_Air" localSheetId="2">[47]DETAIL!$J$5</definedName>
    <definedName name="Yr3Travel_Air">#REF!</definedName>
    <definedName name="Yr4Consult" localSheetId="2">[47]DETAIL!$L$4</definedName>
    <definedName name="Yr4Consult">#REF!</definedName>
    <definedName name="Yr4FI" localSheetId="2">[47]DETAIL!$L$8</definedName>
    <definedName name="Yr4FI">#REF!</definedName>
    <definedName name="Yr4FIfk" localSheetId="2">'[48]AED DETAILED BUDGET'!$L$7</definedName>
    <definedName name="Yr4FIfk">#REF!</definedName>
    <definedName name="Yr4ODC" localSheetId="2">[47]DETAIL!$L$7</definedName>
    <definedName name="Yr4ODC">#REF!</definedName>
    <definedName name="Yr4ODCfk" localSheetId="2">'[48]AED DETAILED BUDGET'!$L$6</definedName>
    <definedName name="Yr4ODCfk">#REF!</definedName>
    <definedName name="Yr4Sal" localSheetId="2">[47]DETAIL!$L$3</definedName>
    <definedName name="Yr4Sal">#REF!</definedName>
    <definedName name="Yr4Salfk" localSheetId="2">'[48]AED DETAILED BUDGET'!$L$3</definedName>
    <definedName name="Yr4Salfk">#REF!</definedName>
    <definedName name="Yr4Travel" localSheetId="2">[47]DETAIL!$L$6</definedName>
    <definedName name="Yr4Travel">#REF!</definedName>
    <definedName name="Yr4Travel_Air" localSheetId="2">[47]DETAIL!$L$5</definedName>
    <definedName name="Yr4Travel_Air">#REF!</definedName>
    <definedName name="Yr5Consult" localSheetId="2">[47]DETAIL!$N$4</definedName>
    <definedName name="Yr5Consult">#REF!</definedName>
    <definedName name="Yr5FI" localSheetId="2">[47]DETAIL!$N$8</definedName>
    <definedName name="Yr5FI">#REF!</definedName>
    <definedName name="Yr5FIfk" localSheetId="2">'[48]AED DETAILED BUDGET'!$N$7</definedName>
    <definedName name="Yr5FIfk">#REF!</definedName>
    <definedName name="Yr5ODC" localSheetId="2">[47]DETAIL!$N$7</definedName>
    <definedName name="Yr5ODC">#REF!</definedName>
    <definedName name="Yr5ODCfk" localSheetId="2">'[48]AED DETAILED BUDGET'!$N$6</definedName>
    <definedName name="Yr5ODCfk">#REF!</definedName>
    <definedName name="Yr5Sal" localSheetId="2">[47]DETAIL!$N$3</definedName>
    <definedName name="Yr5Sal">#REF!</definedName>
    <definedName name="Yr5Salfk" localSheetId="2">'[48]AED DETAILED BUDGET'!$N$3</definedName>
    <definedName name="Yr5Salfk">#REF!</definedName>
    <definedName name="Yr5Travel" localSheetId="2">[47]DETAIL!$N$6</definedName>
    <definedName name="Yr5Travel">#REF!</definedName>
    <definedName name="Yr5Travel_Air" localSheetId="2">[47]DETAIL!$N$5</definedName>
    <definedName name="Yr5Travel_Air">#REF!</definedName>
    <definedName name="z" localSheetId="2">#REF!</definedName>
    <definedName name="z">#REF!</definedName>
    <definedName name="ZDFR" localSheetId="2" hidden="1">{"PAGE1",#N/A,FALSE,"CPFFMSTR";"PAGE2",#N/A,FALSE,"CPFFMSTR"}</definedName>
    <definedName name="ZDFR" hidden="1">{"PAGE1",#N/A,FALSE,"CPFFMSTR";"PAGE2",#N/A,FALSE,"CPFFMSTR"}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46" i="28" l="1"/>
  <c r="J46" i="28"/>
  <c r="J45" i="28"/>
  <c r="J44" i="28"/>
  <c r="I44" i="28"/>
  <c r="I55" i="28"/>
  <c r="Z937" i="4" l="1"/>
  <c r="D51" i="28" s="1"/>
  <c r="H547" i="4"/>
  <c r="H546" i="4"/>
  <c r="H144" i="4"/>
  <c r="H27" i="4"/>
  <c r="H16" i="4"/>
  <c r="H347" i="4" s="1"/>
  <c r="I727" i="4"/>
  <c r="R727" i="4"/>
  <c r="O727" i="4"/>
  <c r="L727" i="4"/>
  <c r="U727" i="4"/>
  <c r="X727" i="4"/>
  <c r="R728" i="4"/>
  <c r="O728" i="4"/>
  <c r="L728" i="4"/>
  <c r="I728" i="4"/>
  <c r="U728" i="4"/>
  <c r="X728" i="4"/>
  <c r="R729" i="4"/>
  <c r="O729" i="4"/>
  <c r="L729" i="4"/>
  <c r="I729" i="4"/>
  <c r="U729" i="4"/>
  <c r="X729" i="4"/>
  <c r="R730" i="4"/>
  <c r="O730" i="4"/>
  <c r="L730" i="4"/>
  <c r="I730" i="4"/>
  <c r="U730" i="4"/>
  <c r="X730" i="4"/>
  <c r="R731" i="4"/>
  <c r="O731" i="4"/>
  <c r="L731" i="4"/>
  <c r="I731" i="4"/>
  <c r="U731" i="4"/>
  <c r="X731" i="4"/>
  <c r="Z732" i="4"/>
  <c r="I92" i="4"/>
  <c r="I83" i="4"/>
  <c r="I84" i="4"/>
  <c r="I85" i="4"/>
  <c r="I86" i="4"/>
  <c r="I935" i="4"/>
  <c r="I936" i="4"/>
  <c r="I87" i="4"/>
  <c r="I89" i="4"/>
  <c r="I90" i="4"/>
  <c r="I91" i="4"/>
  <c r="I94" i="4"/>
  <c r="I95" i="4"/>
  <c r="I96" i="4"/>
  <c r="I98" i="4"/>
  <c r="W147" i="4"/>
  <c r="W146" i="4"/>
  <c r="T147" i="4"/>
  <c r="T146" i="4"/>
  <c r="Q147" i="4"/>
  <c r="Q146" i="4"/>
  <c r="N147" i="4"/>
  <c r="N146" i="4"/>
  <c r="K147" i="4"/>
  <c r="K146" i="4"/>
  <c r="Z101" i="4"/>
  <c r="D20" i="28" s="1"/>
  <c r="Z53" i="4"/>
  <c r="D17" i="28" s="1"/>
  <c r="Z59" i="4"/>
  <c r="D18" i="28" s="1"/>
  <c r="Z80" i="4"/>
  <c r="D19" i="28" s="1"/>
  <c r="Z106" i="4"/>
  <c r="D21" i="28" s="1"/>
  <c r="Z121" i="4"/>
  <c r="D22" i="28" s="1"/>
  <c r="Z148" i="4"/>
  <c r="D23" i="28" s="1"/>
  <c r="Z203" i="4"/>
  <c r="Z191" i="4"/>
  <c r="Z187" i="4"/>
  <c r="H206" i="4"/>
  <c r="Z206" i="4" s="1"/>
  <c r="H207" i="4"/>
  <c r="Z207" i="4" s="1"/>
  <c r="Z195" i="4"/>
  <c r="Z267" i="4"/>
  <c r="Z253" i="4"/>
  <c r="Z249" i="4"/>
  <c r="Z260" i="4"/>
  <c r="Z336" i="4"/>
  <c r="Z326" i="4"/>
  <c r="Z312" i="4"/>
  <c r="Z308" i="4"/>
  <c r="Z386" i="4"/>
  <c r="Z397" i="4"/>
  <c r="Z381" i="4"/>
  <c r="Z377" i="4"/>
  <c r="Z391" i="4"/>
  <c r="Z403" i="4"/>
  <c r="Z463" i="4"/>
  <c r="Z448" i="4"/>
  <c r="Z444" i="4"/>
  <c r="Z470" i="4"/>
  <c r="Z455" i="4"/>
  <c r="G473" i="4"/>
  <c r="K473" i="4"/>
  <c r="N473" i="4"/>
  <c r="Q473" i="4"/>
  <c r="T473" i="4"/>
  <c r="W473" i="4"/>
  <c r="G474" i="4"/>
  <c r="K474" i="4"/>
  <c r="N474" i="4"/>
  <c r="Q474" i="4"/>
  <c r="T474" i="4"/>
  <c r="W474" i="4"/>
  <c r="Z527" i="4"/>
  <c r="Z542" i="4"/>
  <c r="Z520" i="4"/>
  <c r="Z516" i="4"/>
  <c r="Z550" i="4"/>
  <c r="Z532" i="4"/>
  <c r="Z599" i="4"/>
  <c r="Z605" i="4"/>
  <c r="Z595" i="4"/>
  <c r="Z591" i="4"/>
  <c r="Z657" i="4"/>
  <c r="Z670" i="4"/>
  <c r="Z650" i="4"/>
  <c r="Z646" i="4"/>
  <c r="Z675" i="4"/>
  <c r="Z661" i="4"/>
  <c r="G678" i="4"/>
  <c r="I678" i="4" s="1"/>
  <c r="I679" i="4" s="1"/>
  <c r="K678" i="4"/>
  <c r="N678" i="4"/>
  <c r="Q678" i="4"/>
  <c r="T678" i="4"/>
  <c r="W678" i="4"/>
  <c r="Z748" i="4"/>
  <c r="Z724" i="4"/>
  <c r="Z720" i="4"/>
  <c r="Z753" i="4"/>
  <c r="Z736" i="4"/>
  <c r="Z806" i="4"/>
  <c r="Z814" i="4"/>
  <c r="Z798" i="4"/>
  <c r="Z794" i="4"/>
  <c r="Z820" i="4"/>
  <c r="G823" i="4"/>
  <c r="I823" i="4" s="1"/>
  <c r="K823" i="4"/>
  <c r="N823" i="4"/>
  <c r="Q823" i="4"/>
  <c r="T823" i="4"/>
  <c r="W823" i="4"/>
  <c r="G824" i="4"/>
  <c r="I824" i="4" s="1"/>
  <c r="K824" i="4"/>
  <c r="N824" i="4"/>
  <c r="Q824" i="4"/>
  <c r="T824" i="4"/>
  <c r="W824" i="4"/>
  <c r="Z876" i="4"/>
  <c r="Z870" i="4"/>
  <c r="Z866" i="4"/>
  <c r="Z880" i="4"/>
  <c r="G883" i="4"/>
  <c r="I883" i="4" s="1"/>
  <c r="I884" i="4" s="1"/>
  <c r="K883" i="4"/>
  <c r="N883" i="4"/>
  <c r="Q883" i="4"/>
  <c r="T883" i="4"/>
  <c r="W883" i="4"/>
  <c r="Z925" i="4"/>
  <c r="D47" i="28" s="1"/>
  <c r="Z929" i="4"/>
  <c r="D48" i="28" s="1"/>
  <c r="Z958" i="4"/>
  <c r="D49" i="28" s="1"/>
  <c r="Z963" i="4"/>
  <c r="D50" i="28" s="1"/>
  <c r="Z948" i="4"/>
  <c r="D52" i="28" s="1"/>
  <c r="Z952" i="4"/>
  <c r="D53" i="28" s="1"/>
  <c r="Z967" i="4"/>
  <c r="Z978" i="4"/>
  <c r="D41" i="28" s="1"/>
  <c r="D44" i="28" s="1"/>
  <c r="X92" i="4"/>
  <c r="U92" i="4"/>
  <c r="R92" i="4"/>
  <c r="O92" i="4"/>
  <c r="L92" i="4"/>
  <c r="K30" i="41"/>
  <c r="K32" i="41"/>
  <c r="K34" i="41"/>
  <c r="K36" i="41"/>
  <c r="K38" i="41"/>
  <c r="K40" i="41"/>
  <c r="K42" i="41"/>
  <c r="K44" i="41"/>
  <c r="K46" i="41"/>
  <c r="K48" i="41"/>
  <c r="G17" i="4"/>
  <c r="G279" i="4" s="1"/>
  <c r="X50" i="39"/>
  <c r="X49" i="39"/>
  <c r="X48" i="39"/>
  <c r="X47" i="39"/>
  <c r="X46" i="39"/>
  <c r="G44" i="4"/>
  <c r="H402" i="4"/>
  <c r="R402" i="4" s="1"/>
  <c r="U819" i="4"/>
  <c r="W19" i="4"/>
  <c r="X942" i="4"/>
  <c r="T943" i="4"/>
  <c r="U943" i="4" s="1"/>
  <c r="Q943" i="4"/>
  <c r="N943" i="4"/>
  <c r="O943" i="4" s="1"/>
  <c r="K943" i="4"/>
  <c r="L943" i="4" s="1"/>
  <c r="I943" i="4"/>
  <c r="T946" i="4"/>
  <c r="U946" i="4" s="1"/>
  <c r="Q946" i="4"/>
  <c r="R946" i="4" s="1"/>
  <c r="N946" i="4"/>
  <c r="O946" i="4" s="1"/>
  <c r="K946" i="4"/>
  <c r="L946" i="4" s="1"/>
  <c r="I946" i="4"/>
  <c r="B168" i="30"/>
  <c r="W21" i="4"/>
  <c r="H31" i="4"/>
  <c r="H501" i="4" s="1"/>
  <c r="R943" i="4"/>
  <c r="H941" i="4"/>
  <c r="X941" i="4" s="1"/>
  <c r="T942" i="4"/>
  <c r="U942" i="4" s="1"/>
  <c r="Q942" i="4"/>
  <c r="R942" i="4" s="1"/>
  <c r="N942" i="4"/>
  <c r="O942" i="4" s="1"/>
  <c r="L942" i="4"/>
  <c r="I942" i="4"/>
  <c r="X936" i="4"/>
  <c r="U936" i="4"/>
  <c r="R936" i="4"/>
  <c r="O936" i="4"/>
  <c r="L936" i="4"/>
  <c r="X935" i="4"/>
  <c r="U935" i="4"/>
  <c r="R935" i="4"/>
  <c r="O935" i="4"/>
  <c r="L935" i="4"/>
  <c r="I526" i="4"/>
  <c r="L526" i="4"/>
  <c r="O526" i="4"/>
  <c r="R526" i="4"/>
  <c r="U526" i="4"/>
  <c r="X526" i="4"/>
  <c r="X389" i="4"/>
  <c r="U389" i="4"/>
  <c r="R389" i="4"/>
  <c r="O389" i="4"/>
  <c r="L389" i="4"/>
  <c r="I389" i="4"/>
  <c r="I194" i="4"/>
  <c r="I195" i="4" s="1"/>
  <c r="L194" i="4"/>
  <c r="L195" i="4" s="1"/>
  <c r="O194" i="4"/>
  <c r="O195" i="4" s="1"/>
  <c r="U194" i="4"/>
  <c r="U195" i="4" s="1"/>
  <c r="R194" i="4"/>
  <c r="X194" i="4"/>
  <c r="X195" i="4" s="1"/>
  <c r="G974" i="4"/>
  <c r="G976" i="4"/>
  <c r="G975" i="4"/>
  <c r="T975" i="4" s="1"/>
  <c r="U975" i="4" s="1"/>
  <c r="X975" i="4"/>
  <c r="W44" i="4"/>
  <c r="W375" i="4" s="1"/>
  <c r="H33" i="4"/>
  <c r="H781" i="4" s="1"/>
  <c r="H32" i="4"/>
  <c r="B60" i="28"/>
  <c r="B61" i="28"/>
  <c r="B62" i="28"/>
  <c r="B63" i="28"/>
  <c r="B9" i="47"/>
  <c r="I934" i="4"/>
  <c r="R17" i="46"/>
  <c r="R16" i="46"/>
  <c r="R15" i="46"/>
  <c r="R14" i="46"/>
  <c r="R13" i="46"/>
  <c r="H51" i="4"/>
  <c r="X933" i="4"/>
  <c r="U933" i="4"/>
  <c r="R933" i="4"/>
  <c r="O933" i="4"/>
  <c r="L933" i="4"/>
  <c r="I933" i="4"/>
  <c r="X944" i="4"/>
  <c r="I944" i="4"/>
  <c r="L944" i="4"/>
  <c r="O944" i="4"/>
  <c r="U944" i="4"/>
  <c r="R944" i="4"/>
  <c r="O13" i="46"/>
  <c r="H50" i="4"/>
  <c r="G961" i="4"/>
  <c r="I961" i="4" s="1"/>
  <c r="W961" i="4"/>
  <c r="X961" i="4" s="1"/>
  <c r="T961" i="4"/>
  <c r="U961" i="4" s="1"/>
  <c r="Q961" i="4"/>
  <c r="R961" i="4" s="1"/>
  <c r="N961" i="4"/>
  <c r="O961" i="4" s="1"/>
  <c r="K961" i="4"/>
  <c r="W35" i="4"/>
  <c r="W45" i="4"/>
  <c r="W645" i="4" s="1"/>
  <c r="G35" i="4"/>
  <c r="G297" i="4" s="1"/>
  <c r="G21" i="4"/>
  <c r="G352" i="4" s="1"/>
  <c r="G19" i="4"/>
  <c r="C18" i="39" s="1"/>
  <c r="D15" i="48"/>
  <c r="T15" i="48"/>
  <c r="T44" i="4"/>
  <c r="T644" i="4" s="1"/>
  <c r="Q44" i="4"/>
  <c r="N44" i="4"/>
  <c r="I43" i="39" s="1"/>
  <c r="K44" i="4"/>
  <c r="K864" i="4" s="1"/>
  <c r="F21" i="46"/>
  <c r="F20" i="46"/>
  <c r="D20" i="46"/>
  <c r="N20" i="46" s="1"/>
  <c r="D18" i="46"/>
  <c r="Q18" i="46" s="1"/>
  <c r="D19" i="46"/>
  <c r="Q19" i="46" s="1"/>
  <c r="F19" i="46"/>
  <c r="F18" i="46"/>
  <c r="H140" i="4"/>
  <c r="W875" i="4"/>
  <c r="T875" i="4"/>
  <c r="Q875" i="4"/>
  <c r="N875" i="4"/>
  <c r="K875" i="4"/>
  <c r="H875" i="4"/>
  <c r="G875" i="4"/>
  <c r="X874" i="4"/>
  <c r="U874" i="4"/>
  <c r="R874" i="4"/>
  <c r="O874" i="4"/>
  <c r="L874" i="4"/>
  <c r="I874" i="4"/>
  <c r="W811" i="4"/>
  <c r="T811" i="4"/>
  <c r="Q811" i="4"/>
  <c r="N811" i="4"/>
  <c r="K811" i="4"/>
  <c r="H811" i="4"/>
  <c r="G811" i="4"/>
  <c r="X810" i="4"/>
  <c r="U810" i="4"/>
  <c r="R810" i="4"/>
  <c r="O810" i="4"/>
  <c r="L810" i="4"/>
  <c r="I810" i="4"/>
  <c r="W741" i="4"/>
  <c r="T741" i="4"/>
  <c r="U741" i="4" s="1"/>
  <c r="Q741" i="4"/>
  <c r="N741" i="4"/>
  <c r="K741" i="4"/>
  <c r="H741" i="4"/>
  <c r="G741" i="4"/>
  <c r="X740" i="4"/>
  <c r="U740" i="4"/>
  <c r="R740" i="4"/>
  <c r="O740" i="4"/>
  <c r="L740" i="4"/>
  <c r="I740" i="4"/>
  <c r="W666" i="4"/>
  <c r="T666" i="4"/>
  <c r="Q666" i="4"/>
  <c r="N666" i="4"/>
  <c r="K666" i="4"/>
  <c r="H666" i="4"/>
  <c r="G666" i="4"/>
  <c r="X665" i="4"/>
  <c r="U665" i="4"/>
  <c r="R665" i="4"/>
  <c r="O665" i="4"/>
  <c r="L665" i="4"/>
  <c r="I665" i="4"/>
  <c r="W604" i="4"/>
  <c r="T604" i="4"/>
  <c r="Q604" i="4"/>
  <c r="N604" i="4"/>
  <c r="K604" i="4"/>
  <c r="H604" i="4"/>
  <c r="G604" i="4"/>
  <c r="X603" i="4"/>
  <c r="U603" i="4"/>
  <c r="R603" i="4"/>
  <c r="O603" i="4"/>
  <c r="L603" i="4"/>
  <c r="I603" i="4"/>
  <c r="W537" i="4"/>
  <c r="T537" i="4"/>
  <c r="Q537" i="4"/>
  <c r="R537" i="4" s="1"/>
  <c r="N537" i="4"/>
  <c r="K537" i="4"/>
  <c r="H537" i="4"/>
  <c r="G537" i="4"/>
  <c r="X536" i="4"/>
  <c r="U536" i="4"/>
  <c r="R536" i="4"/>
  <c r="O536" i="4"/>
  <c r="L536" i="4"/>
  <c r="I536" i="4"/>
  <c r="W460" i="4"/>
  <c r="T460" i="4"/>
  <c r="Q460" i="4"/>
  <c r="N460" i="4"/>
  <c r="K460" i="4"/>
  <c r="H460" i="4"/>
  <c r="U460" i="4" s="1"/>
  <c r="G460" i="4"/>
  <c r="X459" i="4"/>
  <c r="U459" i="4"/>
  <c r="R459" i="4"/>
  <c r="O459" i="4"/>
  <c r="L459" i="4"/>
  <c r="I459" i="4"/>
  <c r="W317" i="4"/>
  <c r="X317" i="4" s="1"/>
  <c r="T317" i="4"/>
  <c r="Q317" i="4"/>
  <c r="N317" i="4"/>
  <c r="K317" i="4"/>
  <c r="H317" i="4"/>
  <c r="G317" i="4"/>
  <c r="X316" i="4"/>
  <c r="U316" i="4"/>
  <c r="R316" i="4"/>
  <c r="O316" i="4"/>
  <c r="L316" i="4"/>
  <c r="I316" i="4"/>
  <c r="W265" i="4"/>
  <c r="T265" i="4"/>
  <c r="Q265" i="4"/>
  <c r="N265" i="4"/>
  <c r="K265" i="4"/>
  <c r="H265" i="4"/>
  <c r="G265" i="4"/>
  <c r="X264" i="4"/>
  <c r="U264" i="4"/>
  <c r="R264" i="4"/>
  <c r="O264" i="4"/>
  <c r="L264" i="4"/>
  <c r="I264" i="4"/>
  <c r="W200" i="4"/>
  <c r="T200" i="4"/>
  <c r="Q200" i="4"/>
  <c r="N200" i="4"/>
  <c r="K200" i="4"/>
  <c r="G200" i="4"/>
  <c r="H200" i="4"/>
  <c r="X199" i="4"/>
  <c r="U199" i="4"/>
  <c r="R199" i="4"/>
  <c r="O199" i="4"/>
  <c r="L199" i="4"/>
  <c r="I199" i="4"/>
  <c r="I475" i="4"/>
  <c r="Y475" i="4"/>
  <c r="X475" i="4"/>
  <c r="U475" i="4"/>
  <c r="R475" i="4"/>
  <c r="O475" i="4"/>
  <c r="L475" i="4"/>
  <c r="Y825" i="4"/>
  <c r="X825" i="4"/>
  <c r="U825" i="4"/>
  <c r="R825" i="4"/>
  <c r="O825" i="4"/>
  <c r="L825" i="4"/>
  <c r="X144" i="4"/>
  <c r="H752" i="4"/>
  <c r="X752" i="4" s="1"/>
  <c r="T30" i="4"/>
  <c r="Q30" i="4"/>
  <c r="Q171" i="4" s="1"/>
  <c r="N30" i="4"/>
  <c r="N171" i="4" s="1"/>
  <c r="K30" i="4"/>
  <c r="K171" i="4" s="1"/>
  <c r="T17" i="4"/>
  <c r="T617" i="4" s="1"/>
  <c r="Q17" i="4"/>
  <c r="Q896" i="4" s="1"/>
  <c r="N17" i="4"/>
  <c r="K17" i="4"/>
  <c r="F16" i="39" s="1"/>
  <c r="H879" i="4"/>
  <c r="R879" i="4" s="1"/>
  <c r="Y884" i="4"/>
  <c r="X884" i="4"/>
  <c r="U884" i="4"/>
  <c r="R884" i="4"/>
  <c r="O884" i="4"/>
  <c r="L884" i="4"/>
  <c r="H674" i="4"/>
  <c r="O674" i="4" s="1"/>
  <c r="L525" i="4"/>
  <c r="H385" i="4"/>
  <c r="O385" i="4" s="1"/>
  <c r="V48" i="4"/>
  <c r="S47" i="39" s="1"/>
  <c r="V49" i="4"/>
  <c r="S48" i="39" s="1"/>
  <c r="V50" i="4"/>
  <c r="V51" i="4"/>
  <c r="S48" i="4"/>
  <c r="P47" i="39" s="1"/>
  <c r="S49" i="4"/>
  <c r="S50" i="4"/>
  <c r="S51" i="4"/>
  <c r="P50" i="39" s="1"/>
  <c r="P48" i="4"/>
  <c r="M47" i="39" s="1"/>
  <c r="P49" i="4"/>
  <c r="M48" i="39" s="1"/>
  <c r="P50" i="4"/>
  <c r="P51" i="4"/>
  <c r="M50" i="39" s="1"/>
  <c r="M48" i="4"/>
  <c r="J47" i="39" s="1"/>
  <c r="M49" i="4"/>
  <c r="J48" i="39" s="1"/>
  <c r="M50" i="4"/>
  <c r="J49" i="39" s="1"/>
  <c r="M51" i="4"/>
  <c r="J50" i="39" s="1"/>
  <c r="J48" i="4"/>
  <c r="G47" i="39" s="1"/>
  <c r="J49" i="4"/>
  <c r="G48" i="39" s="1"/>
  <c r="J50" i="4"/>
  <c r="J51" i="4"/>
  <c r="G50" i="39" s="1"/>
  <c r="E48" i="4"/>
  <c r="D47" i="39" s="1"/>
  <c r="E49" i="4"/>
  <c r="D48" i="39" s="1"/>
  <c r="E50" i="4"/>
  <c r="E51" i="4"/>
  <c r="D50" i="39" s="1"/>
  <c r="R50" i="39"/>
  <c r="O50" i="39"/>
  <c r="L50" i="39"/>
  <c r="I50" i="39"/>
  <c r="F50" i="39"/>
  <c r="C50" i="39"/>
  <c r="B50" i="39"/>
  <c r="R49" i="39"/>
  <c r="O49" i="39"/>
  <c r="L49" i="39"/>
  <c r="I49" i="39"/>
  <c r="F49" i="39"/>
  <c r="C49" i="39"/>
  <c r="B49" i="39"/>
  <c r="R48" i="39"/>
  <c r="O48" i="39"/>
  <c r="L48" i="39"/>
  <c r="I48" i="39"/>
  <c r="F48" i="39"/>
  <c r="C48" i="39"/>
  <c r="B48" i="39"/>
  <c r="R47" i="39"/>
  <c r="O47" i="39"/>
  <c r="L47" i="39"/>
  <c r="I47" i="39"/>
  <c r="F47" i="39"/>
  <c r="C47" i="39"/>
  <c r="B47" i="39"/>
  <c r="Q280" i="30"/>
  <c r="B280" i="30"/>
  <c r="Q279" i="30"/>
  <c r="B279" i="30"/>
  <c r="Q278" i="30"/>
  <c r="B278" i="30"/>
  <c r="Q277" i="30"/>
  <c r="B277" i="30"/>
  <c r="Q234" i="30"/>
  <c r="B234" i="30"/>
  <c r="Q233" i="30"/>
  <c r="B233" i="30"/>
  <c r="Q232" i="30"/>
  <c r="B232" i="30"/>
  <c r="Q231" i="30"/>
  <c r="B231" i="30"/>
  <c r="Q188" i="30"/>
  <c r="B188" i="30"/>
  <c r="Q187" i="30"/>
  <c r="B187" i="30"/>
  <c r="Q186" i="30"/>
  <c r="B186" i="30"/>
  <c r="Q185" i="30"/>
  <c r="B185" i="30"/>
  <c r="Q142" i="30"/>
  <c r="B142" i="30"/>
  <c r="Q141" i="30"/>
  <c r="B141" i="30"/>
  <c r="Q140" i="30"/>
  <c r="B140" i="30"/>
  <c r="Q139" i="30"/>
  <c r="B139" i="30"/>
  <c r="Q96" i="30"/>
  <c r="B96" i="30"/>
  <c r="Q95" i="30"/>
  <c r="B95" i="30"/>
  <c r="Q94" i="30"/>
  <c r="B94" i="30"/>
  <c r="Q93" i="30"/>
  <c r="B93" i="30"/>
  <c r="Q50" i="30"/>
  <c r="B50" i="30"/>
  <c r="Q49" i="30"/>
  <c r="B49" i="30"/>
  <c r="Q48" i="30"/>
  <c r="B48" i="30"/>
  <c r="Q47" i="30"/>
  <c r="B47" i="30"/>
  <c r="H49" i="4"/>
  <c r="Q15" i="46"/>
  <c r="Q16" i="46"/>
  <c r="Q17" i="46"/>
  <c r="Q13" i="46"/>
  <c r="N17" i="46"/>
  <c r="L17" i="46"/>
  <c r="N16" i="46"/>
  <c r="L16" i="46"/>
  <c r="N15" i="46"/>
  <c r="L15" i="46"/>
  <c r="N14" i="46"/>
  <c r="L14" i="46"/>
  <c r="N13" i="46"/>
  <c r="L13" i="46"/>
  <c r="H743" i="4"/>
  <c r="W743" i="4"/>
  <c r="T743" i="4"/>
  <c r="Q743" i="4"/>
  <c r="N743" i="4"/>
  <c r="K743" i="4"/>
  <c r="G743" i="4"/>
  <c r="X742" i="4"/>
  <c r="U742" i="4"/>
  <c r="R742" i="4"/>
  <c r="O742" i="4"/>
  <c r="L742" i="4"/>
  <c r="I742" i="4"/>
  <c r="W324" i="4"/>
  <c r="W325" i="4" s="1"/>
  <c r="W322" i="4"/>
  <c r="O525" i="4"/>
  <c r="Q667" i="4"/>
  <c r="R667" i="4" s="1"/>
  <c r="T667" i="4"/>
  <c r="U667" i="4" s="1"/>
  <c r="W667" i="4"/>
  <c r="X667" i="4" s="1"/>
  <c r="P45" i="48"/>
  <c r="L45" i="48"/>
  <c r="H45" i="48"/>
  <c r="D45" i="48"/>
  <c r="R46" i="39"/>
  <c r="O46" i="39"/>
  <c r="L46" i="39"/>
  <c r="I46" i="39"/>
  <c r="F46" i="39"/>
  <c r="C46" i="39"/>
  <c r="B46" i="39"/>
  <c r="B12" i="39"/>
  <c r="C12" i="39"/>
  <c r="F12" i="39"/>
  <c r="I12" i="39"/>
  <c r="L12" i="39"/>
  <c r="O12" i="39"/>
  <c r="R12" i="39"/>
  <c r="B13" i="39"/>
  <c r="C13" i="39"/>
  <c r="F13" i="39"/>
  <c r="I13" i="39"/>
  <c r="L13" i="39"/>
  <c r="O13" i="39"/>
  <c r="R13" i="39"/>
  <c r="B14" i="39"/>
  <c r="C14" i="39"/>
  <c r="F14" i="39"/>
  <c r="I14" i="39"/>
  <c r="L14" i="39"/>
  <c r="O14" i="39"/>
  <c r="R14" i="39"/>
  <c r="B15" i="39"/>
  <c r="C15" i="39"/>
  <c r="F15" i="39"/>
  <c r="I15" i="39"/>
  <c r="L15" i="39"/>
  <c r="O15" i="39"/>
  <c r="R15" i="39"/>
  <c r="B16" i="39"/>
  <c r="B17" i="39"/>
  <c r="C17" i="39"/>
  <c r="F17" i="39"/>
  <c r="I17" i="39"/>
  <c r="L17" i="39"/>
  <c r="O17" i="39"/>
  <c r="R17" i="39"/>
  <c r="B18" i="39"/>
  <c r="B19" i="39"/>
  <c r="C19" i="39"/>
  <c r="F19" i="39"/>
  <c r="I19" i="39"/>
  <c r="L19" i="39"/>
  <c r="O19" i="39"/>
  <c r="R19" i="39"/>
  <c r="B20" i="39"/>
  <c r="B21" i="39"/>
  <c r="C21" i="39"/>
  <c r="F21" i="39"/>
  <c r="I21" i="39"/>
  <c r="L21" i="39"/>
  <c r="O21" i="39"/>
  <c r="R21" i="39"/>
  <c r="B22" i="39"/>
  <c r="C22" i="39"/>
  <c r="F22" i="39"/>
  <c r="I22" i="39"/>
  <c r="L22" i="39"/>
  <c r="O22" i="39"/>
  <c r="R22" i="39"/>
  <c r="B23" i="39"/>
  <c r="C23" i="39"/>
  <c r="F23" i="39"/>
  <c r="I23" i="39"/>
  <c r="L23" i="39"/>
  <c r="O23" i="39"/>
  <c r="R23" i="39"/>
  <c r="B24" i="39"/>
  <c r="C24" i="39"/>
  <c r="F24" i="39"/>
  <c r="I24" i="39"/>
  <c r="L24" i="39"/>
  <c r="O24" i="39"/>
  <c r="R24" i="39"/>
  <c r="B25" i="39"/>
  <c r="C25" i="39"/>
  <c r="F25" i="39"/>
  <c r="I25" i="39"/>
  <c r="L25" i="39"/>
  <c r="O25" i="39"/>
  <c r="R25" i="39"/>
  <c r="B26" i="39"/>
  <c r="C26" i="39"/>
  <c r="F26" i="39"/>
  <c r="I26" i="39"/>
  <c r="L26" i="39"/>
  <c r="O26" i="39"/>
  <c r="R26" i="39"/>
  <c r="B27" i="39"/>
  <c r="C27" i="39"/>
  <c r="F27" i="39"/>
  <c r="I27" i="39"/>
  <c r="L27" i="39"/>
  <c r="O27" i="39"/>
  <c r="R27" i="39"/>
  <c r="B28" i="39"/>
  <c r="C28" i="39"/>
  <c r="F28" i="39"/>
  <c r="I28" i="39"/>
  <c r="L28" i="39"/>
  <c r="O28" i="39"/>
  <c r="R28" i="39"/>
  <c r="B29" i="39"/>
  <c r="B30" i="39"/>
  <c r="C30" i="39"/>
  <c r="F30" i="39"/>
  <c r="I30" i="39"/>
  <c r="L30" i="39"/>
  <c r="O30" i="39"/>
  <c r="R30" i="39"/>
  <c r="B31" i="39"/>
  <c r="C31" i="39"/>
  <c r="F31" i="39"/>
  <c r="I31" i="39"/>
  <c r="L31" i="39"/>
  <c r="O31" i="39"/>
  <c r="R31" i="39"/>
  <c r="B32" i="39"/>
  <c r="C32" i="39"/>
  <c r="F32" i="39"/>
  <c r="I32" i="39"/>
  <c r="L32" i="39"/>
  <c r="O32" i="39"/>
  <c r="R32" i="39"/>
  <c r="B33" i="39"/>
  <c r="C33" i="39"/>
  <c r="F33" i="39"/>
  <c r="I33" i="39"/>
  <c r="L33" i="39"/>
  <c r="O33" i="39"/>
  <c r="R33" i="39"/>
  <c r="B34" i="39"/>
  <c r="B35" i="39"/>
  <c r="C35" i="39"/>
  <c r="F35" i="39"/>
  <c r="I35" i="39"/>
  <c r="L35" i="39"/>
  <c r="O35" i="39"/>
  <c r="R35" i="39"/>
  <c r="B36" i="39"/>
  <c r="C36" i="39"/>
  <c r="F36" i="39"/>
  <c r="I36" i="39"/>
  <c r="L36" i="39"/>
  <c r="O36" i="39"/>
  <c r="R36" i="39"/>
  <c r="B37" i="39"/>
  <c r="C37" i="39"/>
  <c r="F37" i="39"/>
  <c r="I37" i="39"/>
  <c r="L37" i="39"/>
  <c r="O37" i="39"/>
  <c r="R37" i="39"/>
  <c r="B38" i="39"/>
  <c r="C38" i="39"/>
  <c r="F38" i="39"/>
  <c r="I38" i="39"/>
  <c r="L38" i="39"/>
  <c r="O38" i="39"/>
  <c r="R38" i="39"/>
  <c r="B39" i="39"/>
  <c r="C39" i="39"/>
  <c r="F39" i="39"/>
  <c r="I39" i="39"/>
  <c r="L39" i="39"/>
  <c r="O39" i="39"/>
  <c r="R39" i="39"/>
  <c r="B40" i="39"/>
  <c r="C40" i="39"/>
  <c r="F40" i="39"/>
  <c r="I40" i="39"/>
  <c r="L40" i="39"/>
  <c r="O40" i="39"/>
  <c r="R40" i="39"/>
  <c r="B41" i="39"/>
  <c r="C41" i="39"/>
  <c r="F41" i="39"/>
  <c r="I41" i="39"/>
  <c r="L41" i="39"/>
  <c r="O41" i="39"/>
  <c r="R41" i="39"/>
  <c r="B42" i="39"/>
  <c r="C42" i="39"/>
  <c r="F42" i="39"/>
  <c r="I42" i="39"/>
  <c r="L42" i="39"/>
  <c r="O42" i="39"/>
  <c r="R42" i="39"/>
  <c r="B43" i="39"/>
  <c r="B44" i="39"/>
  <c r="D892" i="4"/>
  <c r="E892" i="4"/>
  <c r="G892" i="4"/>
  <c r="J892" i="4"/>
  <c r="K892" i="4"/>
  <c r="M892" i="4"/>
  <c r="N892" i="4"/>
  <c r="P892" i="4"/>
  <c r="Q892" i="4"/>
  <c r="S892" i="4"/>
  <c r="T892" i="4"/>
  <c r="V892" i="4"/>
  <c r="W892" i="4"/>
  <c r="D893" i="4"/>
  <c r="E893" i="4"/>
  <c r="G893" i="4"/>
  <c r="J893" i="4"/>
  <c r="K893" i="4"/>
  <c r="M893" i="4"/>
  <c r="N893" i="4"/>
  <c r="P893" i="4"/>
  <c r="Q893" i="4"/>
  <c r="S893" i="4"/>
  <c r="T893" i="4"/>
  <c r="V893" i="4"/>
  <c r="W893" i="4"/>
  <c r="D894" i="4"/>
  <c r="E894" i="4"/>
  <c r="G894" i="4"/>
  <c r="J894" i="4"/>
  <c r="K894" i="4"/>
  <c r="M894" i="4"/>
  <c r="N894" i="4"/>
  <c r="P894" i="4"/>
  <c r="Q894" i="4"/>
  <c r="S894" i="4"/>
  <c r="T894" i="4"/>
  <c r="V894" i="4"/>
  <c r="W894" i="4"/>
  <c r="D895" i="4"/>
  <c r="E895" i="4"/>
  <c r="G895" i="4"/>
  <c r="J895" i="4"/>
  <c r="K895" i="4"/>
  <c r="M895" i="4"/>
  <c r="N895" i="4"/>
  <c r="P895" i="4"/>
  <c r="Q895" i="4"/>
  <c r="S895" i="4"/>
  <c r="T895" i="4"/>
  <c r="V895" i="4"/>
  <c r="W895" i="4"/>
  <c r="D896" i="4"/>
  <c r="E896" i="4"/>
  <c r="J896" i="4"/>
  <c r="M896" i="4"/>
  <c r="P896" i="4"/>
  <c r="S896" i="4"/>
  <c r="V896" i="4"/>
  <c r="D897" i="4"/>
  <c r="E897" i="4"/>
  <c r="G897" i="4"/>
  <c r="J897" i="4"/>
  <c r="K897" i="4"/>
  <c r="M897" i="4"/>
  <c r="N897" i="4"/>
  <c r="P897" i="4"/>
  <c r="Q897" i="4"/>
  <c r="S897" i="4"/>
  <c r="T897" i="4"/>
  <c r="V897" i="4"/>
  <c r="W897" i="4"/>
  <c r="D898" i="4"/>
  <c r="E898" i="4"/>
  <c r="J898" i="4"/>
  <c r="M898" i="4"/>
  <c r="P898" i="4"/>
  <c r="S898" i="4"/>
  <c r="V898" i="4"/>
  <c r="D899" i="4"/>
  <c r="E899" i="4"/>
  <c r="G899" i="4"/>
  <c r="J899" i="4"/>
  <c r="K899" i="4"/>
  <c r="M899" i="4"/>
  <c r="N899" i="4"/>
  <c r="P899" i="4"/>
  <c r="Q899" i="4"/>
  <c r="S899" i="4"/>
  <c r="T899" i="4"/>
  <c r="V899" i="4"/>
  <c r="W899" i="4"/>
  <c r="D900" i="4"/>
  <c r="E900" i="4"/>
  <c r="J900" i="4"/>
  <c r="M900" i="4"/>
  <c r="P900" i="4"/>
  <c r="S900" i="4"/>
  <c r="V900" i="4"/>
  <c r="D901" i="4"/>
  <c r="E901" i="4"/>
  <c r="G901" i="4"/>
  <c r="J901" i="4"/>
  <c r="K901" i="4"/>
  <c r="M901" i="4"/>
  <c r="N901" i="4"/>
  <c r="P901" i="4"/>
  <c r="Q901" i="4"/>
  <c r="S901" i="4"/>
  <c r="T901" i="4"/>
  <c r="V901" i="4"/>
  <c r="W901" i="4"/>
  <c r="D902" i="4"/>
  <c r="E902" i="4"/>
  <c r="G902" i="4"/>
  <c r="H902" i="4"/>
  <c r="W902" i="4"/>
  <c r="V902" i="4"/>
  <c r="J902" i="4"/>
  <c r="K902" i="4"/>
  <c r="M902" i="4"/>
  <c r="N902" i="4"/>
  <c r="P902" i="4"/>
  <c r="Q902" i="4"/>
  <c r="S902" i="4"/>
  <c r="T902" i="4"/>
  <c r="D903" i="4"/>
  <c r="E903" i="4"/>
  <c r="G903" i="4"/>
  <c r="J903" i="4"/>
  <c r="K903" i="4"/>
  <c r="M903" i="4"/>
  <c r="N903" i="4"/>
  <c r="P903" i="4"/>
  <c r="Q903" i="4"/>
  <c r="S903" i="4"/>
  <c r="T903" i="4"/>
  <c r="V903" i="4"/>
  <c r="W903" i="4"/>
  <c r="D904" i="4"/>
  <c r="E904" i="4"/>
  <c r="G904" i="4"/>
  <c r="J904" i="4"/>
  <c r="K904" i="4"/>
  <c r="M904" i="4"/>
  <c r="N904" i="4"/>
  <c r="P904" i="4"/>
  <c r="Q904" i="4"/>
  <c r="S904" i="4"/>
  <c r="T904" i="4"/>
  <c r="V904" i="4"/>
  <c r="W904" i="4"/>
  <c r="D905" i="4"/>
  <c r="E905" i="4"/>
  <c r="G905" i="4"/>
  <c r="J905" i="4"/>
  <c r="K905" i="4"/>
  <c r="M905" i="4"/>
  <c r="N905" i="4"/>
  <c r="P905" i="4"/>
  <c r="Q905" i="4"/>
  <c r="S905" i="4"/>
  <c r="T905" i="4"/>
  <c r="V905" i="4"/>
  <c r="W905" i="4"/>
  <c r="D906" i="4"/>
  <c r="E906" i="4"/>
  <c r="G906" i="4"/>
  <c r="J906" i="4"/>
  <c r="K906" i="4"/>
  <c r="M906" i="4"/>
  <c r="N906" i="4"/>
  <c r="P906" i="4"/>
  <c r="Q906" i="4"/>
  <c r="S906" i="4"/>
  <c r="T906" i="4"/>
  <c r="V906" i="4"/>
  <c r="W906" i="4"/>
  <c r="D907" i="4"/>
  <c r="E907" i="4"/>
  <c r="G907" i="4"/>
  <c r="J907" i="4"/>
  <c r="K907" i="4"/>
  <c r="M907" i="4"/>
  <c r="N907" i="4"/>
  <c r="P907" i="4"/>
  <c r="Q907" i="4"/>
  <c r="S907" i="4"/>
  <c r="T907" i="4"/>
  <c r="V907" i="4"/>
  <c r="W907" i="4"/>
  <c r="D908" i="4"/>
  <c r="E908" i="4"/>
  <c r="G908" i="4"/>
  <c r="J908" i="4"/>
  <c r="K908" i="4"/>
  <c r="M908" i="4"/>
  <c r="N908" i="4"/>
  <c r="P908" i="4"/>
  <c r="Q908" i="4"/>
  <c r="S908" i="4"/>
  <c r="T908" i="4"/>
  <c r="V908" i="4"/>
  <c r="W908" i="4"/>
  <c r="D909" i="4"/>
  <c r="E909" i="4"/>
  <c r="J909" i="4"/>
  <c r="M909" i="4"/>
  <c r="P909" i="4"/>
  <c r="S909" i="4"/>
  <c r="V909" i="4"/>
  <c r="D910" i="4"/>
  <c r="E910" i="4"/>
  <c r="G910" i="4"/>
  <c r="J910" i="4"/>
  <c r="K910" i="4"/>
  <c r="M910" i="4"/>
  <c r="N910" i="4"/>
  <c r="P910" i="4"/>
  <c r="Q910" i="4"/>
  <c r="S910" i="4"/>
  <c r="T910" i="4"/>
  <c r="V910" i="4"/>
  <c r="W910" i="4"/>
  <c r="D911" i="4"/>
  <c r="E911" i="4"/>
  <c r="G911" i="4"/>
  <c r="J911" i="4"/>
  <c r="K911" i="4"/>
  <c r="M911" i="4"/>
  <c r="N911" i="4"/>
  <c r="P911" i="4"/>
  <c r="Q911" i="4"/>
  <c r="S911" i="4"/>
  <c r="T911" i="4"/>
  <c r="V911" i="4"/>
  <c r="W911" i="4"/>
  <c r="D912" i="4"/>
  <c r="E912" i="4"/>
  <c r="G912" i="4"/>
  <c r="J912" i="4"/>
  <c r="K912" i="4"/>
  <c r="M912" i="4"/>
  <c r="N912" i="4"/>
  <c r="P912" i="4"/>
  <c r="Q912" i="4"/>
  <c r="S912" i="4"/>
  <c r="T912" i="4"/>
  <c r="V912" i="4"/>
  <c r="W912" i="4"/>
  <c r="D913" i="4"/>
  <c r="E913" i="4"/>
  <c r="G913" i="4"/>
  <c r="H913" i="4"/>
  <c r="J913" i="4"/>
  <c r="K913" i="4"/>
  <c r="M913" i="4"/>
  <c r="N913" i="4"/>
  <c r="P913" i="4"/>
  <c r="Q913" i="4"/>
  <c r="S913" i="4"/>
  <c r="T913" i="4"/>
  <c r="V913" i="4"/>
  <c r="W913" i="4"/>
  <c r="D914" i="4"/>
  <c r="E914" i="4"/>
  <c r="J914" i="4"/>
  <c r="M914" i="4"/>
  <c r="P914" i="4"/>
  <c r="S914" i="4"/>
  <c r="V914" i="4"/>
  <c r="D915" i="4"/>
  <c r="E915" i="4"/>
  <c r="G915" i="4"/>
  <c r="J915" i="4"/>
  <c r="K915" i="4"/>
  <c r="M915" i="4"/>
  <c r="N915" i="4"/>
  <c r="P915" i="4"/>
  <c r="Q915" i="4"/>
  <c r="S915" i="4"/>
  <c r="T915" i="4"/>
  <c r="V915" i="4"/>
  <c r="W915" i="4"/>
  <c r="D916" i="4"/>
  <c r="E916" i="4"/>
  <c r="G916" i="4"/>
  <c r="J916" i="4"/>
  <c r="K916" i="4"/>
  <c r="M916" i="4"/>
  <c r="N916" i="4"/>
  <c r="P916" i="4"/>
  <c r="Q916" i="4"/>
  <c r="S916" i="4"/>
  <c r="T916" i="4"/>
  <c r="V916" i="4"/>
  <c r="W916" i="4"/>
  <c r="D917" i="4"/>
  <c r="E917" i="4"/>
  <c r="G917" i="4"/>
  <c r="J917" i="4"/>
  <c r="K917" i="4"/>
  <c r="M917" i="4"/>
  <c r="N917" i="4"/>
  <c r="P917" i="4"/>
  <c r="Q917" i="4"/>
  <c r="S917" i="4"/>
  <c r="T917" i="4"/>
  <c r="V917" i="4"/>
  <c r="W917" i="4"/>
  <c r="D918" i="4"/>
  <c r="E918" i="4"/>
  <c r="G918" i="4"/>
  <c r="H918" i="4"/>
  <c r="J918" i="4"/>
  <c r="K918" i="4"/>
  <c r="M918" i="4"/>
  <c r="N918" i="4"/>
  <c r="P918" i="4"/>
  <c r="Q918" i="4"/>
  <c r="S918" i="4"/>
  <c r="T918" i="4"/>
  <c r="V918" i="4"/>
  <c r="W918" i="4"/>
  <c r="D919" i="4"/>
  <c r="E919" i="4"/>
  <c r="G919" i="4"/>
  <c r="J919" i="4"/>
  <c r="K919" i="4"/>
  <c r="M919" i="4"/>
  <c r="N919" i="4"/>
  <c r="P919" i="4"/>
  <c r="Q919" i="4"/>
  <c r="S919" i="4"/>
  <c r="T919" i="4"/>
  <c r="V919" i="4"/>
  <c r="W919" i="4"/>
  <c r="D920" i="4"/>
  <c r="E920" i="4"/>
  <c r="G920" i="4"/>
  <c r="J920" i="4"/>
  <c r="K920" i="4"/>
  <c r="M920" i="4"/>
  <c r="N920" i="4"/>
  <c r="P920" i="4"/>
  <c r="Q920" i="4"/>
  <c r="S920" i="4"/>
  <c r="T920" i="4"/>
  <c r="V920" i="4"/>
  <c r="W920" i="4"/>
  <c r="D921" i="4"/>
  <c r="E921" i="4"/>
  <c r="G921" i="4"/>
  <c r="J921" i="4"/>
  <c r="K921" i="4"/>
  <c r="M921" i="4"/>
  <c r="N921" i="4"/>
  <c r="P921" i="4"/>
  <c r="Q921" i="4"/>
  <c r="S921" i="4"/>
  <c r="T921" i="4"/>
  <c r="V921" i="4"/>
  <c r="W921" i="4"/>
  <c r="D922" i="4"/>
  <c r="E922" i="4"/>
  <c r="G922" i="4"/>
  <c r="J922" i="4"/>
  <c r="K922" i="4"/>
  <c r="M922" i="4"/>
  <c r="N922" i="4"/>
  <c r="P922" i="4"/>
  <c r="Q922" i="4"/>
  <c r="S922" i="4"/>
  <c r="T922" i="4"/>
  <c r="V922" i="4"/>
  <c r="W922" i="4"/>
  <c r="D923" i="4"/>
  <c r="E923" i="4"/>
  <c r="J923" i="4"/>
  <c r="M923" i="4"/>
  <c r="P923" i="4"/>
  <c r="S923" i="4"/>
  <c r="V923" i="4"/>
  <c r="D924" i="4"/>
  <c r="E924" i="4"/>
  <c r="J924" i="4"/>
  <c r="M924" i="4"/>
  <c r="P924" i="4"/>
  <c r="S924" i="4"/>
  <c r="V924" i="4"/>
  <c r="D833" i="4"/>
  <c r="E833" i="4"/>
  <c r="G833" i="4"/>
  <c r="J833" i="4"/>
  <c r="K833" i="4"/>
  <c r="M833" i="4"/>
  <c r="N833" i="4"/>
  <c r="P833" i="4"/>
  <c r="Q833" i="4"/>
  <c r="S833" i="4"/>
  <c r="T833" i="4"/>
  <c r="V833" i="4"/>
  <c r="W833" i="4"/>
  <c r="D834" i="4"/>
  <c r="E834" i="4"/>
  <c r="G834" i="4"/>
  <c r="J834" i="4"/>
  <c r="K834" i="4"/>
  <c r="M834" i="4"/>
  <c r="N834" i="4"/>
  <c r="P834" i="4"/>
  <c r="Q834" i="4"/>
  <c r="S834" i="4"/>
  <c r="T834" i="4"/>
  <c r="V834" i="4"/>
  <c r="W834" i="4"/>
  <c r="D835" i="4"/>
  <c r="E835" i="4"/>
  <c r="G835" i="4"/>
  <c r="J835" i="4"/>
  <c r="K835" i="4"/>
  <c r="M835" i="4"/>
  <c r="N835" i="4"/>
  <c r="P835" i="4"/>
  <c r="Q835" i="4"/>
  <c r="S835" i="4"/>
  <c r="T835" i="4"/>
  <c r="V835" i="4"/>
  <c r="W835" i="4"/>
  <c r="D836" i="4"/>
  <c r="E836" i="4"/>
  <c r="G836" i="4"/>
  <c r="J836" i="4"/>
  <c r="K836" i="4"/>
  <c r="M836" i="4"/>
  <c r="N836" i="4"/>
  <c r="P836" i="4"/>
  <c r="Q836" i="4"/>
  <c r="S836" i="4"/>
  <c r="T836" i="4"/>
  <c r="V836" i="4"/>
  <c r="W836" i="4"/>
  <c r="D837" i="4"/>
  <c r="E837" i="4"/>
  <c r="J837" i="4"/>
  <c r="M837" i="4"/>
  <c r="P837" i="4"/>
  <c r="S837" i="4"/>
  <c r="V837" i="4"/>
  <c r="D838" i="4"/>
  <c r="E838" i="4"/>
  <c r="G838" i="4"/>
  <c r="J838" i="4"/>
  <c r="K838" i="4"/>
  <c r="M838" i="4"/>
  <c r="N838" i="4"/>
  <c r="P838" i="4"/>
  <c r="Q838" i="4"/>
  <c r="S838" i="4"/>
  <c r="T838" i="4"/>
  <c r="V838" i="4"/>
  <c r="W838" i="4"/>
  <c r="D839" i="4"/>
  <c r="E839" i="4"/>
  <c r="J839" i="4"/>
  <c r="M839" i="4"/>
  <c r="P839" i="4"/>
  <c r="S839" i="4"/>
  <c r="V839" i="4"/>
  <c r="D840" i="4"/>
  <c r="E840" i="4"/>
  <c r="G840" i="4"/>
  <c r="J840" i="4"/>
  <c r="K840" i="4"/>
  <c r="M840" i="4"/>
  <c r="N840" i="4"/>
  <c r="P840" i="4"/>
  <c r="Q840" i="4"/>
  <c r="S840" i="4"/>
  <c r="T840" i="4"/>
  <c r="V840" i="4"/>
  <c r="W840" i="4"/>
  <c r="D841" i="4"/>
  <c r="E841" i="4"/>
  <c r="J841" i="4"/>
  <c r="M841" i="4"/>
  <c r="P841" i="4"/>
  <c r="S841" i="4"/>
  <c r="V841" i="4"/>
  <c r="D842" i="4"/>
  <c r="E842" i="4"/>
  <c r="G842" i="4"/>
  <c r="J842" i="4"/>
  <c r="K842" i="4"/>
  <c r="M842" i="4"/>
  <c r="N842" i="4"/>
  <c r="P842" i="4"/>
  <c r="Q842" i="4"/>
  <c r="S842" i="4"/>
  <c r="T842" i="4"/>
  <c r="V842" i="4"/>
  <c r="W842" i="4"/>
  <c r="D843" i="4"/>
  <c r="E843" i="4"/>
  <c r="G843" i="4"/>
  <c r="H843" i="4"/>
  <c r="J843" i="4"/>
  <c r="K843" i="4"/>
  <c r="M843" i="4"/>
  <c r="N843" i="4"/>
  <c r="P843" i="4"/>
  <c r="Q843" i="4"/>
  <c r="S843" i="4"/>
  <c r="T843" i="4"/>
  <c r="V843" i="4"/>
  <c r="W843" i="4"/>
  <c r="D844" i="4"/>
  <c r="E844" i="4"/>
  <c r="G844" i="4"/>
  <c r="J844" i="4"/>
  <c r="K844" i="4"/>
  <c r="M844" i="4"/>
  <c r="N844" i="4"/>
  <c r="P844" i="4"/>
  <c r="Q844" i="4"/>
  <c r="S844" i="4"/>
  <c r="T844" i="4"/>
  <c r="V844" i="4"/>
  <c r="W844" i="4"/>
  <c r="D845" i="4"/>
  <c r="E845" i="4"/>
  <c r="G845" i="4"/>
  <c r="J845" i="4"/>
  <c r="K845" i="4"/>
  <c r="M845" i="4"/>
  <c r="N845" i="4"/>
  <c r="P845" i="4"/>
  <c r="Q845" i="4"/>
  <c r="S845" i="4"/>
  <c r="T845" i="4"/>
  <c r="V845" i="4"/>
  <c r="W845" i="4"/>
  <c r="D846" i="4"/>
  <c r="E846" i="4"/>
  <c r="G846" i="4"/>
  <c r="J846" i="4"/>
  <c r="K846" i="4"/>
  <c r="M846" i="4"/>
  <c r="N846" i="4"/>
  <c r="P846" i="4"/>
  <c r="Q846" i="4"/>
  <c r="S846" i="4"/>
  <c r="T846" i="4"/>
  <c r="V846" i="4"/>
  <c r="W846" i="4"/>
  <c r="D847" i="4"/>
  <c r="E847" i="4"/>
  <c r="G847" i="4"/>
  <c r="J847" i="4"/>
  <c r="K847" i="4"/>
  <c r="M847" i="4"/>
  <c r="N847" i="4"/>
  <c r="P847" i="4"/>
  <c r="Q847" i="4"/>
  <c r="S847" i="4"/>
  <c r="T847" i="4"/>
  <c r="V847" i="4"/>
  <c r="W847" i="4"/>
  <c r="D848" i="4"/>
  <c r="E848" i="4"/>
  <c r="G848" i="4"/>
  <c r="J848" i="4"/>
  <c r="K848" i="4"/>
  <c r="M848" i="4"/>
  <c r="N848" i="4"/>
  <c r="P848" i="4"/>
  <c r="Q848" i="4"/>
  <c r="S848" i="4"/>
  <c r="T848" i="4"/>
  <c r="V848" i="4"/>
  <c r="W848" i="4"/>
  <c r="D849" i="4"/>
  <c r="E849" i="4"/>
  <c r="G849" i="4"/>
  <c r="J849" i="4"/>
  <c r="K849" i="4"/>
  <c r="M849" i="4"/>
  <c r="N849" i="4"/>
  <c r="P849" i="4"/>
  <c r="Q849" i="4"/>
  <c r="S849" i="4"/>
  <c r="T849" i="4"/>
  <c r="V849" i="4"/>
  <c r="W849" i="4"/>
  <c r="D850" i="4"/>
  <c r="E850" i="4"/>
  <c r="J850" i="4"/>
  <c r="M850" i="4"/>
  <c r="P850" i="4"/>
  <c r="S850" i="4"/>
  <c r="V850" i="4"/>
  <c r="D851" i="4"/>
  <c r="E851" i="4"/>
  <c r="G851" i="4"/>
  <c r="J851" i="4"/>
  <c r="K851" i="4"/>
  <c r="M851" i="4"/>
  <c r="N851" i="4"/>
  <c r="P851" i="4"/>
  <c r="Q851" i="4"/>
  <c r="S851" i="4"/>
  <c r="T851" i="4"/>
  <c r="V851" i="4"/>
  <c r="W851" i="4"/>
  <c r="D852" i="4"/>
  <c r="E852" i="4"/>
  <c r="G852" i="4"/>
  <c r="J852" i="4"/>
  <c r="K852" i="4"/>
  <c r="M852" i="4"/>
  <c r="N852" i="4"/>
  <c r="P852" i="4"/>
  <c r="Q852" i="4"/>
  <c r="S852" i="4"/>
  <c r="T852" i="4"/>
  <c r="V852" i="4"/>
  <c r="W852" i="4"/>
  <c r="D853" i="4"/>
  <c r="E853" i="4"/>
  <c r="G853" i="4"/>
  <c r="J853" i="4"/>
  <c r="K853" i="4"/>
  <c r="M853" i="4"/>
  <c r="N853" i="4"/>
  <c r="P853" i="4"/>
  <c r="Q853" i="4"/>
  <c r="S853" i="4"/>
  <c r="T853" i="4"/>
  <c r="V853" i="4"/>
  <c r="W853" i="4"/>
  <c r="D854" i="4"/>
  <c r="E854" i="4"/>
  <c r="G854" i="4"/>
  <c r="H854" i="4"/>
  <c r="N854" i="4"/>
  <c r="M854" i="4"/>
  <c r="J854" i="4"/>
  <c r="K854" i="4"/>
  <c r="P854" i="4"/>
  <c r="Q854" i="4"/>
  <c r="S854" i="4"/>
  <c r="T854" i="4"/>
  <c r="V854" i="4"/>
  <c r="W854" i="4"/>
  <c r="D855" i="4"/>
  <c r="E855" i="4"/>
  <c r="J855" i="4"/>
  <c r="M855" i="4"/>
  <c r="P855" i="4"/>
  <c r="S855" i="4"/>
  <c r="V855" i="4"/>
  <c r="D856" i="4"/>
  <c r="E856" i="4"/>
  <c r="G856" i="4"/>
  <c r="J856" i="4"/>
  <c r="K856" i="4"/>
  <c r="M856" i="4"/>
  <c r="N856" i="4"/>
  <c r="P856" i="4"/>
  <c r="Q856" i="4"/>
  <c r="S856" i="4"/>
  <c r="T856" i="4"/>
  <c r="V856" i="4"/>
  <c r="W856" i="4"/>
  <c r="D857" i="4"/>
  <c r="E857" i="4"/>
  <c r="G857" i="4"/>
  <c r="J857" i="4"/>
  <c r="K857" i="4"/>
  <c r="M857" i="4"/>
  <c r="N857" i="4"/>
  <c r="P857" i="4"/>
  <c r="Q857" i="4"/>
  <c r="S857" i="4"/>
  <c r="T857" i="4"/>
  <c r="V857" i="4"/>
  <c r="W857" i="4"/>
  <c r="D858" i="4"/>
  <c r="E858" i="4"/>
  <c r="G858" i="4"/>
  <c r="J858" i="4"/>
  <c r="K858" i="4"/>
  <c r="M858" i="4"/>
  <c r="N858" i="4"/>
  <c r="P858" i="4"/>
  <c r="Q858" i="4"/>
  <c r="S858" i="4"/>
  <c r="T858" i="4"/>
  <c r="V858" i="4"/>
  <c r="W858" i="4"/>
  <c r="D859" i="4"/>
  <c r="E859" i="4"/>
  <c r="G859" i="4"/>
  <c r="H859" i="4"/>
  <c r="J859" i="4"/>
  <c r="K859" i="4"/>
  <c r="M859" i="4"/>
  <c r="N859" i="4"/>
  <c r="P859" i="4"/>
  <c r="Q859" i="4"/>
  <c r="S859" i="4"/>
  <c r="T859" i="4"/>
  <c r="V859" i="4"/>
  <c r="W859" i="4"/>
  <c r="D860" i="4"/>
  <c r="E860" i="4"/>
  <c r="G860" i="4"/>
  <c r="J860" i="4"/>
  <c r="K860" i="4"/>
  <c r="M860" i="4"/>
  <c r="N860" i="4"/>
  <c r="P860" i="4"/>
  <c r="Q860" i="4"/>
  <c r="S860" i="4"/>
  <c r="T860" i="4"/>
  <c r="V860" i="4"/>
  <c r="W860" i="4"/>
  <c r="D861" i="4"/>
  <c r="E861" i="4"/>
  <c r="G861" i="4"/>
  <c r="J861" i="4"/>
  <c r="K861" i="4"/>
  <c r="M861" i="4"/>
  <c r="N861" i="4"/>
  <c r="P861" i="4"/>
  <c r="Q861" i="4"/>
  <c r="S861" i="4"/>
  <c r="T861" i="4"/>
  <c r="V861" i="4"/>
  <c r="W861" i="4"/>
  <c r="D862" i="4"/>
  <c r="E862" i="4"/>
  <c r="G862" i="4"/>
  <c r="J862" i="4"/>
  <c r="K862" i="4"/>
  <c r="M862" i="4"/>
  <c r="N862" i="4"/>
  <c r="P862" i="4"/>
  <c r="Q862" i="4"/>
  <c r="S862" i="4"/>
  <c r="T862" i="4"/>
  <c r="V862" i="4"/>
  <c r="W862" i="4"/>
  <c r="D863" i="4"/>
  <c r="E863" i="4"/>
  <c r="G863" i="4"/>
  <c r="J863" i="4"/>
  <c r="K863" i="4"/>
  <c r="M863" i="4"/>
  <c r="N863" i="4"/>
  <c r="P863" i="4"/>
  <c r="Q863" i="4"/>
  <c r="S863" i="4"/>
  <c r="T863" i="4"/>
  <c r="V863" i="4"/>
  <c r="W863" i="4"/>
  <c r="D864" i="4"/>
  <c r="E864" i="4"/>
  <c r="J864" i="4"/>
  <c r="M864" i="4"/>
  <c r="P864" i="4"/>
  <c r="S864" i="4"/>
  <c r="V864" i="4"/>
  <c r="D865" i="4"/>
  <c r="E865" i="4"/>
  <c r="J865" i="4"/>
  <c r="M865" i="4"/>
  <c r="P865" i="4"/>
  <c r="S865" i="4"/>
  <c r="V865" i="4"/>
  <c r="D761" i="4"/>
  <c r="E761" i="4"/>
  <c r="G761" i="4"/>
  <c r="J761" i="4"/>
  <c r="K761" i="4"/>
  <c r="M761" i="4"/>
  <c r="N761" i="4"/>
  <c r="P761" i="4"/>
  <c r="Q761" i="4"/>
  <c r="S761" i="4"/>
  <c r="T761" i="4"/>
  <c r="V761" i="4"/>
  <c r="W761" i="4"/>
  <c r="D762" i="4"/>
  <c r="E762" i="4"/>
  <c r="G762" i="4"/>
  <c r="J762" i="4"/>
  <c r="K762" i="4"/>
  <c r="M762" i="4"/>
  <c r="N762" i="4"/>
  <c r="P762" i="4"/>
  <c r="Q762" i="4"/>
  <c r="S762" i="4"/>
  <c r="T762" i="4"/>
  <c r="V762" i="4"/>
  <c r="W762" i="4"/>
  <c r="D763" i="4"/>
  <c r="E763" i="4"/>
  <c r="G763" i="4"/>
  <c r="J763" i="4"/>
  <c r="K763" i="4"/>
  <c r="M763" i="4"/>
  <c r="N763" i="4"/>
  <c r="P763" i="4"/>
  <c r="Q763" i="4"/>
  <c r="S763" i="4"/>
  <c r="T763" i="4"/>
  <c r="V763" i="4"/>
  <c r="W763" i="4"/>
  <c r="D764" i="4"/>
  <c r="E764" i="4"/>
  <c r="G764" i="4"/>
  <c r="J764" i="4"/>
  <c r="K764" i="4"/>
  <c r="M764" i="4"/>
  <c r="N764" i="4"/>
  <c r="P764" i="4"/>
  <c r="Q764" i="4"/>
  <c r="S764" i="4"/>
  <c r="T764" i="4"/>
  <c r="V764" i="4"/>
  <c r="W764" i="4"/>
  <c r="D765" i="4"/>
  <c r="E765" i="4"/>
  <c r="J765" i="4"/>
  <c r="M765" i="4"/>
  <c r="P765" i="4"/>
  <c r="S765" i="4"/>
  <c r="V765" i="4"/>
  <c r="D766" i="4"/>
  <c r="E766" i="4"/>
  <c r="G766" i="4"/>
  <c r="J766" i="4"/>
  <c r="K766" i="4"/>
  <c r="M766" i="4"/>
  <c r="N766" i="4"/>
  <c r="P766" i="4"/>
  <c r="Q766" i="4"/>
  <c r="S766" i="4"/>
  <c r="T766" i="4"/>
  <c r="V766" i="4"/>
  <c r="W766" i="4"/>
  <c r="D767" i="4"/>
  <c r="E767" i="4"/>
  <c r="J767" i="4"/>
  <c r="M767" i="4"/>
  <c r="P767" i="4"/>
  <c r="S767" i="4"/>
  <c r="V767" i="4"/>
  <c r="D768" i="4"/>
  <c r="E768" i="4"/>
  <c r="G768" i="4"/>
  <c r="J768" i="4"/>
  <c r="K768" i="4"/>
  <c r="M768" i="4"/>
  <c r="N768" i="4"/>
  <c r="P768" i="4"/>
  <c r="Q768" i="4"/>
  <c r="S768" i="4"/>
  <c r="T768" i="4"/>
  <c r="V768" i="4"/>
  <c r="W768" i="4"/>
  <c r="D769" i="4"/>
  <c r="E769" i="4"/>
  <c r="J769" i="4"/>
  <c r="M769" i="4"/>
  <c r="P769" i="4"/>
  <c r="S769" i="4"/>
  <c r="V769" i="4"/>
  <c r="D770" i="4"/>
  <c r="E770" i="4"/>
  <c r="G770" i="4"/>
  <c r="J770" i="4"/>
  <c r="K770" i="4"/>
  <c r="M770" i="4"/>
  <c r="N770" i="4"/>
  <c r="P770" i="4"/>
  <c r="Q770" i="4"/>
  <c r="S770" i="4"/>
  <c r="T770" i="4"/>
  <c r="V770" i="4"/>
  <c r="W770" i="4"/>
  <c r="D771" i="4"/>
  <c r="E771" i="4"/>
  <c r="G771" i="4"/>
  <c r="H771" i="4"/>
  <c r="J771" i="4"/>
  <c r="K771" i="4"/>
  <c r="M771" i="4"/>
  <c r="O771" i="4" s="1"/>
  <c r="N771" i="4"/>
  <c r="P771" i="4"/>
  <c r="Q771" i="4"/>
  <c r="S771" i="4"/>
  <c r="T771" i="4"/>
  <c r="V771" i="4"/>
  <c r="W771" i="4"/>
  <c r="D772" i="4"/>
  <c r="E772" i="4"/>
  <c r="G772" i="4"/>
  <c r="J772" i="4"/>
  <c r="K772" i="4"/>
  <c r="M772" i="4"/>
  <c r="N772" i="4"/>
  <c r="P772" i="4"/>
  <c r="Q772" i="4"/>
  <c r="S772" i="4"/>
  <c r="T772" i="4"/>
  <c r="V772" i="4"/>
  <c r="W772" i="4"/>
  <c r="D773" i="4"/>
  <c r="E773" i="4"/>
  <c r="G773" i="4"/>
  <c r="J773" i="4"/>
  <c r="K773" i="4"/>
  <c r="M773" i="4"/>
  <c r="N773" i="4"/>
  <c r="P773" i="4"/>
  <c r="Q773" i="4"/>
  <c r="S773" i="4"/>
  <c r="T773" i="4"/>
  <c r="V773" i="4"/>
  <c r="W773" i="4"/>
  <c r="D774" i="4"/>
  <c r="E774" i="4"/>
  <c r="G774" i="4"/>
  <c r="J774" i="4"/>
  <c r="K774" i="4"/>
  <c r="M774" i="4"/>
  <c r="N774" i="4"/>
  <c r="P774" i="4"/>
  <c r="Q774" i="4"/>
  <c r="S774" i="4"/>
  <c r="T774" i="4"/>
  <c r="V774" i="4"/>
  <c r="W774" i="4"/>
  <c r="D775" i="4"/>
  <c r="E775" i="4"/>
  <c r="G775" i="4"/>
  <c r="J775" i="4"/>
  <c r="K775" i="4"/>
  <c r="M775" i="4"/>
  <c r="N775" i="4"/>
  <c r="P775" i="4"/>
  <c r="Q775" i="4"/>
  <c r="S775" i="4"/>
  <c r="T775" i="4"/>
  <c r="V775" i="4"/>
  <c r="W775" i="4"/>
  <c r="D776" i="4"/>
  <c r="E776" i="4"/>
  <c r="G776" i="4"/>
  <c r="J776" i="4"/>
  <c r="K776" i="4"/>
  <c r="M776" i="4"/>
  <c r="N776" i="4"/>
  <c r="P776" i="4"/>
  <c r="Q776" i="4"/>
  <c r="S776" i="4"/>
  <c r="T776" i="4"/>
  <c r="V776" i="4"/>
  <c r="W776" i="4"/>
  <c r="D777" i="4"/>
  <c r="E777" i="4"/>
  <c r="G777" i="4"/>
  <c r="J777" i="4"/>
  <c r="K777" i="4"/>
  <c r="M777" i="4"/>
  <c r="N777" i="4"/>
  <c r="P777" i="4"/>
  <c r="Q777" i="4"/>
  <c r="S777" i="4"/>
  <c r="T777" i="4"/>
  <c r="V777" i="4"/>
  <c r="W777" i="4"/>
  <c r="D778" i="4"/>
  <c r="E778" i="4"/>
  <c r="J778" i="4"/>
  <c r="M778" i="4"/>
  <c r="P778" i="4"/>
  <c r="S778" i="4"/>
  <c r="V778" i="4"/>
  <c r="D779" i="4"/>
  <c r="E779" i="4"/>
  <c r="G779" i="4"/>
  <c r="J779" i="4"/>
  <c r="K779" i="4"/>
  <c r="M779" i="4"/>
  <c r="N779" i="4"/>
  <c r="P779" i="4"/>
  <c r="Q779" i="4"/>
  <c r="S779" i="4"/>
  <c r="T779" i="4"/>
  <c r="V779" i="4"/>
  <c r="W779" i="4"/>
  <c r="D780" i="4"/>
  <c r="E780" i="4"/>
  <c r="G780" i="4"/>
  <c r="J780" i="4"/>
  <c r="K780" i="4"/>
  <c r="M780" i="4"/>
  <c r="N780" i="4"/>
  <c r="P780" i="4"/>
  <c r="Q780" i="4"/>
  <c r="S780" i="4"/>
  <c r="T780" i="4"/>
  <c r="V780" i="4"/>
  <c r="W780" i="4"/>
  <c r="D781" i="4"/>
  <c r="E781" i="4"/>
  <c r="G781" i="4"/>
  <c r="J781" i="4"/>
  <c r="K781" i="4"/>
  <c r="M781" i="4"/>
  <c r="N781" i="4"/>
  <c r="P781" i="4"/>
  <c r="Q781" i="4"/>
  <c r="S781" i="4"/>
  <c r="T781" i="4"/>
  <c r="V781" i="4"/>
  <c r="W781" i="4"/>
  <c r="D782" i="4"/>
  <c r="E782" i="4"/>
  <c r="G782" i="4"/>
  <c r="H782" i="4"/>
  <c r="J782" i="4"/>
  <c r="K782" i="4"/>
  <c r="M782" i="4"/>
  <c r="N782" i="4"/>
  <c r="P782" i="4"/>
  <c r="Q782" i="4"/>
  <c r="S782" i="4"/>
  <c r="T782" i="4"/>
  <c r="V782" i="4"/>
  <c r="W782" i="4"/>
  <c r="D783" i="4"/>
  <c r="E783" i="4"/>
  <c r="J783" i="4"/>
  <c r="M783" i="4"/>
  <c r="P783" i="4"/>
  <c r="S783" i="4"/>
  <c r="V783" i="4"/>
  <c r="D784" i="4"/>
  <c r="E784" i="4"/>
  <c r="G784" i="4"/>
  <c r="J784" i="4"/>
  <c r="K784" i="4"/>
  <c r="M784" i="4"/>
  <c r="N784" i="4"/>
  <c r="P784" i="4"/>
  <c r="Q784" i="4"/>
  <c r="S784" i="4"/>
  <c r="T784" i="4"/>
  <c r="V784" i="4"/>
  <c r="W784" i="4"/>
  <c r="D785" i="4"/>
  <c r="E785" i="4"/>
  <c r="G785" i="4"/>
  <c r="J785" i="4"/>
  <c r="K785" i="4"/>
  <c r="M785" i="4"/>
  <c r="N785" i="4"/>
  <c r="P785" i="4"/>
  <c r="Q785" i="4"/>
  <c r="S785" i="4"/>
  <c r="T785" i="4"/>
  <c r="V785" i="4"/>
  <c r="W785" i="4"/>
  <c r="D786" i="4"/>
  <c r="E786" i="4"/>
  <c r="G786" i="4"/>
  <c r="J786" i="4"/>
  <c r="K786" i="4"/>
  <c r="M786" i="4"/>
  <c r="N786" i="4"/>
  <c r="P786" i="4"/>
  <c r="Q786" i="4"/>
  <c r="S786" i="4"/>
  <c r="T786" i="4"/>
  <c r="V786" i="4"/>
  <c r="W786" i="4"/>
  <c r="D787" i="4"/>
  <c r="E787" i="4"/>
  <c r="G787" i="4"/>
  <c r="H787" i="4"/>
  <c r="J787" i="4"/>
  <c r="K787" i="4"/>
  <c r="M787" i="4"/>
  <c r="N787" i="4"/>
  <c r="P787" i="4"/>
  <c r="Q787" i="4"/>
  <c r="S787" i="4"/>
  <c r="T787" i="4"/>
  <c r="V787" i="4"/>
  <c r="W787" i="4"/>
  <c r="D788" i="4"/>
  <c r="E788" i="4"/>
  <c r="G788" i="4"/>
  <c r="J788" i="4"/>
  <c r="K788" i="4"/>
  <c r="M788" i="4"/>
  <c r="N788" i="4"/>
  <c r="P788" i="4"/>
  <c r="Q788" i="4"/>
  <c r="S788" i="4"/>
  <c r="T788" i="4"/>
  <c r="V788" i="4"/>
  <c r="W788" i="4"/>
  <c r="D789" i="4"/>
  <c r="E789" i="4"/>
  <c r="G789" i="4"/>
  <c r="J789" i="4"/>
  <c r="K789" i="4"/>
  <c r="M789" i="4"/>
  <c r="N789" i="4"/>
  <c r="P789" i="4"/>
  <c r="Q789" i="4"/>
  <c r="S789" i="4"/>
  <c r="T789" i="4"/>
  <c r="V789" i="4"/>
  <c r="W789" i="4"/>
  <c r="D790" i="4"/>
  <c r="E790" i="4"/>
  <c r="G790" i="4"/>
  <c r="J790" i="4"/>
  <c r="K790" i="4"/>
  <c r="M790" i="4"/>
  <c r="N790" i="4"/>
  <c r="P790" i="4"/>
  <c r="Q790" i="4"/>
  <c r="S790" i="4"/>
  <c r="T790" i="4"/>
  <c r="V790" i="4"/>
  <c r="W790" i="4"/>
  <c r="D791" i="4"/>
  <c r="E791" i="4"/>
  <c r="G791" i="4"/>
  <c r="J791" i="4"/>
  <c r="K791" i="4"/>
  <c r="M791" i="4"/>
  <c r="N791" i="4"/>
  <c r="P791" i="4"/>
  <c r="Q791" i="4"/>
  <c r="S791" i="4"/>
  <c r="T791" i="4"/>
  <c r="V791" i="4"/>
  <c r="W791" i="4"/>
  <c r="D792" i="4"/>
  <c r="E792" i="4"/>
  <c r="J792" i="4"/>
  <c r="M792" i="4"/>
  <c r="P792" i="4"/>
  <c r="S792" i="4"/>
  <c r="V792" i="4"/>
  <c r="D793" i="4"/>
  <c r="E793" i="4"/>
  <c r="J793" i="4"/>
  <c r="M793" i="4"/>
  <c r="P793" i="4"/>
  <c r="S793" i="4"/>
  <c r="V793" i="4"/>
  <c r="D687" i="4"/>
  <c r="E687" i="4"/>
  <c r="G687" i="4"/>
  <c r="J687" i="4"/>
  <c r="K687" i="4"/>
  <c r="M687" i="4"/>
  <c r="N687" i="4"/>
  <c r="P687" i="4"/>
  <c r="Q687" i="4"/>
  <c r="S687" i="4"/>
  <c r="T687" i="4"/>
  <c r="V687" i="4"/>
  <c r="W687" i="4"/>
  <c r="D688" i="4"/>
  <c r="E688" i="4"/>
  <c r="G688" i="4"/>
  <c r="J688" i="4"/>
  <c r="K688" i="4"/>
  <c r="M688" i="4"/>
  <c r="N688" i="4"/>
  <c r="P688" i="4"/>
  <c r="Q688" i="4"/>
  <c r="S688" i="4"/>
  <c r="T688" i="4"/>
  <c r="V688" i="4"/>
  <c r="W688" i="4"/>
  <c r="D689" i="4"/>
  <c r="E689" i="4"/>
  <c r="G689" i="4"/>
  <c r="J689" i="4"/>
  <c r="K689" i="4"/>
  <c r="M689" i="4"/>
  <c r="N689" i="4"/>
  <c r="P689" i="4"/>
  <c r="Q689" i="4"/>
  <c r="S689" i="4"/>
  <c r="T689" i="4"/>
  <c r="V689" i="4"/>
  <c r="W689" i="4"/>
  <c r="D690" i="4"/>
  <c r="E690" i="4"/>
  <c r="G690" i="4"/>
  <c r="J690" i="4"/>
  <c r="K690" i="4"/>
  <c r="M690" i="4"/>
  <c r="N690" i="4"/>
  <c r="P690" i="4"/>
  <c r="Q690" i="4"/>
  <c r="S690" i="4"/>
  <c r="T690" i="4"/>
  <c r="V690" i="4"/>
  <c r="W690" i="4"/>
  <c r="D691" i="4"/>
  <c r="E691" i="4"/>
  <c r="J691" i="4"/>
  <c r="M691" i="4"/>
  <c r="P691" i="4"/>
  <c r="S691" i="4"/>
  <c r="V691" i="4"/>
  <c r="D692" i="4"/>
  <c r="E692" i="4"/>
  <c r="G692" i="4"/>
  <c r="J692" i="4"/>
  <c r="K692" i="4"/>
  <c r="M692" i="4"/>
  <c r="N692" i="4"/>
  <c r="P692" i="4"/>
  <c r="Q692" i="4"/>
  <c r="S692" i="4"/>
  <c r="T692" i="4"/>
  <c r="V692" i="4"/>
  <c r="W692" i="4"/>
  <c r="D693" i="4"/>
  <c r="E693" i="4"/>
  <c r="J693" i="4"/>
  <c r="M693" i="4"/>
  <c r="P693" i="4"/>
  <c r="S693" i="4"/>
  <c r="V693" i="4"/>
  <c r="D694" i="4"/>
  <c r="E694" i="4"/>
  <c r="G694" i="4"/>
  <c r="J694" i="4"/>
  <c r="K694" i="4"/>
  <c r="M694" i="4"/>
  <c r="N694" i="4"/>
  <c r="P694" i="4"/>
  <c r="Q694" i="4"/>
  <c r="S694" i="4"/>
  <c r="T694" i="4"/>
  <c r="V694" i="4"/>
  <c r="W694" i="4"/>
  <c r="D695" i="4"/>
  <c r="E695" i="4"/>
  <c r="J695" i="4"/>
  <c r="M695" i="4"/>
  <c r="P695" i="4"/>
  <c r="S695" i="4"/>
  <c r="V695" i="4"/>
  <c r="D696" i="4"/>
  <c r="E696" i="4"/>
  <c r="G696" i="4"/>
  <c r="J696" i="4"/>
  <c r="K696" i="4"/>
  <c r="M696" i="4"/>
  <c r="N696" i="4"/>
  <c r="P696" i="4"/>
  <c r="Q696" i="4"/>
  <c r="S696" i="4"/>
  <c r="T696" i="4"/>
  <c r="V696" i="4"/>
  <c r="W696" i="4"/>
  <c r="D697" i="4"/>
  <c r="E697" i="4"/>
  <c r="G697" i="4"/>
  <c r="H697" i="4"/>
  <c r="J697" i="4"/>
  <c r="K697" i="4"/>
  <c r="M697" i="4"/>
  <c r="N697" i="4"/>
  <c r="P697" i="4"/>
  <c r="Q697" i="4"/>
  <c r="S697" i="4"/>
  <c r="T697" i="4"/>
  <c r="V697" i="4"/>
  <c r="W697" i="4"/>
  <c r="D698" i="4"/>
  <c r="E698" i="4"/>
  <c r="G698" i="4"/>
  <c r="J698" i="4"/>
  <c r="K698" i="4"/>
  <c r="M698" i="4"/>
  <c r="N698" i="4"/>
  <c r="P698" i="4"/>
  <c r="Q698" i="4"/>
  <c r="S698" i="4"/>
  <c r="T698" i="4"/>
  <c r="V698" i="4"/>
  <c r="W698" i="4"/>
  <c r="D699" i="4"/>
  <c r="E699" i="4"/>
  <c r="G699" i="4"/>
  <c r="J699" i="4"/>
  <c r="K699" i="4"/>
  <c r="M699" i="4"/>
  <c r="N699" i="4"/>
  <c r="P699" i="4"/>
  <c r="Q699" i="4"/>
  <c r="S699" i="4"/>
  <c r="T699" i="4"/>
  <c r="V699" i="4"/>
  <c r="W699" i="4"/>
  <c r="D700" i="4"/>
  <c r="E700" i="4"/>
  <c r="G700" i="4"/>
  <c r="J700" i="4"/>
  <c r="K700" i="4"/>
  <c r="M700" i="4"/>
  <c r="N700" i="4"/>
  <c r="P700" i="4"/>
  <c r="Q700" i="4"/>
  <c r="S700" i="4"/>
  <c r="T700" i="4"/>
  <c r="V700" i="4"/>
  <c r="W700" i="4"/>
  <c r="D701" i="4"/>
  <c r="E701" i="4"/>
  <c r="G701" i="4"/>
  <c r="J701" i="4"/>
  <c r="K701" i="4"/>
  <c r="M701" i="4"/>
  <c r="N701" i="4"/>
  <c r="P701" i="4"/>
  <c r="Q701" i="4"/>
  <c r="S701" i="4"/>
  <c r="T701" i="4"/>
  <c r="V701" i="4"/>
  <c r="W701" i="4"/>
  <c r="D702" i="4"/>
  <c r="E702" i="4"/>
  <c r="G702" i="4"/>
  <c r="J702" i="4"/>
  <c r="K702" i="4"/>
  <c r="M702" i="4"/>
  <c r="N702" i="4"/>
  <c r="P702" i="4"/>
  <c r="Q702" i="4"/>
  <c r="S702" i="4"/>
  <c r="T702" i="4"/>
  <c r="V702" i="4"/>
  <c r="W702" i="4"/>
  <c r="D703" i="4"/>
  <c r="E703" i="4"/>
  <c r="G703" i="4"/>
  <c r="J703" i="4"/>
  <c r="K703" i="4"/>
  <c r="M703" i="4"/>
  <c r="N703" i="4"/>
  <c r="P703" i="4"/>
  <c r="Q703" i="4"/>
  <c r="S703" i="4"/>
  <c r="T703" i="4"/>
  <c r="V703" i="4"/>
  <c r="W703" i="4"/>
  <c r="D704" i="4"/>
  <c r="E704" i="4"/>
  <c r="J704" i="4"/>
  <c r="M704" i="4"/>
  <c r="P704" i="4"/>
  <c r="S704" i="4"/>
  <c r="V704" i="4"/>
  <c r="D705" i="4"/>
  <c r="E705" i="4"/>
  <c r="G705" i="4"/>
  <c r="J705" i="4"/>
  <c r="K705" i="4"/>
  <c r="M705" i="4"/>
  <c r="N705" i="4"/>
  <c r="P705" i="4"/>
  <c r="Q705" i="4"/>
  <c r="S705" i="4"/>
  <c r="T705" i="4"/>
  <c r="V705" i="4"/>
  <c r="W705" i="4"/>
  <c r="D706" i="4"/>
  <c r="E706" i="4"/>
  <c r="G706" i="4"/>
  <c r="J706" i="4"/>
  <c r="K706" i="4"/>
  <c r="M706" i="4"/>
  <c r="N706" i="4"/>
  <c r="P706" i="4"/>
  <c r="Q706" i="4"/>
  <c r="S706" i="4"/>
  <c r="T706" i="4"/>
  <c r="V706" i="4"/>
  <c r="W706" i="4"/>
  <c r="D707" i="4"/>
  <c r="E707" i="4"/>
  <c r="G707" i="4"/>
  <c r="J707" i="4"/>
  <c r="K707" i="4"/>
  <c r="M707" i="4"/>
  <c r="N707" i="4"/>
  <c r="P707" i="4"/>
  <c r="Q707" i="4"/>
  <c r="S707" i="4"/>
  <c r="T707" i="4"/>
  <c r="V707" i="4"/>
  <c r="W707" i="4"/>
  <c r="D708" i="4"/>
  <c r="E708" i="4"/>
  <c r="G708" i="4"/>
  <c r="H708" i="4"/>
  <c r="J708" i="4"/>
  <c r="K708" i="4"/>
  <c r="M708" i="4"/>
  <c r="N708" i="4"/>
  <c r="P708" i="4"/>
  <c r="Q708" i="4"/>
  <c r="S708" i="4"/>
  <c r="T708" i="4"/>
  <c r="V708" i="4"/>
  <c r="W708" i="4"/>
  <c r="D709" i="4"/>
  <c r="E709" i="4"/>
  <c r="J709" i="4"/>
  <c r="M709" i="4"/>
  <c r="P709" i="4"/>
  <c r="S709" i="4"/>
  <c r="V709" i="4"/>
  <c r="D710" i="4"/>
  <c r="E710" i="4"/>
  <c r="G710" i="4"/>
  <c r="J710" i="4"/>
  <c r="K710" i="4"/>
  <c r="M710" i="4"/>
  <c r="N710" i="4"/>
  <c r="P710" i="4"/>
  <c r="Q710" i="4"/>
  <c r="S710" i="4"/>
  <c r="T710" i="4"/>
  <c r="V710" i="4"/>
  <c r="W710" i="4"/>
  <c r="D711" i="4"/>
  <c r="E711" i="4"/>
  <c r="G711" i="4"/>
  <c r="J711" i="4"/>
  <c r="K711" i="4"/>
  <c r="M711" i="4"/>
  <c r="N711" i="4"/>
  <c r="P711" i="4"/>
  <c r="Q711" i="4"/>
  <c r="S711" i="4"/>
  <c r="T711" i="4"/>
  <c r="V711" i="4"/>
  <c r="W711" i="4"/>
  <c r="D712" i="4"/>
  <c r="E712" i="4"/>
  <c r="G712" i="4"/>
  <c r="J712" i="4"/>
  <c r="K712" i="4"/>
  <c r="M712" i="4"/>
  <c r="N712" i="4"/>
  <c r="P712" i="4"/>
  <c r="Q712" i="4"/>
  <c r="S712" i="4"/>
  <c r="T712" i="4"/>
  <c r="V712" i="4"/>
  <c r="W712" i="4"/>
  <c r="D713" i="4"/>
  <c r="E713" i="4"/>
  <c r="G713" i="4"/>
  <c r="H713" i="4"/>
  <c r="J713" i="4"/>
  <c r="K713" i="4"/>
  <c r="M713" i="4"/>
  <c r="N713" i="4"/>
  <c r="P713" i="4"/>
  <c r="Q713" i="4"/>
  <c r="S713" i="4"/>
  <c r="T713" i="4"/>
  <c r="V713" i="4"/>
  <c r="W713" i="4"/>
  <c r="D714" i="4"/>
  <c r="E714" i="4"/>
  <c r="G714" i="4"/>
  <c r="J714" i="4"/>
  <c r="K714" i="4"/>
  <c r="M714" i="4"/>
  <c r="N714" i="4"/>
  <c r="P714" i="4"/>
  <c r="Q714" i="4"/>
  <c r="S714" i="4"/>
  <c r="T714" i="4"/>
  <c r="V714" i="4"/>
  <c r="W714" i="4"/>
  <c r="D715" i="4"/>
  <c r="E715" i="4"/>
  <c r="G715" i="4"/>
  <c r="J715" i="4"/>
  <c r="K715" i="4"/>
  <c r="M715" i="4"/>
  <c r="N715" i="4"/>
  <c r="P715" i="4"/>
  <c r="Q715" i="4"/>
  <c r="S715" i="4"/>
  <c r="T715" i="4"/>
  <c r="V715" i="4"/>
  <c r="W715" i="4"/>
  <c r="D716" i="4"/>
  <c r="E716" i="4"/>
  <c r="G716" i="4"/>
  <c r="J716" i="4"/>
  <c r="K716" i="4"/>
  <c r="M716" i="4"/>
  <c r="N716" i="4"/>
  <c r="P716" i="4"/>
  <c r="Q716" i="4"/>
  <c r="S716" i="4"/>
  <c r="T716" i="4"/>
  <c r="V716" i="4"/>
  <c r="W716" i="4"/>
  <c r="D717" i="4"/>
  <c r="E717" i="4"/>
  <c r="G717" i="4"/>
  <c r="J717" i="4"/>
  <c r="K717" i="4"/>
  <c r="M717" i="4"/>
  <c r="N717" i="4"/>
  <c r="P717" i="4"/>
  <c r="Q717" i="4"/>
  <c r="S717" i="4"/>
  <c r="T717" i="4"/>
  <c r="V717" i="4"/>
  <c r="W717" i="4"/>
  <c r="D718" i="4"/>
  <c r="E718" i="4"/>
  <c r="J718" i="4"/>
  <c r="M718" i="4"/>
  <c r="P718" i="4"/>
  <c r="S718" i="4"/>
  <c r="V718" i="4"/>
  <c r="D719" i="4"/>
  <c r="E719" i="4"/>
  <c r="J719" i="4"/>
  <c r="M719" i="4"/>
  <c r="P719" i="4"/>
  <c r="S719" i="4"/>
  <c r="V719" i="4"/>
  <c r="D613" i="4"/>
  <c r="E613" i="4"/>
  <c r="G613" i="4"/>
  <c r="J613" i="4"/>
  <c r="K613" i="4"/>
  <c r="M613" i="4"/>
  <c r="N613" i="4"/>
  <c r="P613" i="4"/>
  <c r="Q613" i="4"/>
  <c r="S613" i="4"/>
  <c r="T613" i="4"/>
  <c r="V613" i="4"/>
  <c r="W613" i="4"/>
  <c r="D614" i="4"/>
  <c r="E614" i="4"/>
  <c r="G614" i="4"/>
  <c r="J614" i="4"/>
  <c r="K614" i="4"/>
  <c r="M614" i="4"/>
  <c r="N614" i="4"/>
  <c r="P614" i="4"/>
  <c r="Q614" i="4"/>
  <c r="S614" i="4"/>
  <c r="T614" i="4"/>
  <c r="V614" i="4"/>
  <c r="W614" i="4"/>
  <c r="D615" i="4"/>
  <c r="E615" i="4"/>
  <c r="G615" i="4"/>
  <c r="J615" i="4"/>
  <c r="K615" i="4"/>
  <c r="M615" i="4"/>
  <c r="N615" i="4"/>
  <c r="P615" i="4"/>
  <c r="Q615" i="4"/>
  <c r="S615" i="4"/>
  <c r="T615" i="4"/>
  <c r="V615" i="4"/>
  <c r="W615" i="4"/>
  <c r="D616" i="4"/>
  <c r="E616" i="4"/>
  <c r="G616" i="4"/>
  <c r="J616" i="4"/>
  <c r="K616" i="4"/>
  <c r="M616" i="4"/>
  <c r="N616" i="4"/>
  <c r="P616" i="4"/>
  <c r="Q616" i="4"/>
  <c r="S616" i="4"/>
  <c r="T616" i="4"/>
  <c r="V616" i="4"/>
  <c r="W616" i="4"/>
  <c r="D617" i="4"/>
  <c r="E617" i="4"/>
  <c r="J617" i="4"/>
  <c r="M617" i="4"/>
  <c r="P617" i="4"/>
  <c r="S617" i="4"/>
  <c r="V617" i="4"/>
  <c r="D618" i="4"/>
  <c r="E618" i="4"/>
  <c r="G618" i="4"/>
  <c r="J618" i="4"/>
  <c r="K618" i="4"/>
  <c r="M618" i="4"/>
  <c r="N618" i="4"/>
  <c r="P618" i="4"/>
  <c r="Q618" i="4"/>
  <c r="S618" i="4"/>
  <c r="T618" i="4"/>
  <c r="V618" i="4"/>
  <c r="W618" i="4"/>
  <c r="D619" i="4"/>
  <c r="E619" i="4"/>
  <c r="J619" i="4"/>
  <c r="M619" i="4"/>
  <c r="P619" i="4"/>
  <c r="S619" i="4"/>
  <c r="V619" i="4"/>
  <c r="D620" i="4"/>
  <c r="E620" i="4"/>
  <c r="G620" i="4"/>
  <c r="J620" i="4"/>
  <c r="K620" i="4"/>
  <c r="M620" i="4"/>
  <c r="N620" i="4"/>
  <c r="P620" i="4"/>
  <c r="Q620" i="4"/>
  <c r="S620" i="4"/>
  <c r="T620" i="4"/>
  <c r="V620" i="4"/>
  <c r="W620" i="4"/>
  <c r="D621" i="4"/>
  <c r="E621" i="4"/>
  <c r="J621" i="4"/>
  <c r="M621" i="4"/>
  <c r="P621" i="4"/>
  <c r="S621" i="4"/>
  <c r="V621" i="4"/>
  <c r="D622" i="4"/>
  <c r="E622" i="4"/>
  <c r="G622" i="4"/>
  <c r="J622" i="4"/>
  <c r="K622" i="4"/>
  <c r="M622" i="4"/>
  <c r="N622" i="4"/>
  <c r="P622" i="4"/>
  <c r="Q622" i="4"/>
  <c r="S622" i="4"/>
  <c r="T622" i="4"/>
  <c r="V622" i="4"/>
  <c r="W622" i="4"/>
  <c r="D623" i="4"/>
  <c r="E623" i="4"/>
  <c r="G623" i="4"/>
  <c r="H623" i="4"/>
  <c r="J623" i="4"/>
  <c r="K623" i="4"/>
  <c r="M623" i="4"/>
  <c r="N623" i="4"/>
  <c r="P623" i="4"/>
  <c r="Q623" i="4"/>
  <c r="S623" i="4"/>
  <c r="U623" i="4" s="1"/>
  <c r="T623" i="4"/>
  <c r="V623" i="4"/>
  <c r="W623" i="4"/>
  <c r="D624" i="4"/>
  <c r="E624" i="4"/>
  <c r="G624" i="4"/>
  <c r="J624" i="4"/>
  <c r="K624" i="4"/>
  <c r="M624" i="4"/>
  <c r="N624" i="4"/>
  <c r="P624" i="4"/>
  <c r="Q624" i="4"/>
  <c r="S624" i="4"/>
  <c r="T624" i="4"/>
  <c r="V624" i="4"/>
  <c r="W624" i="4"/>
  <c r="D625" i="4"/>
  <c r="E625" i="4"/>
  <c r="G625" i="4"/>
  <c r="J625" i="4"/>
  <c r="K625" i="4"/>
  <c r="M625" i="4"/>
  <c r="N625" i="4"/>
  <c r="P625" i="4"/>
  <c r="Q625" i="4"/>
  <c r="S625" i="4"/>
  <c r="T625" i="4"/>
  <c r="V625" i="4"/>
  <c r="W625" i="4"/>
  <c r="D626" i="4"/>
  <c r="E626" i="4"/>
  <c r="G626" i="4"/>
  <c r="J626" i="4"/>
  <c r="K626" i="4"/>
  <c r="M626" i="4"/>
  <c r="N626" i="4"/>
  <c r="P626" i="4"/>
  <c r="Q626" i="4"/>
  <c r="S626" i="4"/>
  <c r="T626" i="4"/>
  <c r="V626" i="4"/>
  <c r="W626" i="4"/>
  <c r="D627" i="4"/>
  <c r="E627" i="4"/>
  <c r="G627" i="4"/>
  <c r="J627" i="4"/>
  <c r="K627" i="4"/>
  <c r="M627" i="4"/>
  <c r="N627" i="4"/>
  <c r="P627" i="4"/>
  <c r="Q627" i="4"/>
  <c r="S627" i="4"/>
  <c r="T627" i="4"/>
  <c r="V627" i="4"/>
  <c r="W627" i="4"/>
  <c r="D628" i="4"/>
  <c r="E628" i="4"/>
  <c r="G628" i="4"/>
  <c r="J628" i="4"/>
  <c r="K628" i="4"/>
  <c r="M628" i="4"/>
  <c r="N628" i="4"/>
  <c r="P628" i="4"/>
  <c r="Q628" i="4"/>
  <c r="S628" i="4"/>
  <c r="T628" i="4"/>
  <c r="V628" i="4"/>
  <c r="W628" i="4"/>
  <c r="D629" i="4"/>
  <c r="E629" i="4"/>
  <c r="G629" i="4"/>
  <c r="J629" i="4"/>
  <c r="K629" i="4"/>
  <c r="M629" i="4"/>
  <c r="N629" i="4"/>
  <c r="P629" i="4"/>
  <c r="Q629" i="4"/>
  <c r="S629" i="4"/>
  <c r="T629" i="4"/>
  <c r="V629" i="4"/>
  <c r="W629" i="4"/>
  <c r="D630" i="4"/>
  <c r="E630" i="4"/>
  <c r="J630" i="4"/>
  <c r="M630" i="4"/>
  <c r="P630" i="4"/>
  <c r="S630" i="4"/>
  <c r="V630" i="4"/>
  <c r="D631" i="4"/>
  <c r="E631" i="4"/>
  <c r="G631" i="4"/>
  <c r="J631" i="4"/>
  <c r="K631" i="4"/>
  <c r="M631" i="4"/>
  <c r="N631" i="4"/>
  <c r="P631" i="4"/>
  <c r="Q631" i="4"/>
  <c r="S631" i="4"/>
  <c r="T631" i="4"/>
  <c r="V631" i="4"/>
  <c r="W631" i="4"/>
  <c r="D632" i="4"/>
  <c r="E632" i="4"/>
  <c r="G632" i="4"/>
  <c r="J632" i="4"/>
  <c r="K632" i="4"/>
  <c r="M632" i="4"/>
  <c r="N632" i="4"/>
  <c r="P632" i="4"/>
  <c r="Q632" i="4"/>
  <c r="S632" i="4"/>
  <c r="T632" i="4"/>
  <c r="V632" i="4"/>
  <c r="W632" i="4"/>
  <c r="D633" i="4"/>
  <c r="E633" i="4"/>
  <c r="G633" i="4"/>
  <c r="J633" i="4"/>
  <c r="K633" i="4"/>
  <c r="M633" i="4"/>
  <c r="N633" i="4"/>
  <c r="P633" i="4"/>
  <c r="Q633" i="4"/>
  <c r="S633" i="4"/>
  <c r="T633" i="4"/>
  <c r="V633" i="4"/>
  <c r="W633" i="4"/>
  <c r="D634" i="4"/>
  <c r="E634" i="4"/>
  <c r="G634" i="4"/>
  <c r="H634" i="4"/>
  <c r="J634" i="4"/>
  <c r="K634" i="4"/>
  <c r="M634" i="4"/>
  <c r="N634" i="4"/>
  <c r="P634" i="4"/>
  <c r="Q634" i="4"/>
  <c r="S634" i="4"/>
  <c r="T634" i="4"/>
  <c r="V634" i="4"/>
  <c r="W634" i="4"/>
  <c r="D635" i="4"/>
  <c r="E635" i="4"/>
  <c r="J635" i="4"/>
  <c r="M635" i="4"/>
  <c r="P635" i="4"/>
  <c r="S635" i="4"/>
  <c r="V635" i="4"/>
  <c r="D636" i="4"/>
  <c r="E636" i="4"/>
  <c r="G636" i="4"/>
  <c r="J636" i="4"/>
  <c r="K636" i="4"/>
  <c r="M636" i="4"/>
  <c r="N636" i="4"/>
  <c r="P636" i="4"/>
  <c r="Q636" i="4"/>
  <c r="S636" i="4"/>
  <c r="T636" i="4"/>
  <c r="V636" i="4"/>
  <c r="W636" i="4"/>
  <c r="D637" i="4"/>
  <c r="E637" i="4"/>
  <c r="G637" i="4"/>
  <c r="J637" i="4"/>
  <c r="K637" i="4"/>
  <c r="M637" i="4"/>
  <c r="N637" i="4"/>
  <c r="P637" i="4"/>
  <c r="Q637" i="4"/>
  <c r="S637" i="4"/>
  <c r="T637" i="4"/>
  <c r="V637" i="4"/>
  <c r="W637" i="4"/>
  <c r="D638" i="4"/>
  <c r="E638" i="4"/>
  <c r="G638" i="4"/>
  <c r="J638" i="4"/>
  <c r="K638" i="4"/>
  <c r="M638" i="4"/>
  <c r="N638" i="4"/>
  <c r="P638" i="4"/>
  <c r="Q638" i="4"/>
  <c r="S638" i="4"/>
  <c r="T638" i="4"/>
  <c r="V638" i="4"/>
  <c r="W638" i="4"/>
  <c r="D639" i="4"/>
  <c r="E639" i="4"/>
  <c r="G639" i="4"/>
  <c r="H639" i="4"/>
  <c r="J639" i="4"/>
  <c r="K639" i="4"/>
  <c r="M639" i="4"/>
  <c r="N639" i="4"/>
  <c r="P639" i="4"/>
  <c r="Q639" i="4"/>
  <c r="S639" i="4"/>
  <c r="T639" i="4"/>
  <c r="V639" i="4"/>
  <c r="W639" i="4"/>
  <c r="D640" i="4"/>
  <c r="E640" i="4"/>
  <c r="G640" i="4"/>
  <c r="J640" i="4"/>
  <c r="K640" i="4"/>
  <c r="M640" i="4"/>
  <c r="N640" i="4"/>
  <c r="P640" i="4"/>
  <c r="Q640" i="4"/>
  <c r="S640" i="4"/>
  <c r="T640" i="4"/>
  <c r="V640" i="4"/>
  <c r="W640" i="4"/>
  <c r="D641" i="4"/>
  <c r="E641" i="4"/>
  <c r="G641" i="4"/>
  <c r="J641" i="4"/>
  <c r="K641" i="4"/>
  <c r="M641" i="4"/>
  <c r="N641" i="4"/>
  <c r="P641" i="4"/>
  <c r="Q641" i="4"/>
  <c r="S641" i="4"/>
  <c r="T641" i="4"/>
  <c r="V641" i="4"/>
  <c r="W641" i="4"/>
  <c r="D642" i="4"/>
  <c r="E642" i="4"/>
  <c r="G642" i="4"/>
  <c r="J642" i="4"/>
  <c r="K642" i="4"/>
  <c r="M642" i="4"/>
  <c r="N642" i="4"/>
  <c r="P642" i="4"/>
  <c r="Q642" i="4"/>
  <c r="S642" i="4"/>
  <c r="T642" i="4"/>
  <c r="V642" i="4"/>
  <c r="W642" i="4"/>
  <c r="D643" i="4"/>
  <c r="E643" i="4"/>
  <c r="G643" i="4"/>
  <c r="J643" i="4"/>
  <c r="K643" i="4"/>
  <c r="M643" i="4"/>
  <c r="N643" i="4"/>
  <c r="P643" i="4"/>
  <c r="Q643" i="4"/>
  <c r="S643" i="4"/>
  <c r="T643" i="4"/>
  <c r="V643" i="4"/>
  <c r="W643" i="4"/>
  <c r="D644" i="4"/>
  <c r="E644" i="4"/>
  <c r="J644" i="4"/>
  <c r="M644" i="4"/>
  <c r="P644" i="4"/>
  <c r="S644" i="4"/>
  <c r="V644" i="4"/>
  <c r="D645" i="4"/>
  <c r="E645" i="4"/>
  <c r="J645" i="4"/>
  <c r="M645" i="4"/>
  <c r="P645" i="4"/>
  <c r="S645" i="4"/>
  <c r="V645" i="4"/>
  <c r="D558" i="4"/>
  <c r="E558" i="4"/>
  <c r="G558" i="4"/>
  <c r="J558" i="4"/>
  <c r="K558" i="4"/>
  <c r="M558" i="4"/>
  <c r="N558" i="4"/>
  <c r="P558" i="4"/>
  <c r="Q558" i="4"/>
  <c r="S558" i="4"/>
  <c r="T558" i="4"/>
  <c r="V558" i="4"/>
  <c r="W558" i="4"/>
  <c r="D559" i="4"/>
  <c r="E559" i="4"/>
  <c r="G559" i="4"/>
  <c r="J559" i="4"/>
  <c r="K559" i="4"/>
  <c r="M559" i="4"/>
  <c r="N559" i="4"/>
  <c r="P559" i="4"/>
  <c r="Q559" i="4"/>
  <c r="S559" i="4"/>
  <c r="T559" i="4"/>
  <c r="V559" i="4"/>
  <c r="W559" i="4"/>
  <c r="D560" i="4"/>
  <c r="E560" i="4"/>
  <c r="G560" i="4"/>
  <c r="J560" i="4"/>
  <c r="K560" i="4"/>
  <c r="M560" i="4"/>
  <c r="N560" i="4"/>
  <c r="P560" i="4"/>
  <c r="Q560" i="4"/>
  <c r="S560" i="4"/>
  <c r="T560" i="4"/>
  <c r="V560" i="4"/>
  <c r="W560" i="4"/>
  <c r="D561" i="4"/>
  <c r="E561" i="4"/>
  <c r="G561" i="4"/>
  <c r="J561" i="4"/>
  <c r="K561" i="4"/>
  <c r="M561" i="4"/>
  <c r="N561" i="4"/>
  <c r="P561" i="4"/>
  <c r="Q561" i="4"/>
  <c r="S561" i="4"/>
  <c r="T561" i="4"/>
  <c r="V561" i="4"/>
  <c r="W561" i="4"/>
  <c r="D562" i="4"/>
  <c r="E562" i="4"/>
  <c r="J562" i="4"/>
  <c r="M562" i="4"/>
  <c r="P562" i="4"/>
  <c r="S562" i="4"/>
  <c r="V562" i="4"/>
  <c r="D563" i="4"/>
  <c r="E563" i="4"/>
  <c r="G563" i="4"/>
  <c r="J563" i="4"/>
  <c r="K563" i="4"/>
  <c r="M563" i="4"/>
  <c r="N563" i="4"/>
  <c r="P563" i="4"/>
  <c r="Q563" i="4"/>
  <c r="S563" i="4"/>
  <c r="T563" i="4"/>
  <c r="V563" i="4"/>
  <c r="W563" i="4"/>
  <c r="D564" i="4"/>
  <c r="E564" i="4"/>
  <c r="J564" i="4"/>
  <c r="M564" i="4"/>
  <c r="P564" i="4"/>
  <c r="S564" i="4"/>
  <c r="V564" i="4"/>
  <c r="D565" i="4"/>
  <c r="E565" i="4"/>
  <c r="G565" i="4"/>
  <c r="J565" i="4"/>
  <c r="K565" i="4"/>
  <c r="M565" i="4"/>
  <c r="N565" i="4"/>
  <c r="P565" i="4"/>
  <c r="Q565" i="4"/>
  <c r="S565" i="4"/>
  <c r="T565" i="4"/>
  <c r="V565" i="4"/>
  <c r="W565" i="4"/>
  <c r="D566" i="4"/>
  <c r="E566" i="4"/>
  <c r="J566" i="4"/>
  <c r="M566" i="4"/>
  <c r="P566" i="4"/>
  <c r="S566" i="4"/>
  <c r="V566" i="4"/>
  <c r="D567" i="4"/>
  <c r="E567" i="4"/>
  <c r="G567" i="4"/>
  <c r="J567" i="4"/>
  <c r="K567" i="4"/>
  <c r="M567" i="4"/>
  <c r="N567" i="4"/>
  <c r="P567" i="4"/>
  <c r="Q567" i="4"/>
  <c r="S567" i="4"/>
  <c r="T567" i="4"/>
  <c r="V567" i="4"/>
  <c r="W567" i="4"/>
  <c r="D568" i="4"/>
  <c r="E568" i="4"/>
  <c r="G568" i="4"/>
  <c r="H568" i="4"/>
  <c r="J568" i="4"/>
  <c r="K568" i="4"/>
  <c r="M568" i="4"/>
  <c r="N568" i="4"/>
  <c r="P568" i="4"/>
  <c r="Q568" i="4"/>
  <c r="S568" i="4"/>
  <c r="T568" i="4"/>
  <c r="V568" i="4"/>
  <c r="W568" i="4"/>
  <c r="D569" i="4"/>
  <c r="E569" i="4"/>
  <c r="G569" i="4"/>
  <c r="J569" i="4"/>
  <c r="K569" i="4"/>
  <c r="M569" i="4"/>
  <c r="N569" i="4"/>
  <c r="P569" i="4"/>
  <c r="Q569" i="4"/>
  <c r="S569" i="4"/>
  <c r="T569" i="4"/>
  <c r="V569" i="4"/>
  <c r="W569" i="4"/>
  <c r="D570" i="4"/>
  <c r="E570" i="4"/>
  <c r="G570" i="4"/>
  <c r="J570" i="4"/>
  <c r="K570" i="4"/>
  <c r="M570" i="4"/>
  <c r="N570" i="4"/>
  <c r="P570" i="4"/>
  <c r="Q570" i="4"/>
  <c r="S570" i="4"/>
  <c r="T570" i="4"/>
  <c r="V570" i="4"/>
  <c r="W570" i="4"/>
  <c r="D571" i="4"/>
  <c r="E571" i="4"/>
  <c r="G571" i="4"/>
  <c r="J571" i="4"/>
  <c r="K571" i="4"/>
  <c r="M571" i="4"/>
  <c r="N571" i="4"/>
  <c r="P571" i="4"/>
  <c r="Q571" i="4"/>
  <c r="S571" i="4"/>
  <c r="T571" i="4"/>
  <c r="V571" i="4"/>
  <c r="W571" i="4"/>
  <c r="D572" i="4"/>
  <c r="E572" i="4"/>
  <c r="G572" i="4"/>
  <c r="J572" i="4"/>
  <c r="K572" i="4"/>
  <c r="M572" i="4"/>
  <c r="N572" i="4"/>
  <c r="P572" i="4"/>
  <c r="Q572" i="4"/>
  <c r="S572" i="4"/>
  <c r="T572" i="4"/>
  <c r="V572" i="4"/>
  <c r="W572" i="4"/>
  <c r="D573" i="4"/>
  <c r="E573" i="4"/>
  <c r="G573" i="4"/>
  <c r="J573" i="4"/>
  <c r="K573" i="4"/>
  <c r="M573" i="4"/>
  <c r="N573" i="4"/>
  <c r="P573" i="4"/>
  <c r="Q573" i="4"/>
  <c r="S573" i="4"/>
  <c r="T573" i="4"/>
  <c r="V573" i="4"/>
  <c r="W573" i="4"/>
  <c r="D574" i="4"/>
  <c r="E574" i="4"/>
  <c r="G574" i="4"/>
  <c r="J574" i="4"/>
  <c r="K574" i="4"/>
  <c r="M574" i="4"/>
  <c r="N574" i="4"/>
  <c r="P574" i="4"/>
  <c r="Q574" i="4"/>
  <c r="S574" i="4"/>
  <c r="T574" i="4"/>
  <c r="V574" i="4"/>
  <c r="W574" i="4"/>
  <c r="D575" i="4"/>
  <c r="E575" i="4"/>
  <c r="J575" i="4"/>
  <c r="M575" i="4"/>
  <c r="P575" i="4"/>
  <c r="S575" i="4"/>
  <c r="V575" i="4"/>
  <c r="D576" i="4"/>
  <c r="E576" i="4"/>
  <c r="G576" i="4"/>
  <c r="J576" i="4"/>
  <c r="K576" i="4"/>
  <c r="M576" i="4"/>
  <c r="N576" i="4"/>
  <c r="P576" i="4"/>
  <c r="Q576" i="4"/>
  <c r="S576" i="4"/>
  <c r="T576" i="4"/>
  <c r="V576" i="4"/>
  <c r="W576" i="4"/>
  <c r="D577" i="4"/>
  <c r="E577" i="4"/>
  <c r="G577" i="4"/>
  <c r="J577" i="4"/>
  <c r="K577" i="4"/>
  <c r="M577" i="4"/>
  <c r="N577" i="4"/>
  <c r="P577" i="4"/>
  <c r="Q577" i="4"/>
  <c r="S577" i="4"/>
  <c r="T577" i="4"/>
  <c r="V577" i="4"/>
  <c r="W577" i="4"/>
  <c r="D578" i="4"/>
  <c r="E578" i="4"/>
  <c r="G578" i="4"/>
  <c r="J578" i="4"/>
  <c r="K578" i="4"/>
  <c r="M578" i="4"/>
  <c r="N578" i="4"/>
  <c r="P578" i="4"/>
  <c r="Q578" i="4"/>
  <c r="S578" i="4"/>
  <c r="T578" i="4"/>
  <c r="V578" i="4"/>
  <c r="W578" i="4"/>
  <c r="D579" i="4"/>
  <c r="E579" i="4"/>
  <c r="G579" i="4"/>
  <c r="H579" i="4"/>
  <c r="J579" i="4"/>
  <c r="K579" i="4"/>
  <c r="M579" i="4"/>
  <c r="N579" i="4"/>
  <c r="P579" i="4"/>
  <c r="Q579" i="4"/>
  <c r="S579" i="4"/>
  <c r="T579" i="4"/>
  <c r="V579" i="4"/>
  <c r="W579" i="4"/>
  <c r="D580" i="4"/>
  <c r="E580" i="4"/>
  <c r="J580" i="4"/>
  <c r="M580" i="4"/>
  <c r="P580" i="4"/>
  <c r="S580" i="4"/>
  <c r="V580" i="4"/>
  <c r="D581" i="4"/>
  <c r="E581" i="4"/>
  <c r="G581" i="4"/>
  <c r="J581" i="4"/>
  <c r="K581" i="4"/>
  <c r="M581" i="4"/>
  <c r="N581" i="4"/>
  <c r="P581" i="4"/>
  <c r="Q581" i="4"/>
  <c r="S581" i="4"/>
  <c r="T581" i="4"/>
  <c r="V581" i="4"/>
  <c r="W581" i="4"/>
  <c r="D582" i="4"/>
  <c r="E582" i="4"/>
  <c r="G582" i="4"/>
  <c r="J582" i="4"/>
  <c r="K582" i="4"/>
  <c r="M582" i="4"/>
  <c r="N582" i="4"/>
  <c r="P582" i="4"/>
  <c r="Q582" i="4"/>
  <c r="S582" i="4"/>
  <c r="T582" i="4"/>
  <c r="V582" i="4"/>
  <c r="W582" i="4"/>
  <c r="D583" i="4"/>
  <c r="E583" i="4"/>
  <c r="G583" i="4"/>
  <c r="J583" i="4"/>
  <c r="K583" i="4"/>
  <c r="M583" i="4"/>
  <c r="N583" i="4"/>
  <c r="P583" i="4"/>
  <c r="Q583" i="4"/>
  <c r="S583" i="4"/>
  <c r="T583" i="4"/>
  <c r="V583" i="4"/>
  <c r="W583" i="4"/>
  <c r="D584" i="4"/>
  <c r="E584" i="4"/>
  <c r="G584" i="4"/>
  <c r="H584" i="4"/>
  <c r="J584" i="4"/>
  <c r="K584" i="4"/>
  <c r="M584" i="4"/>
  <c r="N584" i="4"/>
  <c r="P584" i="4"/>
  <c r="Q584" i="4"/>
  <c r="S584" i="4"/>
  <c r="U584" i="4" s="1"/>
  <c r="T584" i="4"/>
  <c r="V584" i="4"/>
  <c r="W584" i="4"/>
  <c r="D585" i="4"/>
  <c r="E585" i="4"/>
  <c r="G585" i="4"/>
  <c r="J585" i="4"/>
  <c r="K585" i="4"/>
  <c r="M585" i="4"/>
  <c r="N585" i="4"/>
  <c r="P585" i="4"/>
  <c r="Q585" i="4"/>
  <c r="S585" i="4"/>
  <c r="T585" i="4"/>
  <c r="V585" i="4"/>
  <c r="W585" i="4"/>
  <c r="D586" i="4"/>
  <c r="E586" i="4"/>
  <c r="G586" i="4"/>
  <c r="J586" i="4"/>
  <c r="K586" i="4"/>
  <c r="M586" i="4"/>
  <c r="N586" i="4"/>
  <c r="P586" i="4"/>
  <c r="Q586" i="4"/>
  <c r="S586" i="4"/>
  <c r="T586" i="4"/>
  <c r="V586" i="4"/>
  <c r="W586" i="4"/>
  <c r="D587" i="4"/>
  <c r="E587" i="4"/>
  <c r="G587" i="4"/>
  <c r="J587" i="4"/>
  <c r="K587" i="4"/>
  <c r="M587" i="4"/>
  <c r="N587" i="4"/>
  <c r="P587" i="4"/>
  <c r="Q587" i="4"/>
  <c r="S587" i="4"/>
  <c r="T587" i="4"/>
  <c r="V587" i="4"/>
  <c r="W587" i="4"/>
  <c r="D588" i="4"/>
  <c r="E588" i="4"/>
  <c r="G588" i="4"/>
  <c r="J588" i="4"/>
  <c r="K588" i="4"/>
  <c r="M588" i="4"/>
  <c r="N588" i="4"/>
  <c r="P588" i="4"/>
  <c r="Q588" i="4"/>
  <c r="S588" i="4"/>
  <c r="T588" i="4"/>
  <c r="V588" i="4"/>
  <c r="W588" i="4"/>
  <c r="D589" i="4"/>
  <c r="E589" i="4"/>
  <c r="J589" i="4"/>
  <c r="M589" i="4"/>
  <c r="P589" i="4"/>
  <c r="S589" i="4"/>
  <c r="V589" i="4"/>
  <c r="D590" i="4"/>
  <c r="E590" i="4"/>
  <c r="J590" i="4"/>
  <c r="M590" i="4"/>
  <c r="P590" i="4"/>
  <c r="S590" i="4"/>
  <c r="V590" i="4"/>
  <c r="D483" i="4"/>
  <c r="E483" i="4"/>
  <c r="G483" i="4"/>
  <c r="J483" i="4"/>
  <c r="K483" i="4"/>
  <c r="M483" i="4"/>
  <c r="N483" i="4"/>
  <c r="P483" i="4"/>
  <c r="Q483" i="4"/>
  <c r="S483" i="4"/>
  <c r="T483" i="4"/>
  <c r="V483" i="4"/>
  <c r="W483" i="4"/>
  <c r="D484" i="4"/>
  <c r="E484" i="4"/>
  <c r="G484" i="4"/>
  <c r="J484" i="4"/>
  <c r="K484" i="4"/>
  <c r="M484" i="4"/>
  <c r="N484" i="4"/>
  <c r="P484" i="4"/>
  <c r="Q484" i="4"/>
  <c r="S484" i="4"/>
  <c r="T484" i="4"/>
  <c r="V484" i="4"/>
  <c r="W484" i="4"/>
  <c r="D485" i="4"/>
  <c r="E485" i="4"/>
  <c r="G485" i="4"/>
  <c r="J485" i="4"/>
  <c r="K485" i="4"/>
  <c r="M485" i="4"/>
  <c r="N485" i="4"/>
  <c r="P485" i="4"/>
  <c r="Q485" i="4"/>
  <c r="S485" i="4"/>
  <c r="T485" i="4"/>
  <c r="V485" i="4"/>
  <c r="W485" i="4"/>
  <c r="D486" i="4"/>
  <c r="E486" i="4"/>
  <c r="G486" i="4"/>
  <c r="J486" i="4"/>
  <c r="K486" i="4"/>
  <c r="M486" i="4"/>
  <c r="N486" i="4"/>
  <c r="P486" i="4"/>
  <c r="Q486" i="4"/>
  <c r="S486" i="4"/>
  <c r="T486" i="4"/>
  <c r="V486" i="4"/>
  <c r="W486" i="4"/>
  <c r="D487" i="4"/>
  <c r="E487" i="4"/>
  <c r="J487" i="4"/>
  <c r="M487" i="4"/>
  <c r="P487" i="4"/>
  <c r="S487" i="4"/>
  <c r="V487" i="4"/>
  <c r="D488" i="4"/>
  <c r="E488" i="4"/>
  <c r="G488" i="4"/>
  <c r="J488" i="4"/>
  <c r="K488" i="4"/>
  <c r="M488" i="4"/>
  <c r="N488" i="4"/>
  <c r="P488" i="4"/>
  <c r="Q488" i="4"/>
  <c r="S488" i="4"/>
  <c r="T488" i="4"/>
  <c r="V488" i="4"/>
  <c r="W488" i="4"/>
  <c r="D489" i="4"/>
  <c r="E489" i="4"/>
  <c r="J489" i="4"/>
  <c r="M489" i="4"/>
  <c r="P489" i="4"/>
  <c r="S489" i="4"/>
  <c r="V489" i="4"/>
  <c r="D490" i="4"/>
  <c r="E490" i="4"/>
  <c r="G490" i="4"/>
  <c r="J490" i="4"/>
  <c r="K490" i="4"/>
  <c r="M490" i="4"/>
  <c r="N490" i="4"/>
  <c r="P490" i="4"/>
  <c r="Q490" i="4"/>
  <c r="S490" i="4"/>
  <c r="T490" i="4"/>
  <c r="V490" i="4"/>
  <c r="W490" i="4"/>
  <c r="D491" i="4"/>
  <c r="E491" i="4"/>
  <c r="J491" i="4"/>
  <c r="M491" i="4"/>
  <c r="P491" i="4"/>
  <c r="S491" i="4"/>
  <c r="V491" i="4"/>
  <c r="D492" i="4"/>
  <c r="E492" i="4"/>
  <c r="G492" i="4"/>
  <c r="J492" i="4"/>
  <c r="K492" i="4"/>
  <c r="M492" i="4"/>
  <c r="N492" i="4"/>
  <c r="P492" i="4"/>
  <c r="Q492" i="4"/>
  <c r="S492" i="4"/>
  <c r="T492" i="4"/>
  <c r="V492" i="4"/>
  <c r="W492" i="4"/>
  <c r="D493" i="4"/>
  <c r="E493" i="4"/>
  <c r="G493" i="4"/>
  <c r="H493" i="4"/>
  <c r="J493" i="4"/>
  <c r="K493" i="4"/>
  <c r="M493" i="4"/>
  <c r="N493" i="4"/>
  <c r="P493" i="4"/>
  <c r="Q493" i="4"/>
  <c r="S493" i="4"/>
  <c r="U493" i="4" s="1"/>
  <c r="T493" i="4"/>
  <c r="V493" i="4"/>
  <c r="W493" i="4"/>
  <c r="D494" i="4"/>
  <c r="E494" i="4"/>
  <c r="G494" i="4"/>
  <c r="J494" i="4"/>
  <c r="K494" i="4"/>
  <c r="M494" i="4"/>
  <c r="N494" i="4"/>
  <c r="P494" i="4"/>
  <c r="Q494" i="4"/>
  <c r="S494" i="4"/>
  <c r="T494" i="4"/>
  <c r="V494" i="4"/>
  <c r="W494" i="4"/>
  <c r="D495" i="4"/>
  <c r="E495" i="4"/>
  <c r="G495" i="4"/>
  <c r="J495" i="4"/>
  <c r="K495" i="4"/>
  <c r="M495" i="4"/>
  <c r="N495" i="4"/>
  <c r="P495" i="4"/>
  <c r="Q495" i="4"/>
  <c r="S495" i="4"/>
  <c r="T495" i="4"/>
  <c r="V495" i="4"/>
  <c r="W495" i="4"/>
  <c r="D496" i="4"/>
  <c r="E496" i="4"/>
  <c r="G496" i="4"/>
  <c r="J496" i="4"/>
  <c r="K496" i="4"/>
  <c r="M496" i="4"/>
  <c r="N496" i="4"/>
  <c r="P496" i="4"/>
  <c r="Q496" i="4"/>
  <c r="S496" i="4"/>
  <c r="T496" i="4"/>
  <c r="V496" i="4"/>
  <c r="W496" i="4"/>
  <c r="D497" i="4"/>
  <c r="E497" i="4"/>
  <c r="G497" i="4"/>
  <c r="J497" i="4"/>
  <c r="K497" i="4"/>
  <c r="M497" i="4"/>
  <c r="N497" i="4"/>
  <c r="P497" i="4"/>
  <c r="Q497" i="4"/>
  <c r="S497" i="4"/>
  <c r="T497" i="4"/>
  <c r="V497" i="4"/>
  <c r="W497" i="4"/>
  <c r="D498" i="4"/>
  <c r="E498" i="4"/>
  <c r="G498" i="4"/>
  <c r="J498" i="4"/>
  <c r="K498" i="4"/>
  <c r="M498" i="4"/>
  <c r="N498" i="4"/>
  <c r="P498" i="4"/>
  <c r="Q498" i="4"/>
  <c r="S498" i="4"/>
  <c r="T498" i="4"/>
  <c r="V498" i="4"/>
  <c r="W498" i="4"/>
  <c r="D499" i="4"/>
  <c r="E499" i="4"/>
  <c r="G499" i="4"/>
  <c r="J499" i="4"/>
  <c r="K499" i="4"/>
  <c r="M499" i="4"/>
  <c r="N499" i="4"/>
  <c r="P499" i="4"/>
  <c r="Q499" i="4"/>
  <c r="S499" i="4"/>
  <c r="T499" i="4"/>
  <c r="V499" i="4"/>
  <c r="W499" i="4"/>
  <c r="D500" i="4"/>
  <c r="E500" i="4"/>
  <c r="J500" i="4"/>
  <c r="M500" i="4"/>
  <c r="P500" i="4"/>
  <c r="S500" i="4"/>
  <c r="V500" i="4"/>
  <c r="D501" i="4"/>
  <c r="E501" i="4"/>
  <c r="G501" i="4"/>
  <c r="J501" i="4"/>
  <c r="K501" i="4"/>
  <c r="M501" i="4"/>
  <c r="N501" i="4"/>
  <c r="P501" i="4"/>
  <c r="Q501" i="4"/>
  <c r="S501" i="4"/>
  <c r="T501" i="4"/>
  <c r="V501" i="4"/>
  <c r="W501" i="4"/>
  <c r="D502" i="4"/>
  <c r="E502" i="4"/>
  <c r="G502" i="4"/>
  <c r="J502" i="4"/>
  <c r="K502" i="4"/>
  <c r="M502" i="4"/>
  <c r="N502" i="4"/>
  <c r="P502" i="4"/>
  <c r="Q502" i="4"/>
  <c r="S502" i="4"/>
  <c r="T502" i="4"/>
  <c r="V502" i="4"/>
  <c r="W502" i="4"/>
  <c r="D503" i="4"/>
  <c r="E503" i="4"/>
  <c r="G503" i="4"/>
  <c r="J503" i="4"/>
  <c r="K503" i="4"/>
  <c r="M503" i="4"/>
  <c r="N503" i="4"/>
  <c r="P503" i="4"/>
  <c r="Q503" i="4"/>
  <c r="S503" i="4"/>
  <c r="T503" i="4"/>
  <c r="V503" i="4"/>
  <c r="W503" i="4"/>
  <c r="D504" i="4"/>
  <c r="E504" i="4"/>
  <c r="G504" i="4"/>
  <c r="H504" i="4"/>
  <c r="J504" i="4"/>
  <c r="K504" i="4"/>
  <c r="M504" i="4"/>
  <c r="N504" i="4"/>
  <c r="P504" i="4"/>
  <c r="Q504" i="4"/>
  <c r="S504" i="4"/>
  <c r="T504" i="4"/>
  <c r="V504" i="4"/>
  <c r="W504" i="4"/>
  <c r="D505" i="4"/>
  <c r="E505" i="4"/>
  <c r="J505" i="4"/>
  <c r="M505" i="4"/>
  <c r="P505" i="4"/>
  <c r="S505" i="4"/>
  <c r="V505" i="4"/>
  <c r="D506" i="4"/>
  <c r="E506" i="4"/>
  <c r="G506" i="4"/>
  <c r="J506" i="4"/>
  <c r="K506" i="4"/>
  <c r="M506" i="4"/>
  <c r="N506" i="4"/>
  <c r="P506" i="4"/>
  <c r="Q506" i="4"/>
  <c r="S506" i="4"/>
  <c r="T506" i="4"/>
  <c r="V506" i="4"/>
  <c r="W506" i="4"/>
  <c r="D507" i="4"/>
  <c r="E507" i="4"/>
  <c r="G507" i="4"/>
  <c r="J507" i="4"/>
  <c r="K507" i="4"/>
  <c r="M507" i="4"/>
  <c r="N507" i="4"/>
  <c r="P507" i="4"/>
  <c r="Q507" i="4"/>
  <c r="S507" i="4"/>
  <c r="T507" i="4"/>
  <c r="V507" i="4"/>
  <c r="W507" i="4"/>
  <c r="D508" i="4"/>
  <c r="E508" i="4"/>
  <c r="G508" i="4"/>
  <c r="J508" i="4"/>
  <c r="K508" i="4"/>
  <c r="M508" i="4"/>
  <c r="N508" i="4"/>
  <c r="P508" i="4"/>
  <c r="Q508" i="4"/>
  <c r="S508" i="4"/>
  <c r="T508" i="4"/>
  <c r="V508" i="4"/>
  <c r="W508" i="4"/>
  <c r="D509" i="4"/>
  <c r="E509" i="4"/>
  <c r="G509" i="4"/>
  <c r="H509" i="4"/>
  <c r="J509" i="4"/>
  <c r="K509" i="4"/>
  <c r="M509" i="4"/>
  <c r="N509" i="4"/>
  <c r="P509" i="4"/>
  <c r="Q509" i="4"/>
  <c r="S509" i="4"/>
  <c r="T509" i="4"/>
  <c r="V509" i="4"/>
  <c r="W509" i="4"/>
  <c r="D510" i="4"/>
  <c r="E510" i="4"/>
  <c r="G510" i="4"/>
  <c r="J510" i="4"/>
  <c r="K510" i="4"/>
  <c r="M510" i="4"/>
  <c r="N510" i="4"/>
  <c r="P510" i="4"/>
  <c r="Q510" i="4"/>
  <c r="S510" i="4"/>
  <c r="T510" i="4"/>
  <c r="V510" i="4"/>
  <c r="W510" i="4"/>
  <c r="D511" i="4"/>
  <c r="E511" i="4"/>
  <c r="G511" i="4"/>
  <c r="J511" i="4"/>
  <c r="K511" i="4"/>
  <c r="M511" i="4"/>
  <c r="N511" i="4"/>
  <c r="P511" i="4"/>
  <c r="Q511" i="4"/>
  <c r="S511" i="4"/>
  <c r="T511" i="4"/>
  <c r="V511" i="4"/>
  <c r="W511" i="4"/>
  <c r="D512" i="4"/>
  <c r="E512" i="4"/>
  <c r="G512" i="4"/>
  <c r="J512" i="4"/>
  <c r="K512" i="4"/>
  <c r="M512" i="4"/>
  <c r="N512" i="4"/>
  <c r="P512" i="4"/>
  <c r="Q512" i="4"/>
  <c r="S512" i="4"/>
  <c r="T512" i="4"/>
  <c r="V512" i="4"/>
  <c r="W512" i="4"/>
  <c r="D513" i="4"/>
  <c r="E513" i="4"/>
  <c r="G513" i="4"/>
  <c r="J513" i="4"/>
  <c r="K513" i="4"/>
  <c r="M513" i="4"/>
  <c r="N513" i="4"/>
  <c r="P513" i="4"/>
  <c r="Q513" i="4"/>
  <c r="S513" i="4"/>
  <c r="T513" i="4"/>
  <c r="V513" i="4"/>
  <c r="W513" i="4"/>
  <c r="D514" i="4"/>
  <c r="E514" i="4"/>
  <c r="J514" i="4"/>
  <c r="M514" i="4"/>
  <c r="P514" i="4"/>
  <c r="S514" i="4"/>
  <c r="V514" i="4"/>
  <c r="D515" i="4"/>
  <c r="E515" i="4"/>
  <c r="J515" i="4"/>
  <c r="M515" i="4"/>
  <c r="P515" i="4"/>
  <c r="S515" i="4"/>
  <c r="V515" i="4"/>
  <c r="D411" i="4"/>
  <c r="E411" i="4"/>
  <c r="G411" i="4"/>
  <c r="J411" i="4"/>
  <c r="K411" i="4"/>
  <c r="M411" i="4"/>
  <c r="N411" i="4"/>
  <c r="P411" i="4"/>
  <c r="Q411" i="4"/>
  <c r="S411" i="4"/>
  <c r="T411" i="4"/>
  <c r="V411" i="4"/>
  <c r="W411" i="4"/>
  <c r="D412" i="4"/>
  <c r="E412" i="4"/>
  <c r="G412" i="4"/>
  <c r="J412" i="4"/>
  <c r="K412" i="4"/>
  <c r="M412" i="4"/>
  <c r="N412" i="4"/>
  <c r="P412" i="4"/>
  <c r="Q412" i="4"/>
  <c r="S412" i="4"/>
  <c r="T412" i="4"/>
  <c r="V412" i="4"/>
  <c r="W412" i="4"/>
  <c r="D413" i="4"/>
  <c r="E413" i="4"/>
  <c r="G413" i="4"/>
  <c r="J413" i="4"/>
  <c r="K413" i="4"/>
  <c r="M413" i="4"/>
  <c r="N413" i="4"/>
  <c r="P413" i="4"/>
  <c r="Q413" i="4"/>
  <c r="S413" i="4"/>
  <c r="T413" i="4"/>
  <c r="V413" i="4"/>
  <c r="W413" i="4"/>
  <c r="D414" i="4"/>
  <c r="E414" i="4"/>
  <c r="G414" i="4"/>
  <c r="J414" i="4"/>
  <c r="K414" i="4"/>
  <c r="M414" i="4"/>
  <c r="N414" i="4"/>
  <c r="P414" i="4"/>
  <c r="Q414" i="4"/>
  <c r="S414" i="4"/>
  <c r="T414" i="4"/>
  <c r="V414" i="4"/>
  <c r="W414" i="4"/>
  <c r="D415" i="4"/>
  <c r="E415" i="4"/>
  <c r="J415" i="4"/>
  <c r="M415" i="4"/>
  <c r="P415" i="4"/>
  <c r="S415" i="4"/>
  <c r="V415" i="4"/>
  <c r="D416" i="4"/>
  <c r="E416" i="4"/>
  <c r="G416" i="4"/>
  <c r="J416" i="4"/>
  <c r="K416" i="4"/>
  <c r="M416" i="4"/>
  <c r="N416" i="4"/>
  <c r="P416" i="4"/>
  <c r="Q416" i="4"/>
  <c r="S416" i="4"/>
  <c r="T416" i="4"/>
  <c r="V416" i="4"/>
  <c r="W416" i="4"/>
  <c r="D417" i="4"/>
  <c r="E417" i="4"/>
  <c r="J417" i="4"/>
  <c r="M417" i="4"/>
  <c r="P417" i="4"/>
  <c r="S417" i="4"/>
  <c r="V417" i="4"/>
  <c r="D418" i="4"/>
  <c r="E418" i="4"/>
  <c r="G418" i="4"/>
  <c r="J418" i="4"/>
  <c r="K418" i="4"/>
  <c r="M418" i="4"/>
  <c r="N418" i="4"/>
  <c r="P418" i="4"/>
  <c r="Q418" i="4"/>
  <c r="S418" i="4"/>
  <c r="T418" i="4"/>
  <c r="V418" i="4"/>
  <c r="W418" i="4"/>
  <c r="D419" i="4"/>
  <c r="E419" i="4"/>
  <c r="J419" i="4"/>
  <c r="M419" i="4"/>
  <c r="P419" i="4"/>
  <c r="S419" i="4"/>
  <c r="V419" i="4"/>
  <c r="D420" i="4"/>
  <c r="E420" i="4"/>
  <c r="G420" i="4"/>
  <c r="J420" i="4"/>
  <c r="K420" i="4"/>
  <c r="M420" i="4"/>
  <c r="N420" i="4"/>
  <c r="P420" i="4"/>
  <c r="Q420" i="4"/>
  <c r="S420" i="4"/>
  <c r="T420" i="4"/>
  <c r="V420" i="4"/>
  <c r="W420" i="4"/>
  <c r="D421" i="4"/>
  <c r="E421" i="4"/>
  <c r="G421" i="4"/>
  <c r="H421" i="4"/>
  <c r="J421" i="4"/>
  <c r="K421" i="4"/>
  <c r="M421" i="4"/>
  <c r="N421" i="4"/>
  <c r="P421" i="4"/>
  <c r="Q421" i="4"/>
  <c r="S421" i="4"/>
  <c r="T421" i="4"/>
  <c r="V421" i="4"/>
  <c r="W421" i="4"/>
  <c r="D422" i="4"/>
  <c r="E422" i="4"/>
  <c r="G422" i="4"/>
  <c r="J422" i="4"/>
  <c r="K422" i="4"/>
  <c r="M422" i="4"/>
  <c r="N422" i="4"/>
  <c r="P422" i="4"/>
  <c r="Q422" i="4"/>
  <c r="S422" i="4"/>
  <c r="T422" i="4"/>
  <c r="V422" i="4"/>
  <c r="W422" i="4"/>
  <c r="D423" i="4"/>
  <c r="E423" i="4"/>
  <c r="G423" i="4"/>
  <c r="J423" i="4"/>
  <c r="K423" i="4"/>
  <c r="M423" i="4"/>
  <c r="N423" i="4"/>
  <c r="P423" i="4"/>
  <c r="Q423" i="4"/>
  <c r="S423" i="4"/>
  <c r="T423" i="4"/>
  <c r="V423" i="4"/>
  <c r="W423" i="4"/>
  <c r="D424" i="4"/>
  <c r="E424" i="4"/>
  <c r="G424" i="4"/>
  <c r="J424" i="4"/>
  <c r="K424" i="4"/>
  <c r="M424" i="4"/>
  <c r="N424" i="4"/>
  <c r="P424" i="4"/>
  <c r="Q424" i="4"/>
  <c r="S424" i="4"/>
  <c r="T424" i="4"/>
  <c r="V424" i="4"/>
  <c r="W424" i="4"/>
  <c r="D425" i="4"/>
  <c r="E425" i="4"/>
  <c r="G425" i="4"/>
  <c r="J425" i="4"/>
  <c r="K425" i="4"/>
  <c r="M425" i="4"/>
  <c r="N425" i="4"/>
  <c r="P425" i="4"/>
  <c r="Q425" i="4"/>
  <c r="S425" i="4"/>
  <c r="T425" i="4"/>
  <c r="V425" i="4"/>
  <c r="W425" i="4"/>
  <c r="D426" i="4"/>
  <c r="E426" i="4"/>
  <c r="G426" i="4"/>
  <c r="J426" i="4"/>
  <c r="K426" i="4"/>
  <c r="M426" i="4"/>
  <c r="N426" i="4"/>
  <c r="P426" i="4"/>
  <c r="Q426" i="4"/>
  <c r="S426" i="4"/>
  <c r="T426" i="4"/>
  <c r="V426" i="4"/>
  <c r="W426" i="4"/>
  <c r="D427" i="4"/>
  <c r="E427" i="4"/>
  <c r="G427" i="4"/>
  <c r="J427" i="4"/>
  <c r="K427" i="4"/>
  <c r="M427" i="4"/>
  <c r="N427" i="4"/>
  <c r="P427" i="4"/>
  <c r="Q427" i="4"/>
  <c r="S427" i="4"/>
  <c r="T427" i="4"/>
  <c r="V427" i="4"/>
  <c r="W427" i="4"/>
  <c r="D428" i="4"/>
  <c r="E428" i="4"/>
  <c r="J428" i="4"/>
  <c r="M428" i="4"/>
  <c r="P428" i="4"/>
  <c r="S428" i="4"/>
  <c r="V428" i="4"/>
  <c r="D429" i="4"/>
  <c r="E429" i="4"/>
  <c r="G429" i="4"/>
  <c r="J429" i="4"/>
  <c r="K429" i="4"/>
  <c r="M429" i="4"/>
  <c r="N429" i="4"/>
  <c r="P429" i="4"/>
  <c r="Q429" i="4"/>
  <c r="S429" i="4"/>
  <c r="T429" i="4"/>
  <c r="V429" i="4"/>
  <c r="W429" i="4"/>
  <c r="D430" i="4"/>
  <c r="E430" i="4"/>
  <c r="G430" i="4"/>
  <c r="J430" i="4"/>
  <c r="K430" i="4"/>
  <c r="M430" i="4"/>
  <c r="N430" i="4"/>
  <c r="P430" i="4"/>
  <c r="Q430" i="4"/>
  <c r="S430" i="4"/>
  <c r="T430" i="4"/>
  <c r="V430" i="4"/>
  <c r="W430" i="4"/>
  <c r="D431" i="4"/>
  <c r="E431" i="4"/>
  <c r="G431" i="4"/>
  <c r="J431" i="4"/>
  <c r="K431" i="4"/>
  <c r="M431" i="4"/>
  <c r="N431" i="4"/>
  <c r="P431" i="4"/>
  <c r="Q431" i="4"/>
  <c r="S431" i="4"/>
  <c r="T431" i="4"/>
  <c r="V431" i="4"/>
  <c r="W431" i="4"/>
  <c r="D432" i="4"/>
  <c r="E432" i="4"/>
  <c r="G432" i="4"/>
  <c r="H432" i="4"/>
  <c r="J432" i="4"/>
  <c r="K432" i="4"/>
  <c r="M432" i="4"/>
  <c r="N432" i="4"/>
  <c r="P432" i="4"/>
  <c r="Q432" i="4"/>
  <c r="S432" i="4"/>
  <c r="T432" i="4"/>
  <c r="V432" i="4"/>
  <c r="W432" i="4"/>
  <c r="D433" i="4"/>
  <c r="E433" i="4"/>
  <c r="J433" i="4"/>
  <c r="M433" i="4"/>
  <c r="P433" i="4"/>
  <c r="S433" i="4"/>
  <c r="V433" i="4"/>
  <c r="D434" i="4"/>
  <c r="E434" i="4"/>
  <c r="G434" i="4"/>
  <c r="J434" i="4"/>
  <c r="K434" i="4"/>
  <c r="M434" i="4"/>
  <c r="N434" i="4"/>
  <c r="P434" i="4"/>
  <c r="Q434" i="4"/>
  <c r="S434" i="4"/>
  <c r="T434" i="4"/>
  <c r="V434" i="4"/>
  <c r="W434" i="4"/>
  <c r="D435" i="4"/>
  <c r="E435" i="4"/>
  <c r="G435" i="4"/>
  <c r="J435" i="4"/>
  <c r="K435" i="4"/>
  <c r="M435" i="4"/>
  <c r="N435" i="4"/>
  <c r="P435" i="4"/>
  <c r="Q435" i="4"/>
  <c r="S435" i="4"/>
  <c r="T435" i="4"/>
  <c r="V435" i="4"/>
  <c r="W435" i="4"/>
  <c r="D436" i="4"/>
  <c r="E436" i="4"/>
  <c r="G436" i="4"/>
  <c r="J436" i="4"/>
  <c r="K436" i="4"/>
  <c r="M436" i="4"/>
  <c r="N436" i="4"/>
  <c r="P436" i="4"/>
  <c r="Q436" i="4"/>
  <c r="S436" i="4"/>
  <c r="T436" i="4"/>
  <c r="V436" i="4"/>
  <c r="W436" i="4"/>
  <c r="D437" i="4"/>
  <c r="E437" i="4"/>
  <c r="G437" i="4"/>
  <c r="H437" i="4"/>
  <c r="J437" i="4"/>
  <c r="K437" i="4"/>
  <c r="M437" i="4"/>
  <c r="N437" i="4"/>
  <c r="P437" i="4"/>
  <c r="Q437" i="4"/>
  <c r="S437" i="4"/>
  <c r="U437" i="4" s="1"/>
  <c r="T437" i="4"/>
  <c r="V437" i="4"/>
  <c r="W437" i="4"/>
  <c r="D438" i="4"/>
  <c r="E438" i="4"/>
  <c r="G438" i="4"/>
  <c r="J438" i="4"/>
  <c r="K438" i="4"/>
  <c r="M438" i="4"/>
  <c r="N438" i="4"/>
  <c r="P438" i="4"/>
  <c r="Q438" i="4"/>
  <c r="S438" i="4"/>
  <c r="T438" i="4"/>
  <c r="V438" i="4"/>
  <c r="W438" i="4"/>
  <c r="D439" i="4"/>
  <c r="E439" i="4"/>
  <c r="G439" i="4"/>
  <c r="J439" i="4"/>
  <c r="K439" i="4"/>
  <c r="M439" i="4"/>
  <c r="N439" i="4"/>
  <c r="P439" i="4"/>
  <c r="Q439" i="4"/>
  <c r="S439" i="4"/>
  <c r="T439" i="4"/>
  <c r="V439" i="4"/>
  <c r="W439" i="4"/>
  <c r="D440" i="4"/>
  <c r="E440" i="4"/>
  <c r="G440" i="4"/>
  <c r="J440" i="4"/>
  <c r="K440" i="4"/>
  <c r="M440" i="4"/>
  <c r="N440" i="4"/>
  <c r="P440" i="4"/>
  <c r="Q440" i="4"/>
  <c r="S440" i="4"/>
  <c r="T440" i="4"/>
  <c r="V440" i="4"/>
  <c r="W440" i="4"/>
  <c r="D441" i="4"/>
  <c r="E441" i="4"/>
  <c r="G441" i="4"/>
  <c r="J441" i="4"/>
  <c r="K441" i="4"/>
  <c r="M441" i="4"/>
  <c r="N441" i="4"/>
  <c r="P441" i="4"/>
  <c r="Q441" i="4"/>
  <c r="S441" i="4"/>
  <c r="T441" i="4"/>
  <c r="V441" i="4"/>
  <c r="W441" i="4"/>
  <c r="D442" i="4"/>
  <c r="E442" i="4"/>
  <c r="J442" i="4"/>
  <c r="M442" i="4"/>
  <c r="P442" i="4"/>
  <c r="S442" i="4"/>
  <c r="V442" i="4"/>
  <c r="D443" i="4"/>
  <c r="E443" i="4"/>
  <c r="J443" i="4"/>
  <c r="M443" i="4"/>
  <c r="P443" i="4"/>
  <c r="S443" i="4"/>
  <c r="V443" i="4"/>
  <c r="D344" i="4"/>
  <c r="E344" i="4"/>
  <c r="G344" i="4"/>
  <c r="J344" i="4"/>
  <c r="K344" i="4"/>
  <c r="M344" i="4"/>
  <c r="N344" i="4"/>
  <c r="P344" i="4"/>
  <c r="Q344" i="4"/>
  <c r="S344" i="4"/>
  <c r="T344" i="4"/>
  <c r="V344" i="4"/>
  <c r="W344" i="4"/>
  <c r="D345" i="4"/>
  <c r="E345" i="4"/>
  <c r="G345" i="4"/>
  <c r="J345" i="4"/>
  <c r="K345" i="4"/>
  <c r="M345" i="4"/>
  <c r="N345" i="4"/>
  <c r="P345" i="4"/>
  <c r="Q345" i="4"/>
  <c r="S345" i="4"/>
  <c r="T345" i="4"/>
  <c r="V345" i="4"/>
  <c r="W345" i="4"/>
  <c r="D346" i="4"/>
  <c r="E346" i="4"/>
  <c r="G346" i="4"/>
  <c r="J346" i="4"/>
  <c r="K346" i="4"/>
  <c r="M346" i="4"/>
  <c r="N346" i="4"/>
  <c r="P346" i="4"/>
  <c r="Q346" i="4"/>
  <c r="S346" i="4"/>
  <c r="T346" i="4"/>
  <c r="V346" i="4"/>
  <c r="W346" i="4"/>
  <c r="D347" i="4"/>
  <c r="E347" i="4"/>
  <c r="G347" i="4"/>
  <c r="J347" i="4"/>
  <c r="L347" i="4" s="1"/>
  <c r="K347" i="4"/>
  <c r="M347" i="4"/>
  <c r="N347" i="4"/>
  <c r="P347" i="4"/>
  <c r="Q347" i="4"/>
  <c r="S347" i="4"/>
  <c r="T347" i="4"/>
  <c r="V347" i="4"/>
  <c r="W347" i="4"/>
  <c r="D348" i="4"/>
  <c r="E348" i="4"/>
  <c r="J348" i="4"/>
  <c r="M348" i="4"/>
  <c r="P348" i="4"/>
  <c r="S348" i="4"/>
  <c r="V348" i="4"/>
  <c r="D349" i="4"/>
  <c r="E349" i="4"/>
  <c r="G349" i="4"/>
  <c r="J349" i="4"/>
  <c r="K349" i="4"/>
  <c r="M349" i="4"/>
  <c r="N349" i="4"/>
  <c r="P349" i="4"/>
  <c r="Q349" i="4"/>
  <c r="S349" i="4"/>
  <c r="T349" i="4"/>
  <c r="V349" i="4"/>
  <c r="W349" i="4"/>
  <c r="D350" i="4"/>
  <c r="E350" i="4"/>
  <c r="J350" i="4"/>
  <c r="M350" i="4"/>
  <c r="P350" i="4"/>
  <c r="S350" i="4"/>
  <c r="V350" i="4"/>
  <c r="D351" i="4"/>
  <c r="E351" i="4"/>
  <c r="G351" i="4"/>
  <c r="J351" i="4"/>
  <c r="K351" i="4"/>
  <c r="M351" i="4"/>
  <c r="N351" i="4"/>
  <c r="P351" i="4"/>
  <c r="Q351" i="4"/>
  <c r="S351" i="4"/>
  <c r="T351" i="4"/>
  <c r="V351" i="4"/>
  <c r="W351" i="4"/>
  <c r="D352" i="4"/>
  <c r="E352" i="4"/>
  <c r="J352" i="4"/>
  <c r="M352" i="4"/>
  <c r="P352" i="4"/>
  <c r="S352" i="4"/>
  <c r="V352" i="4"/>
  <c r="D353" i="4"/>
  <c r="E353" i="4"/>
  <c r="G353" i="4"/>
  <c r="J353" i="4"/>
  <c r="K353" i="4"/>
  <c r="M353" i="4"/>
  <c r="N353" i="4"/>
  <c r="P353" i="4"/>
  <c r="Q353" i="4"/>
  <c r="S353" i="4"/>
  <c r="T353" i="4"/>
  <c r="V353" i="4"/>
  <c r="W353" i="4"/>
  <c r="D354" i="4"/>
  <c r="E354" i="4"/>
  <c r="G354" i="4"/>
  <c r="H354" i="4"/>
  <c r="J354" i="4"/>
  <c r="K354" i="4"/>
  <c r="M354" i="4"/>
  <c r="N354" i="4"/>
  <c r="P354" i="4"/>
  <c r="Q354" i="4"/>
  <c r="S354" i="4"/>
  <c r="U354" i="4" s="1"/>
  <c r="T354" i="4"/>
  <c r="V354" i="4"/>
  <c r="W354" i="4"/>
  <c r="D355" i="4"/>
  <c r="E355" i="4"/>
  <c r="G355" i="4"/>
  <c r="J355" i="4"/>
  <c r="K355" i="4"/>
  <c r="M355" i="4"/>
  <c r="N355" i="4"/>
  <c r="P355" i="4"/>
  <c r="Q355" i="4"/>
  <c r="S355" i="4"/>
  <c r="T355" i="4"/>
  <c r="V355" i="4"/>
  <c r="W355" i="4"/>
  <c r="D356" i="4"/>
  <c r="E356" i="4"/>
  <c r="G356" i="4"/>
  <c r="J356" i="4"/>
  <c r="K356" i="4"/>
  <c r="M356" i="4"/>
  <c r="N356" i="4"/>
  <c r="P356" i="4"/>
  <c r="Q356" i="4"/>
  <c r="S356" i="4"/>
  <c r="T356" i="4"/>
  <c r="V356" i="4"/>
  <c r="W356" i="4"/>
  <c r="D357" i="4"/>
  <c r="E357" i="4"/>
  <c r="G357" i="4"/>
  <c r="J357" i="4"/>
  <c r="K357" i="4"/>
  <c r="M357" i="4"/>
  <c r="N357" i="4"/>
  <c r="P357" i="4"/>
  <c r="Q357" i="4"/>
  <c r="S357" i="4"/>
  <c r="T357" i="4"/>
  <c r="V357" i="4"/>
  <c r="W357" i="4"/>
  <c r="D358" i="4"/>
  <c r="E358" i="4"/>
  <c r="G358" i="4"/>
  <c r="J358" i="4"/>
  <c r="K358" i="4"/>
  <c r="M358" i="4"/>
  <c r="N358" i="4"/>
  <c r="P358" i="4"/>
  <c r="Q358" i="4"/>
  <c r="S358" i="4"/>
  <c r="T358" i="4"/>
  <c r="V358" i="4"/>
  <c r="W358" i="4"/>
  <c r="D359" i="4"/>
  <c r="E359" i="4"/>
  <c r="G359" i="4"/>
  <c r="J359" i="4"/>
  <c r="K359" i="4"/>
  <c r="M359" i="4"/>
  <c r="N359" i="4"/>
  <c r="P359" i="4"/>
  <c r="Q359" i="4"/>
  <c r="S359" i="4"/>
  <c r="T359" i="4"/>
  <c r="V359" i="4"/>
  <c r="W359" i="4"/>
  <c r="D360" i="4"/>
  <c r="E360" i="4"/>
  <c r="G360" i="4"/>
  <c r="J360" i="4"/>
  <c r="K360" i="4"/>
  <c r="M360" i="4"/>
  <c r="N360" i="4"/>
  <c r="P360" i="4"/>
  <c r="Q360" i="4"/>
  <c r="S360" i="4"/>
  <c r="T360" i="4"/>
  <c r="V360" i="4"/>
  <c r="W360" i="4"/>
  <c r="D361" i="4"/>
  <c r="E361" i="4"/>
  <c r="J361" i="4"/>
  <c r="M361" i="4"/>
  <c r="P361" i="4"/>
  <c r="S361" i="4"/>
  <c r="V361" i="4"/>
  <c r="D362" i="4"/>
  <c r="E362" i="4"/>
  <c r="G362" i="4"/>
  <c r="J362" i="4"/>
  <c r="K362" i="4"/>
  <c r="M362" i="4"/>
  <c r="N362" i="4"/>
  <c r="P362" i="4"/>
  <c r="Q362" i="4"/>
  <c r="S362" i="4"/>
  <c r="T362" i="4"/>
  <c r="V362" i="4"/>
  <c r="W362" i="4"/>
  <c r="D363" i="4"/>
  <c r="E363" i="4"/>
  <c r="G363" i="4"/>
  <c r="J363" i="4"/>
  <c r="K363" i="4"/>
  <c r="M363" i="4"/>
  <c r="N363" i="4"/>
  <c r="P363" i="4"/>
  <c r="Q363" i="4"/>
  <c r="S363" i="4"/>
  <c r="T363" i="4"/>
  <c r="V363" i="4"/>
  <c r="W363" i="4"/>
  <c r="D364" i="4"/>
  <c r="E364" i="4"/>
  <c r="G364" i="4"/>
  <c r="J364" i="4"/>
  <c r="K364" i="4"/>
  <c r="M364" i="4"/>
  <c r="N364" i="4"/>
  <c r="P364" i="4"/>
  <c r="Q364" i="4"/>
  <c r="S364" i="4"/>
  <c r="T364" i="4"/>
  <c r="V364" i="4"/>
  <c r="W364" i="4"/>
  <c r="D365" i="4"/>
  <c r="E365" i="4"/>
  <c r="G365" i="4"/>
  <c r="H365" i="4"/>
  <c r="J365" i="4"/>
  <c r="K365" i="4"/>
  <c r="M365" i="4"/>
  <c r="N365" i="4"/>
  <c r="P365" i="4"/>
  <c r="Q365" i="4"/>
  <c r="S365" i="4"/>
  <c r="T365" i="4"/>
  <c r="V365" i="4"/>
  <c r="W365" i="4"/>
  <c r="D366" i="4"/>
  <c r="E366" i="4"/>
  <c r="J366" i="4"/>
  <c r="M366" i="4"/>
  <c r="P366" i="4"/>
  <c r="S366" i="4"/>
  <c r="V366" i="4"/>
  <c r="D367" i="4"/>
  <c r="E367" i="4"/>
  <c r="G367" i="4"/>
  <c r="J367" i="4"/>
  <c r="K367" i="4"/>
  <c r="M367" i="4"/>
  <c r="N367" i="4"/>
  <c r="P367" i="4"/>
  <c r="Q367" i="4"/>
  <c r="S367" i="4"/>
  <c r="T367" i="4"/>
  <c r="V367" i="4"/>
  <c r="W367" i="4"/>
  <c r="D368" i="4"/>
  <c r="E368" i="4"/>
  <c r="G368" i="4"/>
  <c r="J368" i="4"/>
  <c r="K368" i="4"/>
  <c r="M368" i="4"/>
  <c r="N368" i="4"/>
  <c r="P368" i="4"/>
  <c r="Q368" i="4"/>
  <c r="S368" i="4"/>
  <c r="T368" i="4"/>
  <c r="V368" i="4"/>
  <c r="W368" i="4"/>
  <c r="D369" i="4"/>
  <c r="E369" i="4"/>
  <c r="G369" i="4"/>
  <c r="J369" i="4"/>
  <c r="K369" i="4"/>
  <c r="M369" i="4"/>
  <c r="N369" i="4"/>
  <c r="P369" i="4"/>
  <c r="Q369" i="4"/>
  <c r="S369" i="4"/>
  <c r="T369" i="4"/>
  <c r="V369" i="4"/>
  <c r="W369" i="4"/>
  <c r="D370" i="4"/>
  <c r="E370" i="4"/>
  <c r="G370" i="4"/>
  <c r="H370" i="4"/>
  <c r="N370" i="4"/>
  <c r="M370" i="4"/>
  <c r="J370" i="4"/>
  <c r="K370" i="4"/>
  <c r="P370" i="4"/>
  <c r="Q370" i="4"/>
  <c r="S370" i="4"/>
  <c r="T370" i="4"/>
  <c r="V370" i="4"/>
  <c r="W370" i="4"/>
  <c r="D371" i="4"/>
  <c r="E371" i="4"/>
  <c r="G371" i="4"/>
  <c r="J371" i="4"/>
  <c r="K371" i="4"/>
  <c r="M371" i="4"/>
  <c r="N371" i="4"/>
  <c r="P371" i="4"/>
  <c r="Q371" i="4"/>
  <c r="S371" i="4"/>
  <c r="T371" i="4"/>
  <c r="V371" i="4"/>
  <c r="W371" i="4"/>
  <c r="D372" i="4"/>
  <c r="E372" i="4"/>
  <c r="G372" i="4"/>
  <c r="J372" i="4"/>
  <c r="K372" i="4"/>
  <c r="M372" i="4"/>
  <c r="N372" i="4"/>
  <c r="P372" i="4"/>
  <c r="Q372" i="4"/>
  <c r="S372" i="4"/>
  <c r="T372" i="4"/>
  <c r="V372" i="4"/>
  <c r="W372" i="4"/>
  <c r="D373" i="4"/>
  <c r="E373" i="4"/>
  <c r="G373" i="4"/>
  <c r="J373" i="4"/>
  <c r="K373" i="4"/>
  <c r="M373" i="4"/>
  <c r="N373" i="4"/>
  <c r="P373" i="4"/>
  <c r="Q373" i="4"/>
  <c r="S373" i="4"/>
  <c r="T373" i="4"/>
  <c r="V373" i="4"/>
  <c r="W373" i="4"/>
  <c r="D374" i="4"/>
  <c r="E374" i="4"/>
  <c r="G374" i="4"/>
  <c r="J374" i="4"/>
  <c r="K374" i="4"/>
  <c r="M374" i="4"/>
  <c r="N374" i="4"/>
  <c r="P374" i="4"/>
  <c r="Q374" i="4"/>
  <c r="S374" i="4"/>
  <c r="T374" i="4"/>
  <c r="V374" i="4"/>
  <c r="W374" i="4"/>
  <c r="D375" i="4"/>
  <c r="E375" i="4"/>
  <c r="J375" i="4"/>
  <c r="M375" i="4"/>
  <c r="P375" i="4"/>
  <c r="S375" i="4"/>
  <c r="V375" i="4"/>
  <c r="D376" i="4"/>
  <c r="E376" i="4"/>
  <c r="J376" i="4"/>
  <c r="M376" i="4"/>
  <c r="P376" i="4"/>
  <c r="S376" i="4"/>
  <c r="V376" i="4"/>
  <c r="D275" i="4"/>
  <c r="E275" i="4"/>
  <c r="G275" i="4"/>
  <c r="J275" i="4"/>
  <c r="K275" i="4"/>
  <c r="M275" i="4"/>
  <c r="N275" i="4"/>
  <c r="P275" i="4"/>
  <c r="Q275" i="4"/>
  <c r="S275" i="4"/>
  <c r="T275" i="4"/>
  <c r="V275" i="4"/>
  <c r="W275" i="4"/>
  <c r="D276" i="4"/>
  <c r="E276" i="4"/>
  <c r="G276" i="4"/>
  <c r="J276" i="4"/>
  <c r="K276" i="4"/>
  <c r="M276" i="4"/>
  <c r="N276" i="4"/>
  <c r="P276" i="4"/>
  <c r="Q276" i="4"/>
  <c r="S276" i="4"/>
  <c r="T276" i="4"/>
  <c r="V276" i="4"/>
  <c r="W276" i="4"/>
  <c r="D277" i="4"/>
  <c r="E277" i="4"/>
  <c r="G277" i="4"/>
  <c r="J277" i="4"/>
  <c r="K277" i="4"/>
  <c r="M277" i="4"/>
  <c r="N277" i="4"/>
  <c r="P277" i="4"/>
  <c r="Q277" i="4"/>
  <c r="S277" i="4"/>
  <c r="T277" i="4"/>
  <c r="V277" i="4"/>
  <c r="W277" i="4"/>
  <c r="D278" i="4"/>
  <c r="E278" i="4"/>
  <c r="G278" i="4"/>
  <c r="J278" i="4"/>
  <c r="K278" i="4"/>
  <c r="M278" i="4"/>
  <c r="N278" i="4"/>
  <c r="P278" i="4"/>
  <c r="Q278" i="4"/>
  <c r="S278" i="4"/>
  <c r="T278" i="4"/>
  <c r="V278" i="4"/>
  <c r="W278" i="4"/>
  <c r="D279" i="4"/>
  <c r="E279" i="4"/>
  <c r="J279" i="4"/>
  <c r="M279" i="4"/>
  <c r="P279" i="4"/>
  <c r="S279" i="4"/>
  <c r="V279" i="4"/>
  <c r="D280" i="4"/>
  <c r="E280" i="4"/>
  <c r="G280" i="4"/>
  <c r="J280" i="4"/>
  <c r="K280" i="4"/>
  <c r="M280" i="4"/>
  <c r="N280" i="4"/>
  <c r="P280" i="4"/>
  <c r="Q280" i="4"/>
  <c r="S280" i="4"/>
  <c r="T280" i="4"/>
  <c r="V280" i="4"/>
  <c r="W280" i="4"/>
  <c r="D281" i="4"/>
  <c r="E281" i="4"/>
  <c r="J281" i="4"/>
  <c r="M281" i="4"/>
  <c r="P281" i="4"/>
  <c r="S281" i="4"/>
  <c r="V281" i="4"/>
  <c r="D282" i="4"/>
  <c r="E282" i="4"/>
  <c r="G282" i="4"/>
  <c r="J282" i="4"/>
  <c r="K282" i="4"/>
  <c r="M282" i="4"/>
  <c r="N282" i="4"/>
  <c r="P282" i="4"/>
  <c r="Q282" i="4"/>
  <c r="S282" i="4"/>
  <c r="T282" i="4"/>
  <c r="V282" i="4"/>
  <c r="W282" i="4"/>
  <c r="D283" i="4"/>
  <c r="E283" i="4"/>
  <c r="J283" i="4"/>
  <c r="M283" i="4"/>
  <c r="P283" i="4"/>
  <c r="S283" i="4"/>
  <c r="V283" i="4"/>
  <c r="D284" i="4"/>
  <c r="E284" i="4"/>
  <c r="G284" i="4"/>
  <c r="J284" i="4"/>
  <c r="K284" i="4"/>
  <c r="M284" i="4"/>
  <c r="N284" i="4"/>
  <c r="P284" i="4"/>
  <c r="Q284" i="4"/>
  <c r="S284" i="4"/>
  <c r="T284" i="4"/>
  <c r="V284" i="4"/>
  <c r="W284" i="4"/>
  <c r="D285" i="4"/>
  <c r="E285" i="4"/>
  <c r="G285" i="4"/>
  <c r="H285" i="4"/>
  <c r="N285" i="4"/>
  <c r="M285" i="4"/>
  <c r="J285" i="4"/>
  <c r="K285" i="4"/>
  <c r="P285" i="4"/>
  <c r="Q285" i="4"/>
  <c r="S285" i="4"/>
  <c r="T285" i="4"/>
  <c r="V285" i="4"/>
  <c r="W285" i="4"/>
  <c r="D286" i="4"/>
  <c r="E286" i="4"/>
  <c r="G286" i="4"/>
  <c r="J286" i="4"/>
  <c r="K286" i="4"/>
  <c r="M286" i="4"/>
  <c r="N286" i="4"/>
  <c r="P286" i="4"/>
  <c r="Q286" i="4"/>
  <c r="S286" i="4"/>
  <c r="T286" i="4"/>
  <c r="V286" i="4"/>
  <c r="W286" i="4"/>
  <c r="D287" i="4"/>
  <c r="E287" i="4"/>
  <c r="G287" i="4"/>
  <c r="J287" i="4"/>
  <c r="K287" i="4"/>
  <c r="M287" i="4"/>
  <c r="N287" i="4"/>
  <c r="P287" i="4"/>
  <c r="Q287" i="4"/>
  <c r="S287" i="4"/>
  <c r="T287" i="4"/>
  <c r="V287" i="4"/>
  <c r="W287" i="4"/>
  <c r="D288" i="4"/>
  <c r="E288" i="4"/>
  <c r="G288" i="4"/>
  <c r="J288" i="4"/>
  <c r="K288" i="4"/>
  <c r="M288" i="4"/>
  <c r="N288" i="4"/>
  <c r="P288" i="4"/>
  <c r="Q288" i="4"/>
  <c r="S288" i="4"/>
  <c r="T288" i="4"/>
  <c r="V288" i="4"/>
  <c r="W288" i="4"/>
  <c r="D289" i="4"/>
  <c r="E289" i="4"/>
  <c r="G289" i="4"/>
  <c r="J289" i="4"/>
  <c r="K289" i="4"/>
  <c r="M289" i="4"/>
  <c r="N289" i="4"/>
  <c r="P289" i="4"/>
  <c r="Q289" i="4"/>
  <c r="S289" i="4"/>
  <c r="T289" i="4"/>
  <c r="V289" i="4"/>
  <c r="W289" i="4"/>
  <c r="D290" i="4"/>
  <c r="E290" i="4"/>
  <c r="G290" i="4"/>
  <c r="J290" i="4"/>
  <c r="K290" i="4"/>
  <c r="M290" i="4"/>
  <c r="N290" i="4"/>
  <c r="P290" i="4"/>
  <c r="Q290" i="4"/>
  <c r="S290" i="4"/>
  <c r="T290" i="4"/>
  <c r="V290" i="4"/>
  <c r="W290" i="4"/>
  <c r="D291" i="4"/>
  <c r="E291" i="4"/>
  <c r="G291" i="4"/>
  <c r="J291" i="4"/>
  <c r="K291" i="4"/>
  <c r="M291" i="4"/>
  <c r="N291" i="4"/>
  <c r="P291" i="4"/>
  <c r="Q291" i="4"/>
  <c r="S291" i="4"/>
  <c r="T291" i="4"/>
  <c r="V291" i="4"/>
  <c r="W291" i="4"/>
  <c r="D292" i="4"/>
  <c r="E292" i="4"/>
  <c r="J292" i="4"/>
  <c r="M292" i="4"/>
  <c r="P292" i="4"/>
  <c r="S292" i="4"/>
  <c r="V292" i="4"/>
  <c r="D293" i="4"/>
  <c r="E293" i="4"/>
  <c r="G293" i="4"/>
  <c r="J293" i="4"/>
  <c r="K293" i="4"/>
  <c r="M293" i="4"/>
  <c r="N293" i="4"/>
  <c r="P293" i="4"/>
  <c r="Q293" i="4"/>
  <c r="S293" i="4"/>
  <c r="T293" i="4"/>
  <c r="V293" i="4"/>
  <c r="W293" i="4"/>
  <c r="D294" i="4"/>
  <c r="E294" i="4"/>
  <c r="G294" i="4"/>
  <c r="J294" i="4"/>
  <c r="K294" i="4"/>
  <c r="M294" i="4"/>
  <c r="N294" i="4"/>
  <c r="P294" i="4"/>
  <c r="Q294" i="4"/>
  <c r="S294" i="4"/>
  <c r="T294" i="4"/>
  <c r="V294" i="4"/>
  <c r="W294" i="4"/>
  <c r="D295" i="4"/>
  <c r="E295" i="4"/>
  <c r="G295" i="4"/>
  <c r="J295" i="4"/>
  <c r="K295" i="4"/>
  <c r="M295" i="4"/>
  <c r="N295" i="4"/>
  <c r="P295" i="4"/>
  <c r="Q295" i="4"/>
  <c r="S295" i="4"/>
  <c r="T295" i="4"/>
  <c r="V295" i="4"/>
  <c r="W295" i="4"/>
  <c r="D296" i="4"/>
  <c r="E296" i="4"/>
  <c r="G296" i="4"/>
  <c r="H296" i="4"/>
  <c r="J296" i="4"/>
  <c r="K296" i="4"/>
  <c r="M296" i="4"/>
  <c r="N296" i="4"/>
  <c r="P296" i="4"/>
  <c r="Q296" i="4"/>
  <c r="S296" i="4"/>
  <c r="T296" i="4"/>
  <c r="V296" i="4"/>
  <c r="W296" i="4"/>
  <c r="D297" i="4"/>
  <c r="E297" i="4"/>
  <c r="J297" i="4"/>
  <c r="M297" i="4"/>
  <c r="P297" i="4"/>
  <c r="S297" i="4"/>
  <c r="V297" i="4"/>
  <c r="D298" i="4"/>
  <c r="E298" i="4"/>
  <c r="G298" i="4"/>
  <c r="J298" i="4"/>
  <c r="K298" i="4"/>
  <c r="M298" i="4"/>
  <c r="N298" i="4"/>
  <c r="P298" i="4"/>
  <c r="Q298" i="4"/>
  <c r="S298" i="4"/>
  <c r="T298" i="4"/>
  <c r="V298" i="4"/>
  <c r="W298" i="4"/>
  <c r="D299" i="4"/>
  <c r="E299" i="4"/>
  <c r="G299" i="4"/>
  <c r="J299" i="4"/>
  <c r="K299" i="4"/>
  <c r="M299" i="4"/>
  <c r="N299" i="4"/>
  <c r="P299" i="4"/>
  <c r="Q299" i="4"/>
  <c r="S299" i="4"/>
  <c r="T299" i="4"/>
  <c r="V299" i="4"/>
  <c r="W299" i="4"/>
  <c r="D300" i="4"/>
  <c r="E300" i="4"/>
  <c r="G300" i="4"/>
  <c r="J300" i="4"/>
  <c r="K300" i="4"/>
  <c r="M300" i="4"/>
  <c r="N300" i="4"/>
  <c r="P300" i="4"/>
  <c r="Q300" i="4"/>
  <c r="S300" i="4"/>
  <c r="T300" i="4"/>
  <c r="V300" i="4"/>
  <c r="W300" i="4"/>
  <c r="D301" i="4"/>
  <c r="E301" i="4"/>
  <c r="G301" i="4"/>
  <c r="H301" i="4"/>
  <c r="J301" i="4"/>
  <c r="K301" i="4"/>
  <c r="M301" i="4"/>
  <c r="O301" i="4" s="1"/>
  <c r="N301" i="4"/>
  <c r="P301" i="4"/>
  <c r="Q301" i="4"/>
  <c r="S301" i="4"/>
  <c r="T301" i="4"/>
  <c r="V301" i="4"/>
  <c r="W301" i="4"/>
  <c r="D302" i="4"/>
  <c r="E302" i="4"/>
  <c r="G302" i="4"/>
  <c r="J302" i="4"/>
  <c r="K302" i="4"/>
  <c r="M302" i="4"/>
  <c r="N302" i="4"/>
  <c r="P302" i="4"/>
  <c r="Q302" i="4"/>
  <c r="S302" i="4"/>
  <c r="T302" i="4"/>
  <c r="V302" i="4"/>
  <c r="W302" i="4"/>
  <c r="D303" i="4"/>
  <c r="E303" i="4"/>
  <c r="G303" i="4"/>
  <c r="J303" i="4"/>
  <c r="K303" i="4"/>
  <c r="M303" i="4"/>
  <c r="N303" i="4"/>
  <c r="P303" i="4"/>
  <c r="Q303" i="4"/>
  <c r="S303" i="4"/>
  <c r="T303" i="4"/>
  <c r="V303" i="4"/>
  <c r="W303" i="4"/>
  <c r="D304" i="4"/>
  <c r="E304" i="4"/>
  <c r="G304" i="4"/>
  <c r="J304" i="4"/>
  <c r="K304" i="4"/>
  <c r="M304" i="4"/>
  <c r="N304" i="4"/>
  <c r="P304" i="4"/>
  <c r="Q304" i="4"/>
  <c r="S304" i="4"/>
  <c r="T304" i="4"/>
  <c r="V304" i="4"/>
  <c r="W304" i="4"/>
  <c r="D305" i="4"/>
  <c r="E305" i="4"/>
  <c r="G305" i="4"/>
  <c r="J305" i="4"/>
  <c r="K305" i="4"/>
  <c r="M305" i="4"/>
  <c r="N305" i="4"/>
  <c r="P305" i="4"/>
  <c r="Q305" i="4"/>
  <c r="S305" i="4"/>
  <c r="T305" i="4"/>
  <c r="V305" i="4"/>
  <c r="W305" i="4"/>
  <c r="D306" i="4"/>
  <c r="E306" i="4"/>
  <c r="J306" i="4"/>
  <c r="M306" i="4"/>
  <c r="P306" i="4"/>
  <c r="S306" i="4"/>
  <c r="V306" i="4"/>
  <c r="D307" i="4"/>
  <c r="E307" i="4"/>
  <c r="J307" i="4"/>
  <c r="M307" i="4"/>
  <c r="P307" i="4"/>
  <c r="S307" i="4"/>
  <c r="V307" i="4"/>
  <c r="D216" i="4"/>
  <c r="E216" i="4"/>
  <c r="G216" i="4"/>
  <c r="J216" i="4"/>
  <c r="K216" i="4"/>
  <c r="M216" i="4"/>
  <c r="N216" i="4"/>
  <c r="P216" i="4"/>
  <c r="Q216" i="4"/>
  <c r="S216" i="4"/>
  <c r="T216" i="4"/>
  <c r="V216" i="4"/>
  <c r="W216" i="4"/>
  <c r="D217" i="4"/>
  <c r="E217" i="4"/>
  <c r="G217" i="4"/>
  <c r="J217" i="4"/>
  <c r="K217" i="4"/>
  <c r="M217" i="4"/>
  <c r="N217" i="4"/>
  <c r="P217" i="4"/>
  <c r="Q217" i="4"/>
  <c r="S217" i="4"/>
  <c r="T217" i="4"/>
  <c r="V217" i="4"/>
  <c r="W217" i="4"/>
  <c r="D218" i="4"/>
  <c r="E218" i="4"/>
  <c r="G218" i="4"/>
  <c r="J218" i="4"/>
  <c r="K218" i="4"/>
  <c r="M218" i="4"/>
  <c r="N218" i="4"/>
  <c r="P218" i="4"/>
  <c r="Q218" i="4"/>
  <c r="S218" i="4"/>
  <c r="T218" i="4"/>
  <c r="V218" i="4"/>
  <c r="W218" i="4"/>
  <c r="D219" i="4"/>
  <c r="E219" i="4"/>
  <c r="G219" i="4"/>
  <c r="J219" i="4"/>
  <c r="K219" i="4"/>
  <c r="M219" i="4"/>
  <c r="N219" i="4"/>
  <c r="P219" i="4"/>
  <c r="Q219" i="4"/>
  <c r="S219" i="4"/>
  <c r="T219" i="4"/>
  <c r="V219" i="4"/>
  <c r="W219" i="4"/>
  <c r="D220" i="4"/>
  <c r="E220" i="4"/>
  <c r="J220" i="4"/>
  <c r="M220" i="4"/>
  <c r="P220" i="4"/>
  <c r="S220" i="4"/>
  <c r="V220" i="4"/>
  <c r="D221" i="4"/>
  <c r="E221" i="4"/>
  <c r="G221" i="4"/>
  <c r="J221" i="4"/>
  <c r="K221" i="4"/>
  <c r="M221" i="4"/>
  <c r="N221" i="4"/>
  <c r="P221" i="4"/>
  <c r="Q221" i="4"/>
  <c r="S221" i="4"/>
  <c r="T221" i="4"/>
  <c r="V221" i="4"/>
  <c r="W221" i="4"/>
  <c r="D222" i="4"/>
  <c r="E222" i="4"/>
  <c r="J222" i="4"/>
  <c r="M222" i="4"/>
  <c r="P222" i="4"/>
  <c r="S222" i="4"/>
  <c r="V222" i="4"/>
  <c r="D223" i="4"/>
  <c r="E223" i="4"/>
  <c r="G223" i="4"/>
  <c r="J223" i="4"/>
  <c r="K223" i="4"/>
  <c r="M223" i="4"/>
  <c r="N223" i="4"/>
  <c r="P223" i="4"/>
  <c r="P20" i="4"/>
  <c r="P161" i="4"/>
  <c r="Q223" i="4"/>
  <c r="S223" i="4"/>
  <c r="T223" i="4"/>
  <c r="V223" i="4"/>
  <c r="W223" i="4"/>
  <c r="D224" i="4"/>
  <c r="E224" i="4"/>
  <c r="J224" i="4"/>
  <c r="M224" i="4"/>
  <c r="P224" i="4"/>
  <c r="S224" i="4"/>
  <c r="V224" i="4"/>
  <c r="D225" i="4"/>
  <c r="E225" i="4"/>
  <c r="G225" i="4"/>
  <c r="J225" i="4"/>
  <c r="K225" i="4"/>
  <c r="M225" i="4"/>
  <c r="N225" i="4"/>
  <c r="P225" i="4"/>
  <c r="Q225" i="4"/>
  <c r="S225" i="4"/>
  <c r="T225" i="4"/>
  <c r="V225" i="4"/>
  <c r="W225" i="4"/>
  <c r="D226" i="4"/>
  <c r="E226" i="4"/>
  <c r="G226" i="4"/>
  <c r="H226" i="4"/>
  <c r="J226" i="4"/>
  <c r="K226" i="4"/>
  <c r="M226" i="4"/>
  <c r="N226" i="4"/>
  <c r="P226" i="4"/>
  <c r="Q226" i="4"/>
  <c r="S226" i="4"/>
  <c r="T226" i="4"/>
  <c r="V226" i="4"/>
  <c r="W226" i="4"/>
  <c r="D227" i="4"/>
  <c r="E227" i="4"/>
  <c r="G227" i="4"/>
  <c r="J227" i="4"/>
  <c r="K227" i="4"/>
  <c r="M227" i="4"/>
  <c r="N227" i="4"/>
  <c r="P227" i="4"/>
  <c r="Q227" i="4"/>
  <c r="S227" i="4"/>
  <c r="T227" i="4"/>
  <c r="V227" i="4"/>
  <c r="W227" i="4"/>
  <c r="D228" i="4"/>
  <c r="E228" i="4"/>
  <c r="G228" i="4"/>
  <c r="J228" i="4"/>
  <c r="K228" i="4"/>
  <c r="M228" i="4"/>
  <c r="N228" i="4"/>
  <c r="P228" i="4"/>
  <c r="Q228" i="4"/>
  <c r="S228" i="4"/>
  <c r="T228" i="4"/>
  <c r="V228" i="4"/>
  <c r="W228" i="4"/>
  <c r="D229" i="4"/>
  <c r="E229" i="4"/>
  <c r="G229" i="4"/>
  <c r="J229" i="4"/>
  <c r="K229" i="4"/>
  <c r="M229" i="4"/>
  <c r="N229" i="4"/>
  <c r="P229" i="4"/>
  <c r="Q229" i="4"/>
  <c r="S229" i="4"/>
  <c r="T229" i="4"/>
  <c r="V229" i="4"/>
  <c r="W229" i="4"/>
  <c r="D230" i="4"/>
  <c r="E230" i="4"/>
  <c r="G230" i="4"/>
  <c r="J230" i="4"/>
  <c r="K230" i="4"/>
  <c r="M230" i="4"/>
  <c r="N230" i="4"/>
  <c r="P230" i="4"/>
  <c r="Q230" i="4"/>
  <c r="S230" i="4"/>
  <c r="T230" i="4"/>
  <c r="V230" i="4"/>
  <c r="W230" i="4"/>
  <c r="D231" i="4"/>
  <c r="E231" i="4"/>
  <c r="G231" i="4"/>
  <c r="J231" i="4"/>
  <c r="K231" i="4"/>
  <c r="M231" i="4"/>
  <c r="N231" i="4"/>
  <c r="P231" i="4"/>
  <c r="Q231" i="4"/>
  <c r="S231" i="4"/>
  <c r="T231" i="4"/>
  <c r="V231" i="4"/>
  <c r="W231" i="4"/>
  <c r="D232" i="4"/>
  <c r="E232" i="4"/>
  <c r="G232" i="4"/>
  <c r="J232" i="4"/>
  <c r="K232" i="4"/>
  <c r="M232" i="4"/>
  <c r="N232" i="4"/>
  <c r="P232" i="4"/>
  <c r="Q232" i="4"/>
  <c r="S232" i="4"/>
  <c r="T232" i="4"/>
  <c r="V232" i="4"/>
  <c r="W232" i="4"/>
  <c r="D233" i="4"/>
  <c r="E233" i="4"/>
  <c r="J233" i="4"/>
  <c r="M233" i="4"/>
  <c r="P233" i="4"/>
  <c r="S233" i="4"/>
  <c r="V233" i="4"/>
  <c r="D234" i="4"/>
  <c r="E234" i="4"/>
  <c r="G234" i="4"/>
  <c r="J234" i="4"/>
  <c r="K234" i="4"/>
  <c r="M234" i="4"/>
  <c r="N234" i="4"/>
  <c r="P234" i="4"/>
  <c r="Q234" i="4"/>
  <c r="S234" i="4"/>
  <c r="T234" i="4"/>
  <c r="V234" i="4"/>
  <c r="W234" i="4"/>
  <c r="D235" i="4"/>
  <c r="E235" i="4"/>
  <c r="G235" i="4"/>
  <c r="J235" i="4"/>
  <c r="K235" i="4"/>
  <c r="M235" i="4"/>
  <c r="N235" i="4"/>
  <c r="P235" i="4"/>
  <c r="Q235" i="4"/>
  <c r="S235" i="4"/>
  <c r="T235" i="4"/>
  <c r="V235" i="4"/>
  <c r="W235" i="4"/>
  <c r="D236" i="4"/>
  <c r="E236" i="4"/>
  <c r="G236" i="4"/>
  <c r="J236" i="4"/>
  <c r="K236" i="4"/>
  <c r="M236" i="4"/>
  <c r="N236" i="4"/>
  <c r="P236" i="4"/>
  <c r="Q236" i="4"/>
  <c r="S236" i="4"/>
  <c r="T236" i="4"/>
  <c r="V236" i="4"/>
  <c r="W236" i="4"/>
  <c r="D237" i="4"/>
  <c r="E237" i="4"/>
  <c r="G237" i="4"/>
  <c r="H237" i="4"/>
  <c r="J237" i="4"/>
  <c r="K237" i="4"/>
  <c r="M237" i="4"/>
  <c r="N237" i="4"/>
  <c r="P237" i="4"/>
  <c r="Q237" i="4"/>
  <c r="S237" i="4"/>
  <c r="T237" i="4"/>
  <c r="V237" i="4"/>
  <c r="W237" i="4"/>
  <c r="D238" i="4"/>
  <c r="E238" i="4"/>
  <c r="J238" i="4"/>
  <c r="M238" i="4"/>
  <c r="P238" i="4"/>
  <c r="S238" i="4"/>
  <c r="V238" i="4"/>
  <c r="D239" i="4"/>
  <c r="E239" i="4"/>
  <c r="G239" i="4"/>
  <c r="J239" i="4"/>
  <c r="K239" i="4"/>
  <c r="M239" i="4"/>
  <c r="N239" i="4"/>
  <c r="P239" i="4"/>
  <c r="Q239" i="4"/>
  <c r="S239" i="4"/>
  <c r="T239" i="4"/>
  <c r="V239" i="4"/>
  <c r="W239" i="4"/>
  <c r="D240" i="4"/>
  <c r="E240" i="4"/>
  <c r="G240" i="4"/>
  <c r="J240" i="4"/>
  <c r="K240" i="4"/>
  <c r="M240" i="4"/>
  <c r="N240" i="4"/>
  <c r="P240" i="4"/>
  <c r="Q240" i="4"/>
  <c r="S240" i="4"/>
  <c r="T240" i="4"/>
  <c r="V240" i="4"/>
  <c r="W240" i="4"/>
  <c r="D241" i="4"/>
  <c r="E241" i="4"/>
  <c r="G241" i="4"/>
  <c r="J241" i="4"/>
  <c r="K241" i="4"/>
  <c r="M241" i="4"/>
  <c r="N241" i="4"/>
  <c r="P241" i="4"/>
  <c r="Q241" i="4"/>
  <c r="S241" i="4"/>
  <c r="T241" i="4"/>
  <c r="V241" i="4"/>
  <c r="W241" i="4"/>
  <c r="D242" i="4"/>
  <c r="E242" i="4"/>
  <c r="G242" i="4"/>
  <c r="H242" i="4"/>
  <c r="J242" i="4"/>
  <c r="K242" i="4"/>
  <c r="M242" i="4"/>
  <c r="O242" i="4" s="1"/>
  <c r="N242" i="4"/>
  <c r="P242" i="4"/>
  <c r="Q242" i="4"/>
  <c r="S242" i="4"/>
  <c r="T242" i="4"/>
  <c r="V242" i="4"/>
  <c r="W242" i="4"/>
  <c r="D243" i="4"/>
  <c r="E243" i="4"/>
  <c r="G243" i="4"/>
  <c r="J243" i="4"/>
  <c r="K243" i="4"/>
  <c r="M243" i="4"/>
  <c r="N243" i="4"/>
  <c r="P243" i="4"/>
  <c r="Q243" i="4"/>
  <c r="S243" i="4"/>
  <c r="T243" i="4"/>
  <c r="V243" i="4"/>
  <c r="W243" i="4"/>
  <c r="D244" i="4"/>
  <c r="E244" i="4"/>
  <c r="G244" i="4"/>
  <c r="J244" i="4"/>
  <c r="K244" i="4"/>
  <c r="M244" i="4"/>
  <c r="N244" i="4"/>
  <c r="P244" i="4"/>
  <c r="Q244" i="4"/>
  <c r="S244" i="4"/>
  <c r="T244" i="4"/>
  <c r="V244" i="4"/>
  <c r="W244" i="4"/>
  <c r="D245" i="4"/>
  <c r="E245" i="4"/>
  <c r="G245" i="4"/>
  <c r="J245" i="4"/>
  <c r="K245" i="4"/>
  <c r="M245" i="4"/>
  <c r="N245" i="4"/>
  <c r="P245" i="4"/>
  <c r="Q245" i="4"/>
  <c r="S245" i="4"/>
  <c r="T245" i="4"/>
  <c r="V245" i="4"/>
  <c r="W245" i="4"/>
  <c r="D246" i="4"/>
  <c r="E246" i="4"/>
  <c r="G246" i="4"/>
  <c r="J246" i="4"/>
  <c r="K246" i="4"/>
  <c r="M246" i="4"/>
  <c r="N246" i="4"/>
  <c r="P246" i="4"/>
  <c r="Q246" i="4"/>
  <c r="S246" i="4"/>
  <c r="T246" i="4"/>
  <c r="V246" i="4"/>
  <c r="W246" i="4"/>
  <c r="D247" i="4"/>
  <c r="E247" i="4"/>
  <c r="J247" i="4"/>
  <c r="M247" i="4"/>
  <c r="P247" i="4"/>
  <c r="S247" i="4"/>
  <c r="V247" i="4"/>
  <c r="D248" i="4"/>
  <c r="E248" i="4"/>
  <c r="J248" i="4"/>
  <c r="M248" i="4"/>
  <c r="P248" i="4"/>
  <c r="S248" i="4"/>
  <c r="V248" i="4"/>
  <c r="D154" i="4"/>
  <c r="E154" i="4"/>
  <c r="G154" i="4"/>
  <c r="J154" i="4"/>
  <c r="K154" i="4"/>
  <c r="M154" i="4"/>
  <c r="N154" i="4"/>
  <c r="P154" i="4"/>
  <c r="Q154" i="4"/>
  <c r="S154" i="4"/>
  <c r="T154" i="4"/>
  <c r="V154" i="4"/>
  <c r="W154" i="4"/>
  <c r="D155" i="4"/>
  <c r="E155" i="4"/>
  <c r="G155" i="4"/>
  <c r="J155" i="4"/>
  <c r="K155" i="4"/>
  <c r="M155" i="4"/>
  <c r="N155" i="4"/>
  <c r="P155" i="4"/>
  <c r="Q155" i="4"/>
  <c r="S155" i="4"/>
  <c r="T155" i="4"/>
  <c r="V155" i="4"/>
  <c r="W155" i="4"/>
  <c r="D156" i="4"/>
  <c r="E156" i="4"/>
  <c r="G156" i="4"/>
  <c r="J156" i="4"/>
  <c r="K156" i="4"/>
  <c r="M156" i="4"/>
  <c r="N156" i="4"/>
  <c r="P156" i="4"/>
  <c r="Q156" i="4"/>
  <c r="S156" i="4"/>
  <c r="T156" i="4"/>
  <c r="V156" i="4"/>
  <c r="W156" i="4"/>
  <c r="D157" i="4"/>
  <c r="E157" i="4"/>
  <c r="G157" i="4"/>
  <c r="J157" i="4"/>
  <c r="K157" i="4"/>
  <c r="M157" i="4"/>
  <c r="N157" i="4"/>
  <c r="P157" i="4"/>
  <c r="Q157" i="4"/>
  <c r="S157" i="4"/>
  <c r="T157" i="4"/>
  <c r="V157" i="4"/>
  <c r="W157" i="4"/>
  <c r="D158" i="4"/>
  <c r="E158" i="4"/>
  <c r="J158" i="4"/>
  <c r="M158" i="4"/>
  <c r="P158" i="4"/>
  <c r="S158" i="4"/>
  <c r="V158" i="4"/>
  <c r="D159" i="4"/>
  <c r="E159" i="4"/>
  <c r="G159" i="4"/>
  <c r="J159" i="4"/>
  <c r="K159" i="4"/>
  <c r="M159" i="4"/>
  <c r="N159" i="4"/>
  <c r="P159" i="4"/>
  <c r="Q159" i="4"/>
  <c r="S159" i="4"/>
  <c r="T159" i="4"/>
  <c r="V159" i="4"/>
  <c r="W159" i="4"/>
  <c r="D160" i="4"/>
  <c r="E160" i="4"/>
  <c r="J160" i="4"/>
  <c r="M160" i="4"/>
  <c r="P160" i="4"/>
  <c r="S160" i="4"/>
  <c r="V160" i="4"/>
  <c r="D161" i="4"/>
  <c r="E161" i="4"/>
  <c r="G161" i="4"/>
  <c r="J161" i="4"/>
  <c r="K161" i="4"/>
  <c r="M161" i="4"/>
  <c r="N161" i="4"/>
  <c r="Q161" i="4"/>
  <c r="S161" i="4"/>
  <c r="T161" i="4"/>
  <c r="V161" i="4"/>
  <c r="W161" i="4"/>
  <c r="D162" i="4"/>
  <c r="E162" i="4"/>
  <c r="J162" i="4"/>
  <c r="M162" i="4"/>
  <c r="P162" i="4"/>
  <c r="S162" i="4"/>
  <c r="V162" i="4"/>
  <c r="D163" i="4"/>
  <c r="E163" i="4"/>
  <c r="G163" i="4"/>
  <c r="J163" i="4"/>
  <c r="K163" i="4"/>
  <c r="M163" i="4"/>
  <c r="N163" i="4"/>
  <c r="P163" i="4"/>
  <c r="Q163" i="4"/>
  <c r="S163" i="4"/>
  <c r="T163" i="4"/>
  <c r="V163" i="4"/>
  <c r="W163" i="4"/>
  <c r="D164" i="4"/>
  <c r="E164" i="4"/>
  <c r="G164" i="4"/>
  <c r="H164" i="4"/>
  <c r="J164" i="4"/>
  <c r="K164" i="4"/>
  <c r="M164" i="4"/>
  <c r="N164" i="4"/>
  <c r="P164" i="4"/>
  <c r="Q164" i="4"/>
  <c r="S164" i="4"/>
  <c r="T164" i="4"/>
  <c r="V164" i="4"/>
  <c r="W164" i="4"/>
  <c r="D165" i="4"/>
  <c r="E165" i="4"/>
  <c r="G165" i="4"/>
  <c r="J165" i="4"/>
  <c r="K165" i="4"/>
  <c r="M165" i="4"/>
  <c r="N165" i="4"/>
  <c r="P165" i="4"/>
  <c r="Q165" i="4"/>
  <c r="S165" i="4"/>
  <c r="T165" i="4"/>
  <c r="V165" i="4"/>
  <c r="W165" i="4"/>
  <c r="D166" i="4"/>
  <c r="E166" i="4"/>
  <c r="G166" i="4"/>
  <c r="J166" i="4"/>
  <c r="K166" i="4"/>
  <c r="M166" i="4"/>
  <c r="N166" i="4"/>
  <c r="P166" i="4"/>
  <c r="Q166" i="4"/>
  <c r="S166" i="4"/>
  <c r="T166" i="4"/>
  <c r="V166" i="4"/>
  <c r="W166" i="4"/>
  <c r="D167" i="4"/>
  <c r="E167" i="4"/>
  <c r="G167" i="4"/>
  <c r="J167" i="4"/>
  <c r="K167" i="4"/>
  <c r="M167" i="4"/>
  <c r="N167" i="4"/>
  <c r="P167" i="4"/>
  <c r="Q167" i="4"/>
  <c r="S167" i="4"/>
  <c r="T167" i="4"/>
  <c r="V167" i="4"/>
  <c r="W167" i="4"/>
  <c r="D168" i="4"/>
  <c r="E168" i="4"/>
  <c r="G168" i="4"/>
  <c r="J168" i="4"/>
  <c r="K168" i="4"/>
  <c r="M168" i="4"/>
  <c r="N168" i="4"/>
  <c r="P168" i="4"/>
  <c r="Q168" i="4"/>
  <c r="S168" i="4"/>
  <c r="T168" i="4"/>
  <c r="V168" i="4"/>
  <c r="W168" i="4"/>
  <c r="D169" i="4"/>
  <c r="E169" i="4"/>
  <c r="G169" i="4"/>
  <c r="J169" i="4"/>
  <c r="K169" i="4"/>
  <c r="M169" i="4"/>
  <c r="N169" i="4"/>
  <c r="P169" i="4"/>
  <c r="Q169" i="4"/>
  <c r="S169" i="4"/>
  <c r="T169" i="4"/>
  <c r="V169" i="4"/>
  <c r="W169" i="4"/>
  <c r="D170" i="4"/>
  <c r="E170" i="4"/>
  <c r="G170" i="4"/>
  <c r="J170" i="4"/>
  <c r="K170" i="4"/>
  <c r="M170" i="4"/>
  <c r="N170" i="4"/>
  <c r="P170" i="4"/>
  <c r="Q170" i="4"/>
  <c r="S170" i="4"/>
  <c r="T170" i="4"/>
  <c r="V170" i="4"/>
  <c r="W170" i="4"/>
  <c r="D171" i="4"/>
  <c r="E171" i="4"/>
  <c r="J171" i="4"/>
  <c r="M171" i="4"/>
  <c r="P171" i="4"/>
  <c r="S171" i="4"/>
  <c r="V171" i="4"/>
  <c r="D172" i="4"/>
  <c r="E172" i="4"/>
  <c r="G172" i="4"/>
  <c r="J172" i="4"/>
  <c r="K172" i="4"/>
  <c r="M172" i="4"/>
  <c r="N172" i="4"/>
  <c r="P172" i="4"/>
  <c r="Q172" i="4"/>
  <c r="S172" i="4"/>
  <c r="T172" i="4"/>
  <c r="V172" i="4"/>
  <c r="W172" i="4"/>
  <c r="D173" i="4"/>
  <c r="E173" i="4"/>
  <c r="G173" i="4"/>
  <c r="J173" i="4"/>
  <c r="K173" i="4"/>
  <c r="M173" i="4"/>
  <c r="N173" i="4"/>
  <c r="P173" i="4"/>
  <c r="Q173" i="4"/>
  <c r="S173" i="4"/>
  <c r="T173" i="4"/>
  <c r="V173" i="4"/>
  <c r="W173" i="4"/>
  <c r="D174" i="4"/>
  <c r="E174" i="4"/>
  <c r="G174" i="4"/>
  <c r="J174" i="4"/>
  <c r="K174" i="4"/>
  <c r="M174" i="4"/>
  <c r="N174" i="4"/>
  <c r="P174" i="4"/>
  <c r="Q174" i="4"/>
  <c r="S174" i="4"/>
  <c r="T174" i="4"/>
  <c r="V174" i="4"/>
  <c r="W174" i="4"/>
  <c r="D175" i="4"/>
  <c r="E175" i="4"/>
  <c r="G175" i="4"/>
  <c r="H175" i="4"/>
  <c r="J175" i="4"/>
  <c r="K175" i="4"/>
  <c r="M175" i="4"/>
  <c r="N175" i="4"/>
  <c r="P175" i="4"/>
  <c r="Q175" i="4"/>
  <c r="S175" i="4"/>
  <c r="T175" i="4"/>
  <c r="V175" i="4"/>
  <c r="W175" i="4"/>
  <c r="D176" i="4"/>
  <c r="E176" i="4"/>
  <c r="J176" i="4"/>
  <c r="M176" i="4"/>
  <c r="P176" i="4"/>
  <c r="S176" i="4"/>
  <c r="V176" i="4"/>
  <c r="D177" i="4"/>
  <c r="E177" i="4"/>
  <c r="G177" i="4"/>
  <c r="J177" i="4"/>
  <c r="K177" i="4"/>
  <c r="M177" i="4"/>
  <c r="N177" i="4"/>
  <c r="P177" i="4"/>
  <c r="Q177" i="4"/>
  <c r="S177" i="4"/>
  <c r="T177" i="4"/>
  <c r="V177" i="4"/>
  <c r="W177" i="4"/>
  <c r="D178" i="4"/>
  <c r="E178" i="4"/>
  <c r="G178" i="4"/>
  <c r="J178" i="4"/>
  <c r="K178" i="4"/>
  <c r="M178" i="4"/>
  <c r="N178" i="4"/>
  <c r="P178" i="4"/>
  <c r="Q178" i="4"/>
  <c r="S178" i="4"/>
  <c r="T178" i="4"/>
  <c r="V178" i="4"/>
  <c r="W178" i="4"/>
  <c r="D179" i="4"/>
  <c r="E179" i="4"/>
  <c r="G179" i="4"/>
  <c r="J179" i="4"/>
  <c r="K179" i="4"/>
  <c r="M179" i="4"/>
  <c r="N179" i="4"/>
  <c r="P179" i="4"/>
  <c r="Q179" i="4"/>
  <c r="S179" i="4"/>
  <c r="T179" i="4"/>
  <c r="V179" i="4"/>
  <c r="W179" i="4"/>
  <c r="D180" i="4"/>
  <c r="E180" i="4"/>
  <c r="I180" i="4" s="1"/>
  <c r="G180" i="4"/>
  <c r="H180" i="4"/>
  <c r="J180" i="4"/>
  <c r="K180" i="4"/>
  <c r="M180" i="4"/>
  <c r="N180" i="4"/>
  <c r="P180" i="4"/>
  <c r="Q180" i="4"/>
  <c r="S180" i="4"/>
  <c r="T180" i="4"/>
  <c r="V180" i="4"/>
  <c r="W180" i="4"/>
  <c r="D181" i="4"/>
  <c r="E181" i="4"/>
  <c r="G181" i="4"/>
  <c r="J181" i="4"/>
  <c r="K181" i="4"/>
  <c r="M181" i="4"/>
  <c r="N181" i="4"/>
  <c r="P181" i="4"/>
  <c r="Q181" i="4"/>
  <c r="S181" i="4"/>
  <c r="T181" i="4"/>
  <c r="V181" i="4"/>
  <c r="W181" i="4"/>
  <c r="D182" i="4"/>
  <c r="E182" i="4"/>
  <c r="G182" i="4"/>
  <c r="J182" i="4"/>
  <c r="K182" i="4"/>
  <c r="M182" i="4"/>
  <c r="N182" i="4"/>
  <c r="P182" i="4"/>
  <c r="Q182" i="4"/>
  <c r="S182" i="4"/>
  <c r="T182" i="4"/>
  <c r="V182" i="4"/>
  <c r="W182" i="4"/>
  <c r="D183" i="4"/>
  <c r="E183" i="4"/>
  <c r="G183" i="4"/>
  <c r="J183" i="4"/>
  <c r="K183" i="4"/>
  <c r="M183" i="4"/>
  <c r="N183" i="4"/>
  <c r="P183" i="4"/>
  <c r="Q183" i="4"/>
  <c r="S183" i="4"/>
  <c r="T183" i="4"/>
  <c r="V183" i="4"/>
  <c r="W183" i="4"/>
  <c r="D184" i="4"/>
  <c r="E184" i="4"/>
  <c r="G184" i="4"/>
  <c r="J184" i="4"/>
  <c r="K184" i="4"/>
  <c r="M184" i="4"/>
  <c r="N184" i="4"/>
  <c r="P184" i="4"/>
  <c r="Q184" i="4"/>
  <c r="S184" i="4"/>
  <c r="T184" i="4"/>
  <c r="V184" i="4"/>
  <c r="W184" i="4"/>
  <c r="D185" i="4"/>
  <c r="E185" i="4"/>
  <c r="J185" i="4"/>
  <c r="M185" i="4"/>
  <c r="P185" i="4"/>
  <c r="S185" i="4"/>
  <c r="V185" i="4"/>
  <c r="D186" i="4"/>
  <c r="E186" i="4"/>
  <c r="J186" i="4"/>
  <c r="M186" i="4"/>
  <c r="P186" i="4"/>
  <c r="S186" i="4"/>
  <c r="V186" i="4"/>
  <c r="X934" i="4"/>
  <c r="U934" i="4"/>
  <c r="R934" i="4"/>
  <c r="O934" i="4"/>
  <c r="L934" i="4"/>
  <c r="V13" i="4"/>
  <c r="V14" i="4"/>
  <c r="V15" i="4"/>
  <c r="V16" i="4"/>
  <c r="V17" i="4"/>
  <c r="V18" i="4"/>
  <c r="V19" i="4"/>
  <c r="V20" i="4"/>
  <c r="V21" i="4"/>
  <c r="V22" i="4"/>
  <c r="V23" i="4"/>
  <c r="X23" i="4" s="1"/>
  <c r="V24" i="4"/>
  <c r="V25" i="4"/>
  <c r="V26" i="4"/>
  <c r="V27" i="4"/>
  <c r="V28" i="4"/>
  <c r="V29" i="4"/>
  <c r="V30" i="4"/>
  <c r="V31" i="4"/>
  <c r="V32" i="4"/>
  <c r="V33" i="4"/>
  <c r="V34" i="4"/>
  <c r="X34" i="4" s="1"/>
  <c r="V35" i="4"/>
  <c r="V36" i="4"/>
  <c r="V37" i="4"/>
  <c r="V38" i="4"/>
  <c r="V39" i="4"/>
  <c r="X39" i="4" s="1"/>
  <c r="V40" i="4"/>
  <c r="V41" i="4"/>
  <c r="V42" i="4"/>
  <c r="V43" i="4"/>
  <c r="V44" i="4"/>
  <c r="V45" i="4"/>
  <c r="S13" i="4"/>
  <c r="S14" i="4"/>
  <c r="S15" i="4"/>
  <c r="S16" i="4"/>
  <c r="U16" i="4" s="1"/>
  <c r="S17" i="4"/>
  <c r="S18" i="4"/>
  <c r="S19" i="4"/>
  <c r="S20" i="4"/>
  <c r="S21" i="4"/>
  <c r="S22" i="4"/>
  <c r="S23" i="4"/>
  <c r="U23" i="4" s="1"/>
  <c r="S24" i="4"/>
  <c r="S25" i="4"/>
  <c r="S26" i="4"/>
  <c r="S27" i="4"/>
  <c r="U27" i="4" s="1"/>
  <c r="S28" i="4"/>
  <c r="S29" i="4"/>
  <c r="S30" i="4"/>
  <c r="S31" i="4"/>
  <c r="S32" i="4"/>
  <c r="U32" i="4" s="1"/>
  <c r="S33" i="4"/>
  <c r="S34" i="4"/>
  <c r="U34" i="4" s="1"/>
  <c r="S35" i="4"/>
  <c r="S36" i="4"/>
  <c r="S37" i="4"/>
  <c r="S38" i="4"/>
  <c r="S39" i="4"/>
  <c r="U39" i="4" s="1"/>
  <c r="S40" i="4"/>
  <c r="S41" i="4"/>
  <c r="S42" i="4"/>
  <c r="S43" i="4"/>
  <c r="S44" i="4"/>
  <c r="S45" i="4"/>
  <c r="P37" i="4"/>
  <c r="P38" i="4"/>
  <c r="P39" i="4"/>
  <c r="R39" i="4" s="1"/>
  <c r="P40" i="4"/>
  <c r="R40" i="4" s="1"/>
  <c r="P41" i="4"/>
  <c r="P42" i="4"/>
  <c r="P43" i="4"/>
  <c r="P44" i="4"/>
  <c r="P45" i="4"/>
  <c r="P13" i="4"/>
  <c r="P14" i="4"/>
  <c r="P15" i="4"/>
  <c r="P16" i="4"/>
  <c r="R16" i="4" s="1"/>
  <c r="P17" i="4"/>
  <c r="P18" i="4"/>
  <c r="P19" i="4"/>
  <c r="P21" i="4"/>
  <c r="P22" i="4"/>
  <c r="P23" i="4"/>
  <c r="R23" i="4" s="1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M13" i="4"/>
  <c r="M14" i="4"/>
  <c r="M15" i="4"/>
  <c r="M16" i="4"/>
  <c r="M17" i="4"/>
  <c r="M18" i="4"/>
  <c r="M19" i="4"/>
  <c r="M20" i="4"/>
  <c r="M21" i="4"/>
  <c r="M22" i="4"/>
  <c r="M23" i="4"/>
  <c r="O23" i="4" s="1"/>
  <c r="M24" i="4"/>
  <c r="M25" i="4"/>
  <c r="M26" i="4"/>
  <c r="M27" i="4"/>
  <c r="O27" i="4" s="1"/>
  <c r="M28" i="4"/>
  <c r="M29" i="4"/>
  <c r="M30" i="4"/>
  <c r="M31" i="4"/>
  <c r="M32" i="4"/>
  <c r="M33" i="4"/>
  <c r="M34" i="4"/>
  <c r="O34" i="4" s="1"/>
  <c r="M35" i="4"/>
  <c r="M36" i="4"/>
  <c r="M37" i="4"/>
  <c r="M38" i="4"/>
  <c r="M39" i="4"/>
  <c r="O39" i="4" s="1"/>
  <c r="M40" i="4"/>
  <c r="M41" i="4"/>
  <c r="M42" i="4"/>
  <c r="M43" i="4"/>
  <c r="M44" i="4"/>
  <c r="M45" i="4"/>
  <c r="J13" i="4"/>
  <c r="J14" i="4"/>
  <c r="J15" i="4"/>
  <c r="J16" i="4"/>
  <c r="L16" i="4" s="1"/>
  <c r="J17" i="4"/>
  <c r="J18" i="4"/>
  <c r="J19" i="4"/>
  <c r="J20" i="4"/>
  <c r="J21" i="4"/>
  <c r="J22" i="4"/>
  <c r="J23" i="4"/>
  <c r="L23" i="4" s="1"/>
  <c r="J24" i="4"/>
  <c r="J25" i="4"/>
  <c r="J26" i="4"/>
  <c r="J27" i="4"/>
  <c r="J28" i="4"/>
  <c r="J29" i="4"/>
  <c r="J30" i="4"/>
  <c r="J31" i="4"/>
  <c r="J32" i="4"/>
  <c r="J33" i="4"/>
  <c r="J34" i="4"/>
  <c r="L34" i="4" s="1"/>
  <c r="J35" i="4"/>
  <c r="J36" i="4"/>
  <c r="J37" i="4"/>
  <c r="J38" i="4"/>
  <c r="J39" i="4"/>
  <c r="J40" i="4"/>
  <c r="J41" i="4"/>
  <c r="J42" i="4"/>
  <c r="J43" i="4"/>
  <c r="J44" i="4"/>
  <c r="J45" i="4"/>
  <c r="E13" i="4"/>
  <c r="E14" i="4"/>
  <c r="E15" i="4"/>
  <c r="E16" i="4"/>
  <c r="I16" i="4" s="1"/>
  <c r="E17" i="4"/>
  <c r="E18" i="4"/>
  <c r="E19" i="4"/>
  <c r="E20" i="4"/>
  <c r="E21" i="4"/>
  <c r="E22" i="4"/>
  <c r="E23" i="4"/>
  <c r="I23" i="4" s="1"/>
  <c r="E24" i="4"/>
  <c r="E25" i="4"/>
  <c r="E26" i="4"/>
  <c r="E27" i="4"/>
  <c r="I27" i="4" s="1"/>
  <c r="E28" i="4"/>
  <c r="E29" i="4"/>
  <c r="E30" i="4"/>
  <c r="E31" i="4"/>
  <c r="E32" i="4"/>
  <c r="E33" i="4"/>
  <c r="E34" i="4"/>
  <c r="I34" i="4" s="1"/>
  <c r="E35" i="4"/>
  <c r="E36" i="4"/>
  <c r="E37" i="4"/>
  <c r="E38" i="4"/>
  <c r="E39" i="4"/>
  <c r="E40" i="4"/>
  <c r="E41" i="4"/>
  <c r="E42" i="4"/>
  <c r="E43" i="4"/>
  <c r="E44" i="4"/>
  <c r="E45" i="4"/>
  <c r="Q196" i="30"/>
  <c r="Q197" i="30"/>
  <c r="Q198" i="30"/>
  <c r="Q199" i="30"/>
  <c r="Q200" i="30"/>
  <c r="Q201" i="30"/>
  <c r="Q202" i="30"/>
  <c r="Q203" i="30"/>
  <c r="Q204" i="30"/>
  <c r="Q205" i="30"/>
  <c r="Q206" i="30"/>
  <c r="Q207" i="30"/>
  <c r="Q208" i="30"/>
  <c r="Q209" i="30"/>
  <c r="Q210" i="30"/>
  <c r="Q211" i="30"/>
  <c r="Q212" i="30"/>
  <c r="Q213" i="30"/>
  <c r="Q214" i="30"/>
  <c r="Q215" i="30"/>
  <c r="Q216" i="30"/>
  <c r="Q217" i="30"/>
  <c r="Q218" i="30"/>
  <c r="Q219" i="30"/>
  <c r="Q220" i="30"/>
  <c r="Q221" i="30"/>
  <c r="Q222" i="30"/>
  <c r="Q223" i="30"/>
  <c r="Q224" i="30"/>
  <c r="Q225" i="30"/>
  <c r="Q226" i="30"/>
  <c r="Q227" i="30"/>
  <c r="Q228" i="30"/>
  <c r="Q150" i="30"/>
  <c r="Q151" i="30"/>
  <c r="Q152" i="30"/>
  <c r="Q153" i="30"/>
  <c r="Q154" i="30"/>
  <c r="Q155" i="30"/>
  <c r="Q156" i="30"/>
  <c r="Q157" i="30"/>
  <c r="Q158" i="30"/>
  <c r="Q159" i="30"/>
  <c r="Q160" i="30"/>
  <c r="Q161" i="30"/>
  <c r="Q162" i="30"/>
  <c r="Q163" i="30"/>
  <c r="Q164" i="30"/>
  <c r="Q165" i="30"/>
  <c r="Q166" i="30"/>
  <c r="Q167" i="30"/>
  <c r="Q168" i="30"/>
  <c r="Q169" i="30"/>
  <c r="Q170" i="30"/>
  <c r="Q171" i="30"/>
  <c r="Q172" i="30"/>
  <c r="Q173" i="30"/>
  <c r="Q174" i="30"/>
  <c r="Q175" i="30"/>
  <c r="Q176" i="30"/>
  <c r="Q177" i="30"/>
  <c r="Q178" i="30"/>
  <c r="Q179" i="30"/>
  <c r="Q180" i="30"/>
  <c r="Q181" i="30"/>
  <c r="Q182" i="30"/>
  <c r="Q104" i="30"/>
  <c r="Q105" i="30"/>
  <c r="Q106" i="30"/>
  <c r="Q107" i="30"/>
  <c r="Q108" i="30"/>
  <c r="Q109" i="30"/>
  <c r="Q110" i="30"/>
  <c r="Q111" i="30"/>
  <c r="Q112" i="30"/>
  <c r="Q113" i="30"/>
  <c r="Q114" i="30"/>
  <c r="Q115" i="30"/>
  <c r="Q116" i="30"/>
  <c r="Q117" i="30"/>
  <c r="Q118" i="30"/>
  <c r="Q119" i="30"/>
  <c r="Q120" i="30"/>
  <c r="Q121" i="30"/>
  <c r="Q122" i="30"/>
  <c r="Q123" i="30"/>
  <c r="Q124" i="30"/>
  <c r="Q125" i="30"/>
  <c r="Q126" i="30"/>
  <c r="Q127" i="30"/>
  <c r="Q128" i="30"/>
  <c r="Q129" i="30"/>
  <c r="Q130" i="30"/>
  <c r="Q131" i="30"/>
  <c r="Q132" i="30"/>
  <c r="Q133" i="30"/>
  <c r="Q134" i="30"/>
  <c r="Q135" i="30"/>
  <c r="Q136" i="30"/>
  <c r="Q58" i="30"/>
  <c r="Q59" i="30"/>
  <c r="Q60" i="30"/>
  <c r="Q61" i="30"/>
  <c r="Q62" i="30"/>
  <c r="Q63" i="30"/>
  <c r="Q64" i="30"/>
  <c r="Q65" i="30"/>
  <c r="Q66" i="30"/>
  <c r="Q67" i="30"/>
  <c r="Q68" i="30"/>
  <c r="Q69" i="30"/>
  <c r="Q70" i="30"/>
  <c r="Q71" i="30"/>
  <c r="Q72" i="30"/>
  <c r="Q73" i="30"/>
  <c r="Q74" i="30"/>
  <c r="Q75" i="30"/>
  <c r="Q76" i="30"/>
  <c r="Q77" i="30"/>
  <c r="Q78" i="30"/>
  <c r="Q79" i="30"/>
  <c r="Q80" i="30"/>
  <c r="Q81" i="30"/>
  <c r="Q82" i="30"/>
  <c r="Q83" i="30"/>
  <c r="Q84" i="30"/>
  <c r="Q85" i="30"/>
  <c r="Q86" i="30"/>
  <c r="Q87" i="30"/>
  <c r="Q88" i="30"/>
  <c r="Q89" i="30"/>
  <c r="Q90" i="30"/>
  <c r="Q12" i="30"/>
  <c r="Q13" i="30"/>
  <c r="Q14" i="30"/>
  <c r="Q15" i="30"/>
  <c r="Q16" i="30"/>
  <c r="Q17" i="30"/>
  <c r="Q18" i="30"/>
  <c r="Q19" i="30"/>
  <c r="Q20" i="30"/>
  <c r="Q21" i="30"/>
  <c r="Q22" i="30"/>
  <c r="Q23" i="30"/>
  <c r="Q24" i="30"/>
  <c r="Q25" i="30"/>
  <c r="Q26" i="30"/>
  <c r="Q27" i="30"/>
  <c r="Q28" i="30"/>
  <c r="Q29" i="30"/>
  <c r="Q30" i="30"/>
  <c r="Q31" i="30"/>
  <c r="Q32" i="30"/>
  <c r="Q33" i="30"/>
  <c r="Q34" i="30"/>
  <c r="Q35" i="30"/>
  <c r="Q36" i="30"/>
  <c r="Q37" i="30"/>
  <c r="Q38" i="30"/>
  <c r="Q39" i="30"/>
  <c r="Q40" i="30"/>
  <c r="Q41" i="30"/>
  <c r="Q42" i="30"/>
  <c r="Q43" i="30"/>
  <c r="Q44" i="30"/>
  <c r="Q11" i="30"/>
  <c r="B12" i="30"/>
  <c r="B13" i="30"/>
  <c r="B14" i="30"/>
  <c r="B15" i="30"/>
  <c r="B16" i="30"/>
  <c r="B17" i="30"/>
  <c r="B18" i="30"/>
  <c r="B19" i="30"/>
  <c r="B20" i="30"/>
  <c r="B21" i="30"/>
  <c r="B22" i="30"/>
  <c r="B23" i="30"/>
  <c r="B24" i="30"/>
  <c r="B25" i="30"/>
  <c r="B26" i="30"/>
  <c r="B27" i="30"/>
  <c r="B28" i="30"/>
  <c r="B29" i="30"/>
  <c r="B30" i="30"/>
  <c r="B31" i="30"/>
  <c r="B32" i="30"/>
  <c r="B33" i="30"/>
  <c r="B34" i="30"/>
  <c r="B35" i="30"/>
  <c r="B36" i="30"/>
  <c r="B37" i="30"/>
  <c r="B38" i="30"/>
  <c r="B39" i="30"/>
  <c r="B40" i="30"/>
  <c r="B41" i="30"/>
  <c r="B42" i="30"/>
  <c r="B43" i="30"/>
  <c r="B44" i="30"/>
  <c r="B58" i="30"/>
  <c r="B59" i="30"/>
  <c r="B60" i="30"/>
  <c r="B61" i="30"/>
  <c r="B62" i="30"/>
  <c r="B63" i="30"/>
  <c r="B64" i="30"/>
  <c r="B65" i="30"/>
  <c r="B66" i="30"/>
  <c r="B67" i="30"/>
  <c r="B68" i="30"/>
  <c r="B69" i="30"/>
  <c r="B70" i="30"/>
  <c r="B71" i="30"/>
  <c r="B72" i="30"/>
  <c r="B73" i="30"/>
  <c r="B74" i="30"/>
  <c r="B75" i="30"/>
  <c r="B76" i="30"/>
  <c r="B77" i="30"/>
  <c r="B78" i="30"/>
  <c r="B79" i="30"/>
  <c r="B80" i="30"/>
  <c r="B81" i="30"/>
  <c r="B82" i="30"/>
  <c r="B83" i="30"/>
  <c r="B84" i="30"/>
  <c r="B85" i="30"/>
  <c r="B86" i="30"/>
  <c r="B87" i="30"/>
  <c r="B88" i="30"/>
  <c r="B89" i="30"/>
  <c r="B90" i="30"/>
  <c r="B104" i="30"/>
  <c r="B105" i="30"/>
  <c r="B106" i="30"/>
  <c r="B107" i="30"/>
  <c r="B108" i="30"/>
  <c r="B109" i="30"/>
  <c r="B110" i="30"/>
  <c r="B111" i="30"/>
  <c r="B112" i="30"/>
  <c r="B113" i="30"/>
  <c r="B114" i="30"/>
  <c r="B115" i="30"/>
  <c r="B116" i="30"/>
  <c r="B117" i="30"/>
  <c r="B118" i="30"/>
  <c r="B119" i="30"/>
  <c r="B120" i="30"/>
  <c r="B121" i="30"/>
  <c r="B122" i="30"/>
  <c r="B123" i="30"/>
  <c r="B124" i="30"/>
  <c r="B125" i="30"/>
  <c r="B126" i="30"/>
  <c r="B127" i="30"/>
  <c r="B128" i="30"/>
  <c r="B129" i="30"/>
  <c r="B130" i="30"/>
  <c r="B131" i="30"/>
  <c r="B132" i="30"/>
  <c r="B133" i="30"/>
  <c r="B134" i="30"/>
  <c r="B135" i="30"/>
  <c r="B136" i="30"/>
  <c r="B150" i="30"/>
  <c r="B151" i="30"/>
  <c r="B152" i="30"/>
  <c r="B153" i="30"/>
  <c r="B154" i="30"/>
  <c r="B155" i="30"/>
  <c r="B156" i="30"/>
  <c r="B157" i="30"/>
  <c r="B158" i="30"/>
  <c r="B159" i="30"/>
  <c r="B160" i="30"/>
  <c r="B161" i="30"/>
  <c r="B162" i="30"/>
  <c r="B163" i="30"/>
  <c r="B164" i="30"/>
  <c r="B165" i="30"/>
  <c r="B166" i="30"/>
  <c r="B167" i="30"/>
  <c r="B169" i="30"/>
  <c r="B170" i="30"/>
  <c r="B171" i="30"/>
  <c r="B172" i="30"/>
  <c r="B173" i="30"/>
  <c r="B174" i="30"/>
  <c r="B175" i="30"/>
  <c r="B176" i="30"/>
  <c r="B177" i="30"/>
  <c r="B178" i="30"/>
  <c r="B179" i="30"/>
  <c r="B180" i="30"/>
  <c r="B181" i="30"/>
  <c r="B182" i="30"/>
  <c r="B196" i="30"/>
  <c r="B197" i="30"/>
  <c r="B198" i="30"/>
  <c r="B199" i="30"/>
  <c r="B200" i="30"/>
  <c r="B201" i="30"/>
  <c r="B202" i="30"/>
  <c r="B203" i="30"/>
  <c r="B204" i="30"/>
  <c r="B205" i="30"/>
  <c r="B206" i="30"/>
  <c r="B207" i="30"/>
  <c r="B208" i="30"/>
  <c r="B209" i="30"/>
  <c r="B210" i="30"/>
  <c r="B211" i="30"/>
  <c r="B212" i="30"/>
  <c r="B213" i="30"/>
  <c r="B214" i="30"/>
  <c r="B215" i="30"/>
  <c r="B216" i="30"/>
  <c r="B217" i="30"/>
  <c r="B218" i="30"/>
  <c r="B219" i="30"/>
  <c r="B220" i="30"/>
  <c r="B221" i="30"/>
  <c r="B222" i="30"/>
  <c r="B223" i="30"/>
  <c r="B224" i="30"/>
  <c r="B225" i="30"/>
  <c r="B226" i="30"/>
  <c r="B227" i="30"/>
  <c r="B228" i="30"/>
  <c r="B195" i="30"/>
  <c r="Q195" i="30"/>
  <c r="Q253" i="30"/>
  <c r="B253" i="30"/>
  <c r="Q268" i="30"/>
  <c r="B268" i="30"/>
  <c r="Q265" i="30"/>
  <c r="B265" i="30"/>
  <c r="Q264" i="30"/>
  <c r="B264" i="30"/>
  <c r="Q262" i="30"/>
  <c r="B262" i="30"/>
  <c r="Q259" i="30"/>
  <c r="B259" i="30"/>
  <c r="Q255" i="30"/>
  <c r="B255" i="30"/>
  <c r="Q251" i="30"/>
  <c r="B251" i="30"/>
  <c r="Q244" i="30"/>
  <c r="B244" i="30"/>
  <c r="Q246" i="30"/>
  <c r="B246" i="30"/>
  <c r="H127" i="4"/>
  <c r="I127" i="4" s="1"/>
  <c r="W366" i="4"/>
  <c r="T35" i="4"/>
  <c r="O34" i="39" s="1"/>
  <c r="Q35" i="4"/>
  <c r="Q783" i="4" s="1"/>
  <c r="N35" i="4"/>
  <c r="N238" i="4" s="1"/>
  <c r="K35" i="4"/>
  <c r="H35" i="4"/>
  <c r="H15" i="4"/>
  <c r="R15" i="4" s="1"/>
  <c r="H26" i="4"/>
  <c r="H626" i="4" s="1"/>
  <c r="H17" i="4"/>
  <c r="H487" i="4" s="1"/>
  <c r="W898" i="4"/>
  <c r="T19" i="4"/>
  <c r="T898" i="4" s="1"/>
  <c r="Q19" i="4"/>
  <c r="N19" i="4"/>
  <c r="N417" i="4" s="1"/>
  <c r="K19" i="4"/>
  <c r="K281" i="4" s="1"/>
  <c r="H22" i="4"/>
  <c r="H225" i="4" s="1"/>
  <c r="H36" i="4"/>
  <c r="H636" i="4" s="1"/>
  <c r="T45" i="4"/>
  <c r="T719" i="4" s="1"/>
  <c r="Q45" i="4"/>
  <c r="N45" i="4"/>
  <c r="I44" i="39" s="1"/>
  <c r="K45" i="4"/>
  <c r="K186" i="4" s="1"/>
  <c r="G45" i="4"/>
  <c r="G924" i="4" s="1"/>
  <c r="H45" i="4"/>
  <c r="H376" i="4" s="1"/>
  <c r="H44" i="4"/>
  <c r="H375" i="4" s="1"/>
  <c r="T21" i="4"/>
  <c r="Q21" i="4"/>
  <c r="N21" i="4"/>
  <c r="K21" i="4"/>
  <c r="K162" i="4" s="1"/>
  <c r="H21" i="4"/>
  <c r="H352" i="4" s="1"/>
  <c r="H24" i="4"/>
  <c r="H355" i="4" s="1"/>
  <c r="H30" i="4"/>
  <c r="G17" i="48"/>
  <c r="K17" i="48"/>
  <c r="O17" i="48"/>
  <c r="J17" i="48"/>
  <c r="F17" i="48"/>
  <c r="P15" i="48"/>
  <c r="L15" i="48"/>
  <c r="H15" i="48"/>
  <c r="X655" i="4"/>
  <c r="U655" i="4"/>
  <c r="R655" i="4"/>
  <c r="O655" i="4"/>
  <c r="L655" i="4"/>
  <c r="I655" i="4"/>
  <c r="X453" i="4"/>
  <c r="U453" i="4"/>
  <c r="R453" i="4"/>
  <c r="O453" i="4"/>
  <c r="L453" i="4"/>
  <c r="I453" i="4"/>
  <c r="V47" i="4"/>
  <c r="S46" i="39" s="1"/>
  <c r="S47" i="4"/>
  <c r="P47" i="4"/>
  <c r="M46" i="39" s="1"/>
  <c r="M47" i="4"/>
  <c r="J47" i="4"/>
  <c r="E47" i="4"/>
  <c r="D46" i="39" s="1"/>
  <c r="Q276" i="30"/>
  <c r="B276" i="30"/>
  <c r="Q230" i="30"/>
  <c r="B230" i="30"/>
  <c r="Q184" i="30"/>
  <c r="B184" i="30"/>
  <c r="Q138" i="30"/>
  <c r="B138" i="30"/>
  <c r="Q92" i="30"/>
  <c r="B92" i="30"/>
  <c r="H47" i="4"/>
  <c r="Q46" i="30"/>
  <c r="B46" i="30"/>
  <c r="X86" i="4"/>
  <c r="X85" i="4"/>
  <c r="X84" i="4"/>
  <c r="X83" i="4"/>
  <c r="R11" i="39"/>
  <c r="Q966" i="4"/>
  <c r="R966" i="4" s="1"/>
  <c r="X956" i="4"/>
  <c r="X955" i="4"/>
  <c r="X951" i="4"/>
  <c r="X952" i="4" s="1"/>
  <c r="X932" i="4"/>
  <c r="V891" i="4"/>
  <c r="V832" i="4"/>
  <c r="X873" i="4"/>
  <c r="U873" i="4"/>
  <c r="R873" i="4"/>
  <c r="O873" i="4"/>
  <c r="L873" i="4"/>
  <c r="I873" i="4"/>
  <c r="X598" i="4"/>
  <c r="X599" i="4" s="1"/>
  <c r="U598" i="4"/>
  <c r="U599" i="4" s="1"/>
  <c r="R598" i="4"/>
  <c r="R599" i="4" s="1"/>
  <c r="O598" i="4"/>
  <c r="O599" i="4" s="1"/>
  <c r="L598" i="4"/>
  <c r="L599" i="4" s="1"/>
  <c r="I598" i="4"/>
  <c r="I599" i="4" s="1"/>
  <c r="X809" i="4"/>
  <c r="X819" i="4"/>
  <c r="X802" i="4"/>
  <c r="X803" i="4"/>
  <c r="X804" i="4"/>
  <c r="X805" i="4"/>
  <c r="X801" i="4"/>
  <c r="V760" i="4"/>
  <c r="X744" i="4"/>
  <c r="X739" i="4"/>
  <c r="X751" i="4"/>
  <c r="X753" i="4" s="1"/>
  <c r="X735" i="4"/>
  <c r="X736" i="4" s="1"/>
  <c r="V686" i="4"/>
  <c r="X664" i="4"/>
  <c r="X660" i="4"/>
  <c r="X661" i="4" s="1"/>
  <c r="X656" i="4"/>
  <c r="X654" i="4"/>
  <c r="X653" i="4"/>
  <c r="V612" i="4"/>
  <c r="X602" i="4"/>
  <c r="V557" i="4"/>
  <c r="X535" i="4"/>
  <c r="X531" i="4"/>
  <c r="X530" i="4"/>
  <c r="X524" i="4"/>
  <c r="X525" i="4"/>
  <c r="X523" i="4"/>
  <c r="V482" i="4"/>
  <c r="X461" i="4"/>
  <c r="X458" i="4"/>
  <c r="X452" i="4"/>
  <c r="X454" i="4"/>
  <c r="X451" i="4"/>
  <c r="V410" i="4"/>
  <c r="X394" i="4"/>
  <c r="X390" i="4"/>
  <c r="X384" i="4"/>
  <c r="V343" i="4"/>
  <c r="X315" i="4"/>
  <c r="V274" i="4"/>
  <c r="X266" i="4"/>
  <c r="X263" i="4"/>
  <c r="V215" i="4"/>
  <c r="X201" i="4"/>
  <c r="X198" i="4"/>
  <c r="V153" i="4"/>
  <c r="V12" i="4"/>
  <c r="X143" i="4"/>
  <c r="X136" i="4"/>
  <c r="X137" i="4"/>
  <c r="X139" i="4"/>
  <c r="X141" i="4"/>
  <c r="X135" i="4"/>
  <c r="X133" i="4"/>
  <c r="X131" i="4"/>
  <c r="X128" i="4"/>
  <c r="X126" i="4"/>
  <c r="X125" i="4"/>
  <c r="X110" i="4"/>
  <c r="X111" i="4"/>
  <c r="X112" i="4"/>
  <c r="X113" i="4"/>
  <c r="X114" i="4"/>
  <c r="X115" i="4"/>
  <c r="X116" i="4"/>
  <c r="X117" i="4"/>
  <c r="X118" i="4"/>
  <c r="X119" i="4"/>
  <c r="X109" i="4"/>
  <c r="X104" i="4"/>
  <c r="X98" i="4"/>
  <c r="X96" i="4"/>
  <c r="X95" i="4"/>
  <c r="X94" i="4"/>
  <c r="X87" i="4"/>
  <c r="X90" i="4"/>
  <c r="X89" i="4"/>
  <c r="X91" i="4"/>
  <c r="T74" i="4"/>
  <c r="X77" i="4"/>
  <c r="X73" i="4"/>
  <c r="X68" i="4"/>
  <c r="X63" i="4"/>
  <c r="B242" i="30"/>
  <c r="B243" i="30"/>
  <c r="B245" i="30"/>
  <c r="B247" i="30"/>
  <c r="B248" i="30"/>
  <c r="B249" i="30"/>
  <c r="B250" i="30"/>
  <c r="B252" i="30"/>
  <c r="B254" i="30"/>
  <c r="B256" i="30"/>
  <c r="B257" i="30"/>
  <c r="B258" i="30"/>
  <c r="B260" i="30"/>
  <c r="B261" i="30"/>
  <c r="B263" i="30"/>
  <c r="B266" i="30"/>
  <c r="B267" i="30"/>
  <c r="B269" i="30"/>
  <c r="B270" i="30"/>
  <c r="B271" i="30"/>
  <c r="B272" i="30"/>
  <c r="B273" i="30"/>
  <c r="B274" i="30"/>
  <c r="B241" i="30"/>
  <c r="Q274" i="30"/>
  <c r="Q273" i="30"/>
  <c r="Q272" i="30"/>
  <c r="Q271" i="30"/>
  <c r="Q270" i="30"/>
  <c r="Q269" i="30"/>
  <c r="Q267" i="30"/>
  <c r="Q266" i="30"/>
  <c r="Q263" i="30"/>
  <c r="Q261" i="30"/>
  <c r="Q260" i="30"/>
  <c r="Q258" i="30"/>
  <c r="Q257" i="30"/>
  <c r="Q256" i="30"/>
  <c r="Q254" i="30"/>
  <c r="Q252" i="30"/>
  <c r="Q250" i="30"/>
  <c r="Q249" i="30"/>
  <c r="Q248" i="30"/>
  <c r="Q247" i="30"/>
  <c r="Q245" i="30"/>
  <c r="Q243" i="30"/>
  <c r="Q242" i="30"/>
  <c r="Q241" i="30"/>
  <c r="W957" i="4"/>
  <c r="W928" i="4"/>
  <c r="W891" i="4"/>
  <c r="W869" i="4"/>
  <c r="W832" i="4"/>
  <c r="W812" i="4"/>
  <c r="W797" i="4"/>
  <c r="W760" i="4"/>
  <c r="W746" i="4"/>
  <c r="W745" i="4"/>
  <c r="W747" i="4" s="1"/>
  <c r="W723" i="4"/>
  <c r="W686" i="4"/>
  <c r="X679" i="4"/>
  <c r="W668" i="4"/>
  <c r="X668" i="4" s="1"/>
  <c r="W649" i="4"/>
  <c r="W612" i="4"/>
  <c r="W594" i="4"/>
  <c r="W557" i="4"/>
  <c r="W540" i="4"/>
  <c r="X540" i="4" s="1"/>
  <c r="W538" i="4"/>
  <c r="W519" i="4"/>
  <c r="W482" i="4"/>
  <c r="W469" i="4"/>
  <c r="X469" i="4" s="1"/>
  <c r="W462" i="4"/>
  <c r="X462" i="4" s="1"/>
  <c r="W447" i="4"/>
  <c r="W410" i="4"/>
  <c r="W395" i="4"/>
  <c r="X395" i="4" s="1"/>
  <c r="W380" i="4"/>
  <c r="W343" i="4"/>
  <c r="W320" i="4"/>
  <c r="X320" i="4" s="1"/>
  <c r="W318" i="4"/>
  <c r="W311" i="4"/>
  <c r="W274" i="4"/>
  <c r="X259" i="4"/>
  <c r="X258" i="4"/>
  <c r="X257" i="4"/>
  <c r="W252" i="4"/>
  <c r="W215" i="4"/>
  <c r="X208" i="4"/>
  <c r="W202" i="4"/>
  <c r="W190" i="4"/>
  <c r="W153" i="4"/>
  <c r="W78" i="4"/>
  <c r="W74" i="4"/>
  <c r="X74" i="4" s="1"/>
  <c r="W71" i="4"/>
  <c r="X71" i="4" s="1"/>
  <c r="W70" i="4"/>
  <c r="W69" i="4"/>
  <c r="W66" i="4"/>
  <c r="X66" i="4" s="1"/>
  <c r="W65" i="4"/>
  <c r="W64" i="4"/>
  <c r="S17" i="48"/>
  <c r="V17" i="48"/>
  <c r="R17" i="48"/>
  <c r="N17" i="48"/>
  <c r="W966" i="4"/>
  <c r="X966" i="4" s="1"/>
  <c r="X967" i="4" s="1"/>
  <c r="T966" i="4"/>
  <c r="U966" i="4" s="1"/>
  <c r="U967" i="4" s="1"/>
  <c r="K966" i="4"/>
  <c r="L966" i="4" s="1"/>
  <c r="L967" i="4" s="1"/>
  <c r="N966" i="4"/>
  <c r="O966" i="4" s="1"/>
  <c r="O967" i="4" s="1"/>
  <c r="N812" i="4"/>
  <c r="N813" i="4" s="1"/>
  <c r="R530" i="4"/>
  <c r="H48" i="4"/>
  <c r="I48" i="4" s="1"/>
  <c r="E47" i="39" s="1"/>
  <c r="H38" i="4"/>
  <c r="H19" i="4"/>
  <c r="H160" i="4" s="1"/>
  <c r="H29" i="4"/>
  <c r="X29" i="4" s="1"/>
  <c r="U932" i="4"/>
  <c r="L801" i="4"/>
  <c r="W30" i="48"/>
  <c r="W34" i="48"/>
  <c r="I104" i="4"/>
  <c r="I106" i="4" s="1"/>
  <c r="D17" i="41" s="1"/>
  <c r="U660" i="4"/>
  <c r="U661" i="4" s="1"/>
  <c r="U664" i="4"/>
  <c r="L660" i="4"/>
  <c r="L661" i="4" s="1"/>
  <c r="R660" i="4"/>
  <c r="R661" i="4" s="1"/>
  <c r="G538" i="4"/>
  <c r="G539" i="4" s="1"/>
  <c r="K540" i="4"/>
  <c r="K541" i="4" s="1"/>
  <c r="I469" i="4"/>
  <c r="G461" i="4"/>
  <c r="G410" i="4"/>
  <c r="I73" i="4"/>
  <c r="L394" i="4"/>
  <c r="T469" i="4"/>
  <c r="U469" i="4" s="1"/>
  <c r="Q469" i="4"/>
  <c r="R469" i="4" s="1"/>
  <c r="N469" i="4"/>
  <c r="O469" i="4" s="1"/>
  <c r="K469" i="4"/>
  <c r="L469" i="4" s="1"/>
  <c r="H147" i="4"/>
  <c r="L147" i="4" s="1"/>
  <c r="S832" i="4"/>
  <c r="D757" i="4"/>
  <c r="T945" i="4"/>
  <c r="Q945" i="4"/>
  <c r="R945" i="4" s="1"/>
  <c r="N945" i="4"/>
  <c r="O945" i="4" s="1"/>
  <c r="K945" i="4"/>
  <c r="L945" i="4" s="1"/>
  <c r="I945" i="4"/>
  <c r="T941" i="4"/>
  <c r="U941" i="4" s="1"/>
  <c r="Q941" i="4"/>
  <c r="R941" i="4" s="1"/>
  <c r="N941" i="4"/>
  <c r="O941" i="4" s="1"/>
  <c r="K941" i="4"/>
  <c r="L941" i="4" s="1"/>
  <c r="I941" i="4"/>
  <c r="T947" i="4"/>
  <c r="Q947" i="4"/>
  <c r="R947" i="4" s="1"/>
  <c r="N947" i="4"/>
  <c r="O947" i="4" s="1"/>
  <c r="K947" i="4"/>
  <c r="L947" i="4" s="1"/>
  <c r="H957" i="4"/>
  <c r="T812" i="4"/>
  <c r="Q812" i="4"/>
  <c r="Q813" i="4" s="1"/>
  <c r="K812" i="4"/>
  <c r="L812" i="4" s="1"/>
  <c r="G812" i="4"/>
  <c r="G813" i="4" s="1"/>
  <c r="H818" i="4"/>
  <c r="H146" i="4"/>
  <c r="I110" i="48"/>
  <c r="K538" i="4"/>
  <c r="K539" i="4" s="1"/>
  <c r="Y208" i="4"/>
  <c r="U208" i="4"/>
  <c r="R208" i="4"/>
  <c r="O208" i="4"/>
  <c r="L208" i="4"/>
  <c r="I208" i="4"/>
  <c r="H813" i="4"/>
  <c r="H817" i="4"/>
  <c r="U804" i="4"/>
  <c r="H747" i="4"/>
  <c r="I747" i="4" s="1"/>
  <c r="T746" i="4"/>
  <c r="Q746" i="4"/>
  <c r="N746" i="4"/>
  <c r="K746" i="4"/>
  <c r="H746" i="4"/>
  <c r="X746" i="4" s="1"/>
  <c r="G746" i="4"/>
  <c r="K747" i="4"/>
  <c r="U744" i="4"/>
  <c r="R744" i="4"/>
  <c r="O744" i="4"/>
  <c r="L744" i="4"/>
  <c r="I744" i="4"/>
  <c r="T745" i="4"/>
  <c r="T747" i="4" s="1"/>
  <c r="Q745" i="4"/>
  <c r="Q747" i="4" s="1"/>
  <c r="O745" i="4"/>
  <c r="I745" i="4"/>
  <c r="U739" i="4"/>
  <c r="R739" i="4"/>
  <c r="O739" i="4"/>
  <c r="L739" i="4"/>
  <c r="I739" i="4"/>
  <c r="H669" i="4"/>
  <c r="T668" i="4"/>
  <c r="Q668" i="4"/>
  <c r="Q669" i="4" s="1"/>
  <c r="N668" i="4"/>
  <c r="K668" i="4"/>
  <c r="K669" i="4" s="1"/>
  <c r="G668" i="4"/>
  <c r="G669" i="4" s="1"/>
  <c r="H673" i="4"/>
  <c r="X673" i="4" s="1"/>
  <c r="N667" i="4"/>
  <c r="O667" i="4" s="1"/>
  <c r="K667" i="4"/>
  <c r="L667" i="4" s="1"/>
  <c r="G667" i="4"/>
  <c r="I667" i="4" s="1"/>
  <c r="U546" i="4"/>
  <c r="T540" i="4"/>
  <c r="Q540" i="4"/>
  <c r="Q541" i="4" s="1"/>
  <c r="N540" i="4"/>
  <c r="O540" i="4" s="1"/>
  <c r="G540" i="4"/>
  <c r="G541" i="4" s="1"/>
  <c r="T538" i="4"/>
  <c r="T539" i="4" s="1"/>
  <c r="Q538" i="4"/>
  <c r="Q539" i="4" s="1"/>
  <c r="N538" i="4"/>
  <c r="Z118" i="48"/>
  <c r="Y118" i="48"/>
  <c r="X118" i="48"/>
  <c r="V115" i="48"/>
  <c r="R115" i="48"/>
  <c r="N115" i="48"/>
  <c r="J115" i="48"/>
  <c r="F115" i="48"/>
  <c r="W115" i="48"/>
  <c r="U110" i="48"/>
  <c r="Q110" i="48"/>
  <c r="M110" i="48"/>
  <c r="G104" i="48"/>
  <c r="J104" i="48"/>
  <c r="F104" i="48"/>
  <c r="G103" i="48"/>
  <c r="F103" i="48"/>
  <c r="G102" i="48"/>
  <c r="K102" i="48"/>
  <c r="F102" i="48"/>
  <c r="P101" i="48"/>
  <c r="L101" i="48"/>
  <c r="H101" i="48"/>
  <c r="G101" i="48"/>
  <c r="K101" i="48"/>
  <c r="D101" i="48"/>
  <c r="F101" i="48"/>
  <c r="T100" i="48"/>
  <c r="P100" i="48"/>
  <c r="L100" i="48"/>
  <c r="H100" i="48"/>
  <c r="G100" i="48"/>
  <c r="K100" i="48"/>
  <c r="O100" i="48"/>
  <c r="D100" i="48"/>
  <c r="F100" i="48"/>
  <c r="G99" i="48"/>
  <c r="K99" i="48"/>
  <c r="N99" i="48"/>
  <c r="F99" i="48"/>
  <c r="G98" i="48"/>
  <c r="J98" i="48"/>
  <c r="F98" i="48"/>
  <c r="G97" i="48"/>
  <c r="F97" i="48"/>
  <c r="G96" i="48"/>
  <c r="K96" i="48"/>
  <c r="O96" i="48"/>
  <c r="R96" i="48"/>
  <c r="F96" i="48"/>
  <c r="P94" i="48"/>
  <c r="L94" i="48"/>
  <c r="G94" i="48"/>
  <c r="J94" i="48"/>
  <c r="F94" i="48"/>
  <c r="P93" i="48"/>
  <c r="L93" i="48"/>
  <c r="G93" i="48"/>
  <c r="F93" i="48"/>
  <c r="G90" i="48"/>
  <c r="K90" i="48"/>
  <c r="N90" i="48"/>
  <c r="F90" i="48"/>
  <c r="G89" i="48"/>
  <c r="F89" i="48"/>
  <c r="G88" i="48"/>
  <c r="K88" i="48"/>
  <c r="N88" i="48"/>
  <c r="F88" i="48"/>
  <c r="G87" i="48"/>
  <c r="F87" i="48"/>
  <c r="P84" i="48"/>
  <c r="L84" i="48"/>
  <c r="G84" i="48"/>
  <c r="K84" i="48"/>
  <c r="F84" i="48"/>
  <c r="P83" i="48"/>
  <c r="L83" i="48"/>
  <c r="G83" i="48"/>
  <c r="K83" i="48"/>
  <c r="O83" i="48"/>
  <c r="F83" i="48"/>
  <c r="P82" i="48"/>
  <c r="L82" i="48"/>
  <c r="G82" i="48"/>
  <c r="J82" i="48"/>
  <c r="F82" i="48"/>
  <c r="G79" i="48"/>
  <c r="K79" i="48"/>
  <c r="O79" i="48"/>
  <c r="R79" i="48"/>
  <c r="F79" i="48"/>
  <c r="G78" i="48"/>
  <c r="J78" i="48"/>
  <c r="F78" i="48"/>
  <c r="G75" i="48"/>
  <c r="F75" i="48"/>
  <c r="G74" i="48"/>
  <c r="K74" i="48"/>
  <c r="N74" i="48"/>
  <c r="F74" i="48"/>
  <c r="G71" i="48"/>
  <c r="J71" i="48"/>
  <c r="F71" i="48"/>
  <c r="G70" i="48"/>
  <c r="K70" i="48"/>
  <c r="O70" i="48"/>
  <c r="R70" i="48"/>
  <c r="F70" i="48"/>
  <c r="G69" i="48"/>
  <c r="J69" i="48"/>
  <c r="F69" i="48"/>
  <c r="G68" i="48"/>
  <c r="K68" i="48"/>
  <c r="O68" i="48"/>
  <c r="R68" i="48"/>
  <c r="F68" i="48"/>
  <c r="G65" i="48"/>
  <c r="J65" i="48"/>
  <c r="F65" i="48"/>
  <c r="G64" i="48"/>
  <c r="K64" i="48"/>
  <c r="O64" i="48"/>
  <c r="R64" i="48"/>
  <c r="F64" i="48"/>
  <c r="G63" i="48"/>
  <c r="J63" i="48"/>
  <c r="F63" i="48"/>
  <c r="G62" i="48"/>
  <c r="K62" i="48"/>
  <c r="O62" i="48"/>
  <c r="R62" i="48"/>
  <c r="F62" i="48"/>
  <c r="G57" i="48"/>
  <c r="F57" i="48"/>
  <c r="G56" i="48"/>
  <c r="J56" i="48"/>
  <c r="F56" i="48"/>
  <c r="G55" i="48"/>
  <c r="K55" i="48"/>
  <c r="N55" i="48"/>
  <c r="F55" i="48"/>
  <c r="G54" i="48"/>
  <c r="K54" i="48"/>
  <c r="F54" i="48"/>
  <c r="G53" i="48"/>
  <c r="F53" i="48"/>
  <c r="V50" i="48"/>
  <c r="V51" i="48"/>
  <c r="R50" i="48"/>
  <c r="R51" i="48"/>
  <c r="N50" i="48"/>
  <c r="N51" i="48"/>
  <c r="J50" i="48"/>
  <c r="J51" i="48"/>
  <c r="F50" i="48"/>
  <c r="V48" i="48"/>
  <c r="V49" i="48"/>
  <c r="R48" i="48"/>
  <c r="R49" i="48"/>
  <c r="N48" i="48"/>
  <c r="N49" i="48"/>
  <c r="J48" i="48"/>
  <c r="J49" i="48"/>
  <c r="F48" i="48"/>
  <c r="G46" i="48"/>
  <c r="J46" i="48"/>
  <c r="F46" i="48"/>
  <c r="G45" i="48"/>
  <c r="F45" i="48"/>
  <c r="P44" i="48"/>
  <c r="L44" i="48"/>
  <c r="H44" i="48"/>
  <c r="G44" i="48"/>
  <c r="K44" i="48"/>
  <c r="D44" i="48"/>
  <c r="F44" i="48"/>
  <c r="P43" i="48"/>
  <c r="L43" i="48"/>
  <c r="H43" i="48"/>
  <c r="G43" i="48"/>
  <c r="D43" i="48"/>
  <c r="F43" i="48"/>
  <c r="P42" i="48"/>
  <c r="L42" i="48"/>
  <c r="H42" i="48"/>
  <c r="G42" i="48"/>
  <c r="K42" i="48"/>
  <c r="O42" i="48"/>
  <c r="F42" i="48"/>
  <c r="P41" i="48"/>
  <c r="L41" i="48"/>
  <c r="H41" i="48"/>
  <c r="G41" i="48"/>
  <c r="D41" i="48"/>
  <c r="F41" i="48"/>
  <c r="T38" i="48"/>
  <c r="P38" i="48"/>
  <c r="L38" i="48"/>
  <c r="H38" i="48"/>
  <c r="G38" i="48"/>
  <c r="K38" i="48"/>
  <c r="O38" i="48"/>
  <c r="D38" i="48"/>
  <c r="F38" i="48"/>
  <c r="G37" i="48"/>
  <c r="J37" i="48"/>
  <c r="F37" i="48"/>
  <c r="G36" i="48"/>
  <c r="K36" i="48"/>
  <c r="O36" i="48"/>
  <c r="R36" i="48"/>
  <c r="F36" i="48"/>
  <c r="G35" i="48"/>
  <c r="K35" i="48"/>
  <c r="N35" i="48"/>
  <c r="F35" i="48"/>
  <c r="G33" i="48"/>
  <c r="K33" i="48"/>
  <c r="G32" i="48"/>
  <c r="K32" i="48"/>
  <c r="G31" i="48"/>
  <c r="K31" i="48"/>
  <c r="O31" i="48"/>
  <c r="P29" i="48"/>
  <c r="P33" i="48"/>
  <c r="L29" i="48"/>
  <c r="L33" i="48"/>
  <c r="H29" i="48"/>
  <c r="H33" i="48"/>
  <c r="G29" i="48"/>
  <c r="D29" i="48"/>
  <c r="P28" i="48"/>
  <c r="P32" i="48"/>
  <c r="L28" i="48"/>
  <c r="L32" i="48"/>
  <c r="H28" i="48"/>
  <c r="H32" i="48"/>
  <c r="G28" i="48"/>
  <c r="K28" i="48"/>
  <c r="D28" i="48"/>
  <c r="D32" i="48"/>
  <c r="F32" i="48"/>
  <c r="T27" i="48"/>
  <c r="T31" i="48"/>
  <c r="P27" i="48"/>
  <c r="P31" i="48"/>
  <c r="L27" i="48"/>
  <c r="L31" i="48"/>
  <c r="H27" i="48"/>
  <c r="H31" i="48"/>
  <c r="G27" i="48"/>
  <c r="K27" i="48"/>
  <c r="O27" i="48"/>
  <c r="D27" i="48"/>
  <c r="D31" i="48"/>
  <c r="F31" i="48"/>
  <c r="G19" i="48"/>
  <c r="K19" i="48"/>
  <c r="F19" i="48"/>
  <c r="G18" i="48"/>
  <c r="K18" i="48"/>
  <c r="F18" i="48"/>
  <c r="G16" i="48"/>
  <c r="J16" i="48"/>
  <c r="F16" i="48"/>
  <c r="G15" i="48"/>
  <c r="K15" i="48"/>
  <c r="F15" i="48"/>
  <c r="G14" i="48"/>
  <c r="K14" i="48"/>
  <c r="F14" i="48"/>
  <c r="F49" i="48"/>
  <c r="W48" i="48"/>
  <c r="C23" i="48"/>
  <c r="F23" i="48"/>
  <c r="F51" i="48"/>
  <c r="W50" i="48"/>
  <c r="J31" i="48"/>
  <c r="J43" i="48"/>
  <c r="N100" i="48"/>
  <c r="I947" i="4"/>
  <c r="J41" i="48"/>
  <c r="J101" i="48"/>
  <c r="J55" i="48"/>
  <c r="J83" i="48"/>
  <c r="O55" i="48"/>
  <c r="S68" i="48"/>
  <c r="V68" i="48"/>
  <c r="J88" i="48"/>
  <c r="O35" i="48"/>
  <c r="S35" i="48"/>
  <c r="V35" i="48"/>
  <c r="J38" i="48"/>
  <c r="K63" i="48"/>
  <c r="O63" i="48"/>
  <c r="J15" i="48"/>
  <c r="J42" i="48"/>
  <c r="N83" i="48"/>
  <c r="N68" i="48"/>
  <c r="J35" i="48"/>
  <c r="K16" i="48"/>
  <c r="O16" i="48"/>
  <c r="S16" i="48"/>
  <c r="V16" i="48"/>
  <c r="F27" i="48"/>
  <c r="J32" i="48"/>
  <c r="N747" i="4"/>
  <c r="L745" i="4"/>
  <c r="R679" i="4"/>
  <c r="U679" i="4"/>
  <c r="L679" i="4"/>
  <c r="O679" i="4"/>
  <c r="O54" i="48"/>
  <c r="R54" i="48"/>
  <c r="N54" i="48"/>
  <c r="F28" i="48"/>
  <c r="N64" i="48"/>
  <c r="K94" i="48"/>
  <c r="O94" i="48"/>
  <c r="J27" i="48"/>
  <c r="N38" i="48"/>
  <c r="J54" i="48"/>
  <c r="S62" i="48"/>
  <c r="V62" i="48"/>
  <c r="K82" i="48"/>
  <c r="J18" i="48"/>
  <c r="S64" i="48"/>
  <c r="V64" i="48"/>
  <c r="K71" i="48"/>
  <c r="O71" i="48"/>
  <c r="J14" i="48"/>
  <c r="K37" i="48"/>
  <c r="O37" i="48"/>
  <c r="J44" i="48"/>
  <c r="K56" i="48"/>
  <c r="O56" i="48"/>
  <c r="K69" i="48"/>
  <c r="N69" i="48"/>
  <c r="J102" i="48"/>
  <c r="K65" i="48"/>
  <c r="O65" i="48"/>
  <c r="O88" i="48"/>
  <c r="S88" i="48"/>
  <c r="V88" i="48"/>
  <c r="N96" i="48"/>
  <c r="J99" i="48"/>
  <c r="K104" i="48"/>
  <c r="O104" i="48"/>
  <c r="N62" i="48"/>
  <c r="J90" i="48"/>
  <c r="K43" i="48"/>
  <c r="N43" i="48"/>
  <c r="K46" i="48"/>
  <c r="O46" i="48"/>
  <c r="K78" i="48"/>
  <c r="O78" i="48"/>
  <c r="K98" i="48"/>
  <c r="O98" i="48"/>
  <c r="J100" i="48"/>
  <c r="K41" i="48"/>
  <c r="O41" i="48"/>
  <c r="F47" i="48"/>
  <c r="F58" i="48"/>
  <c r="N70" i="48"/>
  <c r="J74" i="48"/>
  <c r="O18" i="48"/>
  <c r="N18" i="48"/>
  <c r="O28" i="48"/>
  <c r="N28" i="48"/>
  <c r="O14" i="48"/>
  <c r="N14" i="48"/>
  <c r="O19" i="48"/>
  <c r="N19" i="48"/>
  <c r="S27" i="48"/>
  <c r="V27" i="48"/>
  <c r="R27" i="48"/>
  <c r="O15" i="48"/>
  <c r="N15" i="48"/>
  <c r="K75" i="48"/>
  <c r="J75" i="48"/>
  <c r="O82" i="48"/>
  <c r="N82" i="48"/>
  <c r="O99" i="48"/>
  <c r="K45" i="48"/>
  <c r="J45" i="48"/>
  <c r="J19" i="48"/>
  <c r="N27" i="48"/>
  <c r="J28" i="48"/>
  <c r="D33" i="48"/>
  <c r="F33" i="48"/>
  <c r="F29" i="48"/>
  <c r="O32" i="48"/>
  <c r="N32" i="48"/>
  <c r="S42" i="48"/>
  <c r="V42" i="48"/>
  <c r="R42" i="48"/>
  <c r="K53" i="48"/>
  <c r="J53" i="48"/>
  <c r="S70" i="48"/>
  <c r="V70" i="48"/>
  <c r="O90" i="48"/>
  <c r="S96" i="48"/>
  <c r="V96" i="48"/>
  <c r="N104" i="48"/>
  <c r="K29" i="48"/>
  <c r="J29" i="48"/>
  <c r="O44" i="48"/>
  <c r="N44" i="48"/>
  <c r="K87" i="48"/>
  <c r="J87" i="48"/>
  <c r="N41" i="48"/>
  <c r="W51" i="48"/>
  <c r="F105" i="48"/>
  <c r="O69" i="48"/>
  <c r="N79" i="48"/>
  <c r="K89" i="48"/>
  <c r="J89" i="48"/>
  <c r="K103" i="48"/>
  <c r="J103" i="48"/>
  <c r="S31" i="48"/>
  <c r="V31" i="48"/>
  <c r="R31" i="48"/>
  <c r="N36" i="48"/>
  <c r="K57" i="48"/>
  <c r="J57" i="48"/>
  <c r="O74" i="48"/>
  <c r="S79" i="48"/>
  <c r="V79" i="48"/>
  <c r="K93" i="48"/>
  <c r="J93" i="48"/>
  <c r="K97" i="48"/>
  <c r="J97" i="48"/>
  <c r="S100" i="48"/>
  <c r="V100" i="48"/>
  <c r="R100" i="48"/>
  <c r="W100" i="48"/>
  <c r="S36" i="48"/>
  <c r="V36" i="48"/>
  <c r="S38" i="48"/>
  <c r="V38" i="48"/>
  <c r="R38" i="48"/>
  <c r="N42" i="48"/>
  <c r="S55" i="48"/>
  <c r="V55" i="48"/>
  <c r="R55" i="48"/>
  <c r="S83" i="48"/>
  <c r="V83" i="48"/>
  <c r="R83" i="48"/>
  <c r="W83" i="48"/>
  <c r="O84" i="48"/>
  <c r="N84" i="48"/>
  <c r="O33" i="48"/>
  <c r="N33" i="48"/>
  <c r="O101" i="48"/>
  <c r="N101" i="48"/>
  <c r="O102" i="48"/>
  <c r="N102" i="48"/>
  <c r="N31" i="48"/>
  <c r="W31" i="48"/>
  <c r="J33" i="48"/>
  <c r="W49" i="48"/>
  <c r="J36" i="48"/>
  <c r="W36" i="48"/>
  <c r="J62" i="48"/>
  <c r="W62" i="48"/>
  <c r="J64" i="48"/>
  <c r="W64" i="48"/>
  <c r="J68" i="48"/>
  <c r="W68" i="48"/>
  <c r="J70" i="48"/>
  <c r="W70" i="48"/>
  <c r="J79" i="48"/>
  <c r="W79" i="48"/>
  <c r="J84" i="48"/>
  <c r="J96" i="48"/>
  <c r="W96" i="48"/>
  <c r="W27" i="48"/>
  <c r="N78" i="48"/>
  <c r="N63" i="48"/>
  <c r="N71" i="48"/>
  <c r="N94" i="48"/>
  <c r="N56" i="48"/>
  <c r="N46" i="48"/>
  <c r="R35" i="48"/>
  <c r="W35" i="48"/>
  <c r="X96" i="48"/>
  <c r="R16" i="48"/>
  <c r="O43" i="48"/>
  <c r="N16" i="48"/>
  <c r="J47" i="48"/>
  <c r="S54" i="48"/>
  <c r="V54" i="48"/>
  <c r="W54" i="48"/>
  <c r="N37" i="48"/>
  <c r="Y100" i="48"/>
  <c r="Y31" i="48"/>
  <c r="R88" i="48"/>
  <c r="W88" i="48"/>
  <c r="N98" i="48"/>
  <c r="Y679" i="4"/>
  <c r="X70" i="48"/>
  <c r="N65" i="48"/>
  <c r="J39" i="48"/>
  <c r="X79" i="48"/>
  <c r="X36" i="48"/>
  <c r="Z100" i="48"/>
  <c r="X100" i="48"/>
  <c r="R33" i="48"/>
  <c r="S33" i="48"/>
  <c r="V33" i="48"/>
  <c r="W33" i="48"/>
  <c r="O57" i="48"/>
  <c r="N57" i="48"/>
  <c r="O53" i="48"/>
  <c r="N53" i="48"/>
  <c r="X64" i="48"/>
  <c r="S94" i="48"/>
  <c r="V94" i="48"/>
  <c r="R94" i="48"/>
  <c r="J58" i="48"/>
  <c r="S99" i="48"/>
  <c r="V99" i="48"/>
  <c r="R99" i="48"/>
  <c r="S65" i="48"/>
  <c r="V65" i="48"/>
  <c r="R65" i="48"/>
  <c r="S28" i="48"/>
  <c r="V28" i="48"/>
  <c r="R28" i="48"/>
  <c r="W28" i="48"/>
  <c r="O89" i="48"/>
  <c r="N89" i="48"/>
  <c r="S104" i="48"/>
  <c r="V104" i="48"/>
  <c r="R104" i="48"/>
  <c r="R15" i="48"/>
  <c r="S15" i="48"/>
  <c r="V15" i="48"/>
  <c r="S19" i="48"/>
  <c r="V19" i="48"/>
  <c r="R19" i="48"/>
  <c r="Y83" i="48"/>
  <c r="Z49" i="48"/>
  <c r="X49" i="48"/>
  <c r="Y49" i="48"/>
  <c r="S43" i="48"/>
  <c r="V43" i="48"/>
  <c r="R43" i="48"/>
  <c r="S37" i="48"/>
  <c r="V37" i="48"/>
  <c r="R37" i="48"/>
  <c r="S82" i="48"/>
  <c r="V82" i="48"/>
  <c r="R82" i="48"/>
  <c r="W82" i="48"/>
  <c r="G23" i="48"/>
  <c r="J23" i="48"/>
  <c r="J25" i="48"/>
  <c r="S78" i="48"/>
  <c r="V78" i="48"/>
  <c r="R78" i="48"/>
  <c r="S74" i="48"/>
  <c r="V74" i="48"/>
  <c r="R74" i="48"/>
  <c r="W74" i="48"/>
  <c r="O103" i="48"/>
  <c r="N103" i="48"/>
  <c r="S44" i="48"/>
  <c r="V44" i="48"/>
  <c r="R44" i="48"/>
  <c r="S98" i="48"/>
  <c r="V98" i="48"/>
  <c r="R98" i="48"/>
  <c r="W98" i="48"/>
  <c r="S63" i="48"/>
  <c r="V63" i="48"/>
  <c r="R63" i="48"/>
  <c r="J21" i="48"/>
  <c r="S84" i="48"/>
  <c r="V84" i="48"/>
  <c r="R84" i="48"/>
  <c r="W84" i="48"/>
  <c r="O97" i="48"/>
  <c r="N97" i="48"/>
  <c r="S69" i="48"/>
  <c r="V69" i="48"/>
  <c r="R69" i="48"/>
  <c r="O75" i="48"/>
  <c r="N75" i="48"/>
  <c r="J105" i="48"/>
  <c r="S71" i="48"/>
  <c r="V71" i="48"/>
  <c r="R71" i="48"/>
  <c r="O87" i="48"/>
  <c r="N87" i="48"/>
  <c r="S90" i="48"/>
  <c r="V90" i="48"/>
  <c r="R90" i="48"/>
  <c r="S56" i="48"/>
  <c r="V56" i="48"/>
  <c r="R56" i="48"/>
  <c r="R32" i="48"/>
  <c r="S32" i="48"/>
  <c r="V32" i="48"/>
  <c r="W32" i="48"/>
  <c r="O45" i="48"/>
  <c r="N45" i="48"/>
  <c r="N47" i="48"/>
  <c r="S18" i="48"/>
  <c r="V18" i="48"/>
  <c r="R18" i="48"/>
  <c r="S101" i="48"/>
  <c r="V101" i="48"/>
  <c r="R101" i="48"/>
  <c r="W101" i="48"/>
  <c r="S41" i="48"/>
  <c r="V41" i="48"/>
  <c r="R41" i="48"/>
  <c r="X68" i="48"/>
  <c r="R102" i="48"/>
  <c r="S102" i="48"/>
  <c r="V102" i="48"/>
  <c r="W102" i="48"/>
  <c r="S46" i="48"/>
  <c r="V46" i="48"/>
  <c r="R46" i="48"/>
  <c r="N93" i="48"/>
  <c r="O93" i="48"/>
  <c r="Z51" i="48"/>
  <c r="Y51" i="48"/>
  <c r="X51" i="48"/>
  <c r="O29" i="48"/>
  <c r="N29" i="48"/>
  <c r="S14" i="48"/>
  <c r="V14" i="48"/>
  <c r="V21" i="48"/>
  <c r="R14" i="48"/>
  <c r="F39" i="48"/>
  <c r="W18" i="48"/>
  <c r="Z18" i="48"/>
  <c r="W90" i="48"/>
  <c r="W37" i="48"/>
  <c r="W63" i="48"/>
  <c r="W69" i="48"/>
  <c r="X69" i="48"/>
  <c r="W78" i="48"/>
  <c r="W56" i="48"/>
  <c r="W104" i="48"/>
  <c r="W99" i="48"/>
  <c r="Z99" i="48"/>
  <c r="W41" i="48"/>
  <c r="W65" i="48"/>
  <c r="X65" i="48"/>
  <c r="K23" i="48"/>
  <c r="N23" i="48"/>
  <c r="N25" i="48"/>
  <c r="W94" i="48"/>
  <c r="Z94" i="48"/>
  <c r="Z88" i="48"/>
  <c r="W71" i="48"/>
  <c r="W46" i="48"/>
  <c r="X35" i="48"/>
  <c r="Z35" i="48"/>
  <c r="Y35" i="48"/>
  <c r="N21" i="48"/>
  <c r="N39" i="48"/>
  <c r="Y96" i="48"/>
  <c r="Z96" i="48"/>
  <c r="Y84" i="48"/>
  <c r="Z31" i="48"/>
  <c r="X32" i="48"/>
  <c r="X104" i="48"/>
  <c r="X31" i="48"/>
  <c r="J107" i="48"/>
  <c r="G110" i="48"/>
  <c r="J110" i="48"/>
  <c r="J112" i="48"/>
  <c r="J114" i="48"/>
  <c r="J116" i="48"/>
  <c r="X98" i="48"/>
  <c r="X78" i="48"/>
  <c r="X28" i="48"/>
  <c r="Z101" i="48"/>
  <c r="Y82" i="48"/>
  <c r="Z33" i="48"/>
  <c r="X71" i="48"/>
  <c r="X63" i="48"/>
  <c r="Z90" i="48"/>
  <c r="S53" i="48"/>
  <c r="V53" i="48"/>
  <c r="R53" i="48"/>
  <c r="W53" i="48"/>
  <c r="R93" i="48"/>
  <c r="S93" i="48"/>
  <c r="V93" i="48"/>
  <c r="W93" i="48"/>
  <c r="S23" i="48"/>
  <c r="V23" i="48"/>
  <c r="V25" i="48"/>
  <c r="N58" i="48"/>
  <c r="X62" i="48"/>
  <c r="S103" i="48"/>
  <c r="V103" i="48"/>
  <c r="R103" i="48"/>
  <c r="S45" i="48"/>
  <c r="V45" i="48"/>
  <c r="V47" i="48"/>
  <c r="R45" i="48"/>
  <c r="S87" i="48"/>
  <c r="V87" i="48"/>
  <c r="R87" i="48"/>
  <c r="S57" i="48"/>
  <c r="V57" i="48"/>
  <c r="R57" i="48"/>
  <c r="N105" i="48"/>
  <c r="X74" i="48"/>
  <c r="S89" i="48"/>
  <c r="V89" i="48"/>
  <c r="R89" i="48"/>
  <c r="S29" i="48"/>
  <c r="V29" i="48"/>
  <c r="R29" i="48"/>
  <c r="W29" i="48"/>
  <c r="R39" i="48"/>
  <c r="S75" i="48"/>
  <c r="V75" i="48"/>
  <c r="R75" i="48"/>
  <c r="W75" i="48"/>
  <c r="S97" i="48"/>
  <c r="V97" i="48"/>
  <c r="R97" i="48"/>
  <c r="Z27" i="48"/>
  <c r="Y27" i="48"/>
  <c r="X27" i="48"/>
  <c r="W87" i="48"/>
  <c r="W89" i="48"/>
  <c r="W97" i="48"/>
  <c r="W103" i="48"/>
  <c r="Y103" i="48"/>
  <c r="W45" i="48"/>
  <c r="Z45" i="48"/>
  <c r="W57" i="48"/>
  <c r="Y104" i="48"/>
  <c r="Z104" i="48"/>
  <c r="X101" i="48"/>
  <c r="Y99" i="48"/>
  <c r="Y98" i="48"/>
  <c r="Z98" i="48"/>
  <c r="R105" i="48"/>
  <c r="N107" i="48"/>
  <c r="K110" i="48"/>
  <c r="N110" i="48"/>
  <c r="N112" i="48"/>
  <c r="N114" i="48"/>
  <c r="N116" i="48"/>
  <c r="Y101" i="48"/>
  <c r="R47" i="48"/>
  <c r="X99" i="48"/>
  <c r="X75" i="48"/>
  <c r="Z87" i="48"/>
  <c r="Z93" i="48"/>
  <c r="Y97" i="48"/>
  <c r="Z37" i="48"/>
  <c r="R58" i="48"/>
  <c r="V39" i="48"/>
  <c r="V58" i="48"/>
  <c r="Z89" i="48"/>
  <c r="X41" i="48"/>
  <c r="Z46" i="48"/>
  <c r="X46" i="48"/>
  <c r="Y46" i="48"/>
  <c r="Z102" i="48"/>
  <c r="Y102" i="48"/>
  <c r="X102" i="48"/>
  <c r="V105" i="48"/>
  <c r="Z103" i="48"/>
  <c r="Z97" i="48"/>
  <c r="X103" i="48"/>
  <c r="X97" i="48"/>
  <c r="W105" i="48"/>
  <c r="Z29" i="48"/>
  <c r="J121" i="48"/>
  <c r="L400" i="4"/>
  <c r="N121" i="48"/>
  <c r="O400" i="4"/>
  <c r="J122" i="48"/>
  <c r="L549" i="4"/>
  <c r="N122" i="48"/>
  <c r="O549" i="4"/>
  <c r="J120" i="48"/>
  <c r="L335" i="4"/>
  <c r="N120" i="48"/>
  <c r="O335" i="4"/>
  <c r="H40" i="4"/>
  <c r="H302" i="4" s="1"/>
  <c r="H41" i="4"/>
  <c r="H20" i="4"/>
  <c r="H836" i="4"/>
  <c r="I836" i="4" s="1"/>
  <c r="B103" i="30"/>
  <c r="B149" i="30"/>
  <c r="H701" i="4"/>
  <c r="H25" i="4"/>
  <c r="H28" i="4"/>
  <c r="H169" i="4" s="1"/>
  <c r="G256" i="4"/>
  <c r="N256" i="4" s="1"/>
  <c r="U258" i="4"/>
  <c r="R258" i="4"/>
  <c r="O258" i="4"/>
  <c r="L258" i="4"/>
  <c r="I258" i="4"/>
  <c r="H14" i="4"/>
  <c r="G115" i="4"/>
  <c r="I115" i="4" s="1"/>
  <c r="H332" i="4"/>
  <c r="R804" i="4"/>
  <c r="O804" i="4"/>
  <c r="L804" i="4"/>
  <c r="I804" i="4"/>
  <c r="U805" i="4"/>
  <c r="R805" i="4"/>
  <c r="O805" i="4"/>
  <c r="L805" i="4"/>
  <c r="I805" i="4"/>
  <c r="U801" i="4"/>
  <c r="R801" i="4"/>
  <c r="O801" i="4"/>
  <c r="I801" i="4"/>
  <c r="U803" i="4"/>
  <c r="R803" i="4"/>
  <c r="O803" i="4"/>
  <c r="L803" i="4"/>
  <c r="I803" i="4"/>
  <c r="I660" i="4"/>
  <c r="I661" i="4" s="1"/>
  <c r="H69" i="4"/>
  <c r="K318" i="4"/>
  <c r="H539" i="4"/>
  <c r="H541" i="4"/>
  <c r="R541" i="4" s="1"/>
  <c r="U531" i="4"/>
  <c r="R531" i="4"/>
  <c r="O531" i="4"/>
  <c r="L531" i="4"/>
  <c r="I531" i="4"/>
  <c r="T461" i="4"/>
  <c r="Q461" i="4"/>
  <c r="R461" i="4" s="1"/>
  <c r="N461" i="4"/>
  <c r="O461" i="4" s="1"/>
  <c r="K461" i="4"/>
  <c r="K462" i="4" s="1"/>
  <c r="H396" i="4"/>
  <c r="T395" i="4"/>
  <c r="T396" i="4" s="1"/>
  <c r="Q395" i="4"/>
  <c r="Q396" i="4" s="1"/>
  <c r="N395" i="4"/>
  <c r="O395" i="4" s="1"/>
  <c r="K395" i="4"/>
  <c r="L395" i="4" s="1"/>
  <c r="G395" i="4"/>
  <c r="U390" i="4"/>
  <c r="K324" i="4"/>
  <c r="K325" i="4" s="1"/>
  <c r="T202" i="4"/>
  <c r="Q202" i="4"/>
  <c r="N202" i="4"/>
  <c r="K202" i="4"/>
  <c r="G202" i="4"/>
  <c r="I201" i="4"/>
  <c r="L201" i="4"/>
  <c r="O201" i="4"/>
  <c r="R201" i="4"/>
  <c r="U201" i="4"/>
  <c r="H202" i="4"/>
  <c r="H42" i="4"/>
  <c r="R63" i="4"/>
  <c r="H18" i="4"/>
  <c r="O530" i="4"/>
  <c r="U525" i="4"/>
  <c r="R525" i="4"/>
  <c r="I525" i="4"/>
  <c r="I535" i="4"/>
  <c r="L535" i="4"/>
  <c r="O535" i="4"/>
  <c r="R535" i="4"/>
  <c r="U535" i="4"/>
  <c r="O524" i="4"/>
  <c r="I523" i="4"/>
  <c r="H467" i="4"/>
  <c r="O467" i="4" s="1"/>
  <c r="O470" i="4" s="1"/>
  <c r="U454" i="4"/>
  <c r="R454" i="4"/>
  <c r="O454" i="4"/>
  <c r="L454" i="4"/>
  <c r="I454" i="4"/>
  <c r="U452" i="4"/>
  <c r="R452" i="4"/>
  <c r="O452" i="4"/>
  <c r="L452" i="4"/>
  <c r="I452" i="4"/>
  <c r="H462" i="4"/>
  <c r="L462" i="4" s="1"/>
  <c r="H330" i="4"/>
  <c r="X330" i="4" s="1"/>
  <c r="T318" i="4"/>
  <c r="T319" i="4" s="1"/>
  <c r="Q318" i="4"/>
  <c r="Q319" i="4" s="1"/>
  <c r="N318" i="4"/>
  <c r="G318" i="4"/>
  <c r="G319" i="4" s="1"/>
  <c r="T320" i="4"/>
  <c r="Q320" i="4"/>
  <c r="R320" i="4" s="1"/>
  <c r="N320" i="4"/>
  <c r="N321" i="4" s="1"/>
  <c r="K320" i="4"/>
  <c r="K321" i="4" s="1"/>
  <c r="G320" i="4"/>
  <c r="G321" i="4" s="1"/>
  <c r="H331" i="4"/>
  <c r="T324" i="4"/>
  <c r="T325" i="4" s="1"/>
  <c r="T322" i="4"/>
  <c r="Q324" i="4"/>
  <c r="Q322" i="4"/>
  <c r="N324" i="4"/>
  <c r="N325" i="4" s="1"/>
  <c r="N322" i="4"/>
  <c r="N323" i="4" s="1"/>
  <c r="K322" i="4"/>
  <c r="K323" i="4" s="1"/>
  <c r="G324" i="4"/>
  <c r="I324" i="4" s="1"/>
  <c r="G322" i="4"/>
  <c r="G323" i="4" s="1"/>
  <c r="H323" i="4"/>
  <c r="I323" i="4" s="1"/>
  <c r="H333" i="4"/>
  <c r="H325" i="4"/>
  <c r="H321" i="4"/>
  <c r="O321" i="4" s="1"/>
  <c r="H319" i="4"/>
  <c r="U257" i="4"/>
  <c r="R257" i="4"/>
  <c r="O257" i="4"/>
  <c r="L257" i="4"/>
  <c r="I257" i="4"/>
  <c r="O259" i="4"/>
  <c r="H43" i="4"/>
  <c r="H791" i="4" s="1"/>
  <c r="I63" i="4"/>
  <c r="L63" i="4"/>
  <c r="O63" i="4"/>
  <c r="U63" i="4"/>
  <c r="G64" i="4"/>
  <c r="H64" i="4"/>
  <c r="K64" i="4"/>
  <c r="N64" i="4"/>
  <c r="Q64" i="4"/>
  <c r="T64" i="4"/>
  <c r="G65" i="4"/>
  <c r="H65" i="4"/>
  <c r="K65" i="4"/>
  <c r="L65" i="4" s="1"/>
  <c r="N65" i="4"/>
  <c r="Q65" i="4"/>
  <c r="R65" i="4" s="1"/>
  <c r="T65" i="4"/>
  <c r="G66" i="4"/>
  <c r="I66" i="4" s="1"/>
  <c r="K66" i="4"/>
  <c r="L66" i="4" s="1"/>
  <c r="N66" i="4"/>
  <c r="O66" i="4" s="1"/>
  <c r="Q66" i="4"/>
  <c r="R66" i="4"/>
  <c r="T66" i="4"/>
  <c r="U66" i="4" s="1"/>
  <c r="I68" i="4"/>
  <c r="L68" i="4"/>
  <c r="O68" i="4"/>
  <c r="R68" i="4"/>
  <c r="U68" i="4"/>
  <c r="G69" i="4"/>
  <c r="K69" i="4"/>
  <c r="N69" i="4"/>
  <c r="Q69" i="4"/>
  <c r="T69" i="4"/>
  <c r="G70" i="4"/>
  <c r="H70" i="4"/>
  <c r="K70" i="4"/>
  <c r="N70" i="4"/>
  <c r="Q70" i="4"/>
  <c r="T70" i="4"/>
  <c r="G71" i="4"/>
  <c r="I71" i="4" s="1"/>
  <c r="K71" i="4"/>
  <c r="L71" i="4" s="1"/>
  <c r="N71" i="4"/>
  <c r="O71" i="4" s="1"/>
  <c r="Q71" i="4"/>
  <c r="R71" i="4" s="1"/>
  <c r="T71" i="4"/>
  <c r="U71" i="4" s="1"/>
  <c r="L73" i="4"/>
  <c r="O73" i="4"/>
  <c r="R73" i="4"/>
  <c r="U73" i="4"/>
  <c r="G74" i="4"/>
  <c r="G75" i="4" s="1"/>
  <c r="I75" i="4" s="1"/>
  <c r="K74" i="4"/>
  <c r="N74" i="4"/>
  <c r="O74" i="4" s="1"/>
  <c r="Q74" i="4"/>
  <c r="Q75" i="4" s="1"/>
  <c r="H75" i="4"/>
  <c r="I77" i="4"/>
  <c r="L77" i="4"/>
  <c r="O77" i="4"/>
  <c r="R77" i="4"/>
  <c r="U77" i="4"/>
  <c r="G78" i="4"/>
  <c r="I78" i="4" s="1"/>
  <c r="K78" i="4"/>
  <c r="K79" i="4" s="1"/>
  <c r="N78" i="4"/>
  <c r="Q78" i="4"/>
  <c r="T78" i="4"/>
  <c r="H79" i="4"/>
  <c r="L79" i="4" s="1"/>
  <c r="L83" i="4"/>
  <c r="O83" i="4"/>
  <c r="R83" i="4"/>
  <c r="U83" i="4"/>
  <c r="L84" i="4"/>
  <c r="O84" i="4"/>
  <c r="R84" i="4"/>
  <c r="U84" i="4"/>
  <c r="L85" i="4"/>
  <c r="O85" i="4"/>
  <c r="R85" i="4"/>
  <c r="U85" i="4"/>
  <c r="L86" i="4"/>
  <c r="O86" i="4"/>
  <c r="R86" i="4"/>
  <c r="U86" i="4"/>
  <c r="L89" i="4"/>
  <c r="O89" i="4"/>
  <c r="R89" i="4"/>
  <c r="U89" i="4"/>
  <c r="L90" i="4"/>
  <c r="O90" i="4"/>
  <c r="R90" i="4"/>
  <c r="U90" i="4"/>
  <c r="L91" i="4"/>
  <c r="O91" i="4"/>
  <c r="R91" i="4"/>
  <c r="U91" i="4"/>
  <c r="L87" i="4"/>
  <c r="O87" i="4"/>
  <c r="R87" i="4"/>
  <c r="U87" i="4"/>
  <c r="L94" i="4"/>
  <c r="O94" i="4"/>
  <c r="R94" i="4"/>
  <c r="U94" i="4"/>
  <c r="L95" i="4"/>
  <c r="O95" i="4"/>
  <c r="R95" i="4"/>
  <c r="U95" i="4"/>
  <c r="L96" i="4"/>
  <c r="O96" i="4"/>
  <c r="R96" i="4"/>
  <c r="U96" i="4"/>
  <c r="L98" i="4"/>
  <c r="O98" i="4"/>
  <c r="R98" i="4"/>
  <c r="U98" i="4"/>
  <c r="Z99" i="4"/>
  <c r="L104" i="4"/>
  <c r="L106" i="4" s="1"/>
  <c r="E17" i="41" s="1"/>
  <c r="O104" i="4"/>
  <c r="O106" i="4" s="1"/>
  <c r="F17" i="41" s="1"/>
  <c r="R104" i="4"/>
  <c r="R106" i="4" s="1"/>
  <c r="G17" i="41" s="1"/>
  <c r="U104" i="4"/>
  <c r="U106" i="4" s="1"/>
  <c r="H17" i="41" s="1"/>
  <c r="I109" i="4"/>
  <c r="L109" i="4"/>
  <c r="O109" i="4"/>
  <c r="R109" i="4"/>
  <c r="U109" i="4"/>
  <c r="I110" i="4"/>
  <c r="L110" i="4"/>
  <c r="O110" i="4"/>
  <c r="R110" i="4"/>
  <c r="U110" i="4"/>
  <c r="I111" i="4"/>
  <c r="L111" i="4"/>
  <c r="O111" i="4"/>
  <c r="R111" i="4"/>
  <c r="U111" i="4"/>
  <c r="I112" i="4"/>
  <c r="L112" i="4"/>
  <c r="O112" i="4"/>
  <c r="R112" i="4"/>
  <c r="U112" i="4"/>
  <c r="I113" i="4"/>
  <c r="L113" i="4"/>
  <c r="O113" i="4"/>
  <c r="R113" i="4"/>
  <c r="U113" i="4"/>
  <c r="I114" i="4"/>
  <c r="L114" i="4"/>
  <c r="O114" i="4"/>
  <c r="R114" i="4"/>
  <c r="U114" i="4"/>
  <c r="L115" i="4"/>
  <c r="O115" i="4"/>
  <c r="R115" i="4"/>
  <c r="U115" i="4"/>
  <c r="I116" i="4"/>
  <c r="L116" i="4"/>
  <c r="O116" i="4"/>
  <c r="R116" i="4"/>
  <c r="U116" i="4"/>
  <c r="I117" i="4"/>
  <c r="L117" i="4"/>
  <c r="O117" i="4"/>
  <c r="R117" i="4"/>
  <c r="U117" i="4"/>
  <c r="I118" i="4"/>
  <c r="L118" i="4"/>
  <c r="O118" i="4"/>
  <c r="R118" i="4"/>
  <c r="U118" i="4"/>
  <c r="I119" i="4"/>
  <c r="L119" i="4"/>
  <c r="O119" i="4"/>
  <c r="R119" i="4"/>
  <c r="U119" i="4"/>
  <c r="R125" i="4"/>
  <c r="I126" i="4"/>
  <c r="L126" i="4"/>
  <c r="O126" i="4"/>
  <c r="R126" i="4"/>
  <c r="U126" i="4"/>
  <c r="U128" i="4"/>
  <c r="H129" i="4"/>
  <c r="O129" i="4" s="1"/>
  <c r="I131" i="4"/>
  <c r="I133" i="4"/>
  <c r="I135" i="4"/>
  <c r="L135" i="4"/>
  <c r="O135" i="4"/>
  <c r="R135" i="4"/>
  <c r="U135" i="4"/>
  <c r="I136" i="4"/>
  <c r="L136" i="4"/>
  <c r="O136" i="4"/>
  <c r="R136" i="4"/>
  <c r="U136" i="4"/>
  <c r="I137" i="4"/>
  <c r="L137" i="4"/>
  <c r="O137" i="4"/>
  <c r="R137" i="4"/>
  <c r="U137" i="4"/>
  <c r="H138" i="4"/>
  <c r="I138" i="4" s="1"/>
  <c r="I139" i="4"/>
  <c r="L139" i="4"/>
  <c r="O139" i="4"/>
  <c r="R139" i="4"/>
  <c r="U139" i="4"/>
  <c r="I141" i="4"/>
  <c r="L141" i="4"/>
  <c r="O141" i="4"/>
  <c r="R141" i="4"/>
  <c r="U141" i="4"/>
  <c r="I143" i="4"/>
  <c r="L143" i="4"/>
  <c r="O143" i="4"/>
  <c r="R143" i="4"/>
  <c r="U143" i="4"/>
  <c r="G153" i="4"/>
  <c r="J153" i="4"/>
  <c r="K153" i="4"/>
  <c r="M153" i="4"/>
  <c r="N153" i="4"/>
  <c r="P153" i="4"/>
  <c r="Q153" i="4"/>
  <c r="S153" i="4"/>
  <c r="T153" i="4"/>
  <c r="G190" i="4"/>
  <c r="H190" i="4"/>
  <c r="K190" i="4"/>
  <c r="N190" i="4"/>
  <c r="Q190" i="4"/>
  <c r="T190" i="4"/>
  <c r="I198" i="4"/>
  <c r="L198" i="4"/>
  <c r="O198" i="4"/>
  <c r="R198" i="4"/>
  <c r="U198" i="4"/>
  <c r="G215" i="4"/>
  <c r="J215" i="4"/>
  <c r="K215" i="4"/>
  <c r="M215" i="4"/>
  <c r="N215" i="4"/>
  <c r="P215" i="4"/>
  <c r="Q215" i="4"/>
  <c r="S215" i="4"/>
  <c r="T215" i="4"/>
  <c r="G252" i="4"/>
  <c r="H252" i="4"/>
  <c r="K252" i="4"/>
  <c r="N252" i="4"/>
  <c r="Q252" i="4"/>
  <c r="T252" i="4"/>
  <c r="I259" i="4"/>
  <c r="L259" i="4"/>
  <c r="R259" i="4"/>
  <c r="U259" i="4"/>
  <c r="I263" i="4"/>
  <c r="L263" i="4"/>
  <c r="O263" i="4"/>
  <c r="R263" i="4"/>
  <c r="U263" i="4"/>
  <c r="I266" i="4"/>
  <c r="L266" i="4"/>
  <c r="O266" i="4"/>
  <c r="R266" i="4"/>
  <c r="U266" i="4"/>
  <c r="G274" i="4"/>
  <c r="J274" i="4"/>
  <c r="K274" i="4"/>
  <c r="M274" i="4"/>
  <c r="N274" i="4"/>
  <c r="P274" i="4"/>
  <c r="Q274" i="4"/>
  <c r="S274" i="4"/>
  <c r="T274" i="4"/>
  <c r="G311" i="4"/>
  <c r="H311" i="4"/>
  <c r="K311" i="4"/>
  <c r="N311" i="4"/>
  <c r="Q311" i="4"/>
  <c r="T311" i="4"/>
  <c r="I315" i="4"/>
  <c r="L315" i="4"/>
  <c r="O315" i="4"/>
  <c r="R315" i="4"/>
  <c r="U315" i="4"/>
  <c r="G343" i="4"/>
  <c r="J343" i="4"/>
  <c r="K343" i="4"/>
  <c r="M343" i="4"/>
  <c r="N343" i="4"/>
  <c r="P343" i="4"/>
  <c r="Q343" i="4"/>
  <c r="S343" i="4"/>
  <c r="T343" i="4"/>
  <c r="G380" i="4"/>
  <c r="H380" i="4"/>
  <c r="K380" i="4"/>
  <c r="N380" i="4"/>
  <c r="Q380" i="4"/>
  <c r="T380" i="4"/>
  <c r="I384" i="4"/>
  <c r="L384" i="4"/>
  <c r="O384" i="4"/>
  <c r="R384" i="4"/>
  <c r="U384" i="4"/>
  <c r="I390" i="4"/>
  <c r="I391" i="4" s="1"/>
  <c r="L390" i="4"/>
  <c r="L391" i="4" s="1"/>
  <c r="O390" i="4"/>
  <c r="O391" i="4" s="1"/>
  <c r="R390" i="4"/>
  <c r="I394" i="4"/>
  <c r="O394" i="4"/>
  <c r="R394" i="4"/>
  <c r="U394" i="4"/>
  <c r="J410" i="4"/>
  <c r="K410" i="4"/>
  <c r="M410" i="4"/>
  <c r="N410" i="4"/>
  <c r="P410" i="4"/>
  <c r="Q410" i="4"/>
  <c r="S410" i="4"/>
  <c r="T410" i="4"/>
  <c r="G447" i="4"/>
  <c r="H447" i="4"/>
  <c r="K447" i="4"/>
  <c r="N447" i="4"/>
  <c r="Q447" i="4"/>
  <c r="T447" i="4"/>
  <c r="I451" i="4"/>
  <c r="L451" i="4"/>
  <c r="O451" i="4"/>
  <c r="R451" i="4"/>
  <c r="U451" i="4"/>
  <c r="I458" i="4"/>
  <c r="L458" i="4"/>
  <c r="O458" i="4"/>
  <c r="R458" i="4"/>
  <c r="U458" i="4"/>
  <c r="G482" i="4"/>
  <c r="J482" i="4"/>
  <c r="K482" i="4"/>
  <c r="M482" i="4"/>
  <c r="N482" i="4"/>
  <c r="P482" i="4"/>
  <c r="Q482" i="4"/>
  <c r="S482" i="4"/>
  <c r="T482" i="4"/>
  <c r="G519" i="4"/>
  <c r="H519" i="4"/>
  <c r="K519" i="4"/>
  <c r="N519" i="4"/>
  <c r="Q519" i="4"/>
  <c r="T519" i="4"/>
  <c r="L523" i="4"/>
  <c r="O523" i="4"/>
  <c r="R523" i="4"/>
  <c r="U523" i="4"/>
  <c r="I524" i="4"/>
  <c r="L524" i="4"/>
  <c r="R524" i="4"/>
  <c r="U524" i="4"/>
  <c r="I530" i="4"/>
  <c r="L530" i="4"/>
  <c r="L532" i="4" s="1"/>
  <c r="U530" i="4"/>
  <c r="G557" i="4"/>
  <c r="J557" i="4"/>
  <c r="K557" i="4"/>
  <c r="M557" i="4"/>
  <c r="N557" i="4"/>
  <c r="P557" i="4"/>
  <c r="Q557" i="4"/>
  <c r="S557" i="4"/>
  <c r="T557" i="4"/>
  <c r="G594" i="4"/>
  <c r="H594" i="4"/>
  <c r="K594" i="4"/>
  <c r="N594" i="4"/>
  <c r="Q594" i="4"/>
  <c r="T594" i="4"/>
  <c r="I602" i="4"/>
  <c r="L602" i="4"/>
  <c r="O602" i="4"/>
  <c r="R602" i="4"/>
  <c r="U602" i="4"/>
  <c r="G612" i="4"/>
  <c r="J612" i="4"/>
  <c r="K612" i="4"/>
  <c r="M612" i="4"/>
  <c r="N612" i="4"/>
  <c r="P612" i="4"/>
  <c r="Q612" i="4"/>
  <c r="S612" i="4"/>
  <c r="T612" i="4"/>
  <c r="G649" i="4"/>
  <c r="H649" i="4"/>
  <c r="K649" i="4"/>
  <c r="N649" i="4"/>
  <c r="Q649" i="4"/>
  <c r="T649" i="4"/>
  <c r="I653" i="4"/>
  <c r="L653" i="4"/>
  <c r="O653" i="4"/>
  <c r="R653" i="4"/>
  <c r="U653" i="4"/>
  <c r="I654" i="4"/>
  <c r="L654" i="4"/>
  <c r="O654" i="4"/>
  <c r="R654" i="4"/>
  <c r="U654" i="4"/>
  <c r="I656" i="4"/>
  <c r="L656" i="4"/>
  <c r="O656" i="4"/>
  <c r="R656" i="4"/>
  <c r="U656" i="4"/>
  <c r="O660" i="4"/>
  <c r="I664" i="4"/>
  <c r="L664" i="4"/>
  <c r="O664" i="4"/>
  <c r="R664" i="4"/>
  <c r="G686" i="4"/>
  <c r="J686" i="4"/>
  <c r="K686" i="4"/>
  <c r="M686" i="4"/>
  <c r="N686" i="4"/>
  <c r="P686" i="4"/>
  <c r="Q686" i="4"/>
  <c r="S686" i="4"/>
  <c r="T686" i="4"/>
  <c r="G723" i="4"/>
  <c r="H723" i="4"/>
  <c r="K723" i="4"/>
  <c r="N723" i="4"/>
  <c r="Q723" i="4"/>
  <c r="T723" i="4"/>
  <c r="I735" i="4"/>
  <c r="I736" i="4" s="1"/>
  <c r="L735" i="4"/>
  <c r="L736" i="4" s="1"/>
  <c r="O735" i="4"/>
  <c r="R735" i="4"/>
  <c r="R736" i="4" s="1"/>
  <c r="U735" i="4"/>
  <c r="U736" i="4" s="1"/>
  <c r="I751" i="4"/>
  <c r="L751" i="4"/>
  <c r="O751" i="4"/>
  <c r="R751" i="4"/>
  <c r="U751" i="4"/>
  <c r="G760" i="4"/>
  <c r="J760" i="4"/>
  <c r="K760" i="4"/>
  <c r="M760" i="4"/>
  <c r="N760" i="4"/>
  <c r="P760" i="4"/>
  <c r="Q760" i="4"/>
  <c r="S760" i="4"/>
  <c r="T760" i="4"/>
  <c r="G797" i="4"/>
  <c r="H797" i="4"/>
  <c r="K797" i="4"/>
  <c r="N797" i="4"/>
  <c r="Q797" i="4"/>
  <c r="T797" i="4"/>
  <c r="I802" i="4"/>
  <c r="L802" i="4"/>
  <c r="O802" i="4"/>
  <c r="R802" i="4"/>
  <c r="U802" i="4"/>
  <c r="I809" i="4"/>
  <c r="L809" i="4"/>
  <c r="O809" i="4"/>
  <c r="R809" i="4"/>
  <c r="U809" i="4"/>
  <c r="I819" i="4"/>
  <c r="L819" i="4"/>
  <c r="O819" i="4"/>
  <c r="R819" i="4"/>
  <c r="G832" i="4"/>
  <c r="J832" i="4"/>
  <c r="K832" i="4"/>
  <c r="M832" i="4"/>
  <c r="N832" i="4"/>
  <c r="P832" i="4"/>
  <c r="Q832" i="4"/>
  <c r="T832" i="4"/>
  <c r="G869" i="4"/>
  <c r="H869" i="4"/>
  <c r="K869" i="4"/>
  <c r="N869" i="4"/>
  <c r="Q869" i="4"/>
  <c r="T869" i="4"/>
  <c r="G891" i="4"/>
  <c r="J891" i="4"/>
  <c r="K891" i="4"/>
  <c r="M891" i="4"/>
  <c r="N891" i="4"/>
  <c r="P891" i="4"/>
  <c r="Q891" i="4"/>
  <c r="S891" i="4"/>
  <c r="T891" i="4"/>
  <c r="G928" i="4"/>
  <c r="H928" i="4"/>
  <c r="K928" i="4"/>
  <c r="N928" i="4"/>
  <c r="Q928" i="4"/>
  <c r="T928" i="4"/>
  <c r="I932" i="4"/>
  <c r="L932" i="4"/>
  <c r="O932" i="4"/>
  <c r="R932" i="4"/>
  <c r="R133" i="4"/>
  <c r="O133" i="4"/>
  <c r="L133" i="4"/>
  <c r="U133" i="4"/>
  <c r="U131" i="4"/>
  <c r="R131" i="4"/>
  <c r="O131" i="4"/>
  <c r="R128" i="4"/>
  <c r="L131" i="4"/>
  <c r="U125" i="4"/>
  <c r="O125" i="4"/>
  <c r="O128" i="4"/>
  <c r="L125" i="4"/>
  <c r="L128" i="4"/>
  <c r="I125" i="4"/>
  <c r="I128" i="4"/>
  <c r="H37" i="4"/>
  <c r="H368" i="4" s="1"/>
  <c r="H13" i="4"/>
  <c r="G957" i="4"/>
  <c r="I957" i="4" s="1"/>
  <c r="F23" i="46"/>
  <c r="K23" i="46" a="1"/>
  <c r="K23" i="46" s="1"/>
  <c r="L23" i="46" s="1"/>
  <c r="G23" i="46"/>
  <c r="H23" i="46"/>
  <c r="J23" i="46"/>
  <c r="Q23" i="46"/>
  <c r="F24" i="46"/>
  <c r="K24" i="46" a="1"/>
  <c r="K24" i="46" s="1"/>
  <c r="L24" i="46" s="1"/>
  <c r="G24" i="46"/>
  <c r="H24" i="46"/>
  <c r="J24" i="46"/>
  <c r="Q24" i="46"/>
  <c r="F25" i="46"/>
  <c r="K25" i="46" a="1"/>
  <c r="K25" i="46" s="1"/>
  <c r="L25" i="46" s="1"/>
  <c r="O25" i="46" s="1"/>
  <c r="G25" i="46"/>
  <c r="H25" i="46"/>
  <c r="M25" i="46" a="1"/>
  <c r="M25" i="46" s="1"/>
  <c r="N25" i="46" s="1"/>
  <c r="J25" i="46"/>
  <c r="Q25" i="46"/>
  <c r="F26" i="46"/>
  <c r="K26" i="46" a="1"/>
  <c r="K26" i="46" s="1"/>
  <c r="L26" i="46" s="1"/>
  <c r="G26" i="46"/>
  <c r="H26" i="46"/>
  <c r="M26" i="46" a="1"/>
  <c r="M26" i="46" s="1"/>
  <c r="N26" i="46" s="1"/>
  <c r="J26" i="46"/>
  <c r="Q26" i="46"/>
  <c r="F27" i="46"/>
  <c r="K27" i="46" a="1"/>
  <c r="K27" i="46" s="1"/>
  <c r="L27" i="46" s="1"/>
  <c r="O27" i="46" s="1"/>
  <c r="G27" i="46"/>
  <c r="H27" i="46"/>
  <c r="J27" i="46"/>
  <c r="Q27" i="46"/>
  <c r="F28" i="46"/>
  <c r="K28" i="46" a="1"/>
  <c r="K28" i="46" s="1"/>
  <c r="L28" i="46" s="1"/>
  <c r="G28" i="46"/>
  <c r="H28" i="46"/>
  <c r="J28" i="46"/>
  <c r="Q28" i="46"/>
  <c r="F29" i="46"/>
  <c r="Q29" i="46"/>
  <c r="S29" i="46"/>
  <c r="F22" i="46"/>
  <c r="F17" i="46"/>
  <c r="F16" i="46"/>
  <c r="F15" i="46"/>
  <c r="F14" i="46"/>
  <c r="F13" i="46"/>
  <c r="C8" i="46"/>
  <c r="J17" i="46"/>
  <c r="J15" i="46"/>
  <c r="H17" i="46"/>
  <c r="H16" i="46"/>
  <c r="J16" i="46"/>
  <c r="J14" i="46"/>
  <c r="H14" i="46"/>
  <c r="Q14" i="46"/>
  <c r="J13" i="46"/>
  <c r="H13" i="46"/>
  <c r="H15" i="46"/>
  <c r="D686" i="4"/>
  <c r="E686" i="4"/>
  <c r="H12" i="4"/>
  <c r="H891" i="4" s="1"/>
  <c r="B48" i="41"/>
  <c r="B46" i="41"/>
  <c r="B44" i="41"/>
  <c r="B42" i="41"/>
  <c r="B40" i="41"/>
  <c r="B38" i="41"/>
  <c r="B36" i="41"/>
  <c r="B55" i="28"/>
  <c r="B38" i="28"/>
  <c r="F928" i="4"/>
  <c r="D928" i="4"/>
  <c r="E891" i="4"/>
  <c r="D891" i="4"/>
  <c r="F869" i="4"/>
  <c r="D869" i="4"/>
  <c r="E832" i="4"/>
  <c r="D832" i="4"/>
  <c r="D829" i="4"/>
  <c r="D797" i="4"/>
  <c r="F797" i="4"/>
  <c r="E760" i="4"/>
  <c r="D760" i="4"/>
  <c r="F723" i="4"/>
  <c r="D723" i="4"/>
  <c r="D683" i="4"/>
  <c r="F649" i="4"/>
  <c r="D649" i="4"/>
  <c r="D609" i="4"/>
  <c r="E612" i="4"/>
  <c r="D612" i="4"/>
  <c r="F594" i="4"/>
  <c r="D594" i="4"/>
  <c r="E557" i="4"/>
  <c r="D557" i="4"/>
  <c r="Q149" i="30"/>
  <c r="Q103" i="30"/>
  <c r="Q57" i="30"/>
  <c r="P7" i="30"/>
  <c r="D554" i="4"/>
  <c r="F519" i="4"/>
  <c r="D479" i="4"/>
  <c r="D519" i="4"/>
  <c r="E482" i="4"/>
  <c r="D482" i="4"/>
  <c r="D447" i="4"/>
  <c r="F447" i="4"/>
  <c r="E410" i="4"/>
  <c r="D410" i="4"/>
  <c r="D407" i="4"/>
  <c r="E343" i="4"/>
  <c r="D274" i="4"/>
  <c r="D380" i="4"/>
  <c r="F380" i="4"/>
  <c r="F311" i="4"/>
  <c r="E274" i="4"/>
  <c r="D191" i="30"/>
  <c r="D145" i="30"/>
  <c r="D99" i="30"/>
  <c r="D53" i="30"/>
  <c r="D237" i="30"/>
  <c r="O7" i="30"/>
  <c r="O99" i="30"/>
  <c r="N7" i="30"/>
  <c r="N191" i="30"/>
  <c r="M7" i="30"/>
  <c r="M191" i="30"/>
  <c r="L7" i="30"/>
  <c r="L191" i="30"/>
  <c r="K7" i="30"/>
  <c r="J7" i="30"/>
  <c r="J191" i="30"/>
  <c r="I7" i="30"/>
  <c r="I191" i="30"/>
  <c r="H7" i="30"/>
  <c r="H99" i="30"/>
  <c r="G7" i="30"/>
  <c r="G145" i="30"/>
  <c r="F7" i="30"/>
  <c r="F145" i="30"/>
  <c r="E7" i="30"/>
  <c r="E53" i="30"/>
  <c r="E237" i="30"/>
  <c r="E215" i="4"/>
  <c r="D311" i="4"/>
  <c r="F252" i="4"/>
  <c r="D252" i="4"/>
  <c r="E153" i="4"/>
  <c r="D190" i="4"/>
  <c r="S12" i="4"/>
  <c r="P12" i="4"/>
  <c r="M12" i="4"/>
  <c r="J12" i="4"/>
  <c r="E12" i="4"/>
  <c r="I966" i="4"/>
  <c r="I967" i="4" s="1"/>
  <c r="T957" i="4"/>
  <c r="Q957" i="4"/>
  <c r="N957" i="4"/>
  <c r="K957" i="4"/>
  <c r="L957" i="4" s="1"/>
  <c r="U956" i="4"/>
  <c r="R956" i="4"/>
  <c r="O956" i="4"/>
  <c r="L956" i="4"/>
  <c r="I956" i="4"/>
  <c r="U955" i="4"/>
  <c r="R955" i="4"/>
  <c r="O955" i="4"/>
  <c r="L955" i="4"/>
  <c r="I955" i="4"/>
  <c r="U951" i="4"/>
  <c r="R951" i="4"/>
  <c r="R952" i="4" s="1"/>
  <c r="O951" i="4"/>
  <c r="O952" i="4" s="1"/>
  <c r="L951" i="4"/>
  <c r="I951" i="4"/>
  <c r="I952" i="4" s="1"/>
  <c r="I53" i="30"/>
  <c r="I237" i="30"/>
  <c r="B44" i="28"/>
  <c r="O11" i="39"/>
  <c r="L11" i="39"/>
  <c r="I11" i="39"/>
  <c r="F11" i="39"/>
  <c r="C11" i="39"/>
  <c r="B34" i="41"/>
  <c r="B32" i="41"/>
  <c r="B30" i="41"/>
  <c r="B28" i="41"/>
  <c r="B11" i="39"/>
  <c r="D215" i="4"/>
  <c r="D153" i="4"/>
  <c r="B57" i="30"/>
  <c r="B11" i="30"/>
  <c r="D212" i="4"/>
  <c r="D271" i="4"/>
  <c r="D340" i="4"/>
  <c r="D343" i="4"/>
  <c r="D150" i="4"/>
  <c r="B24" i="28"/>
  <c r="B57" i="28"/>
  <c r="B64" i="28"/>
  <c r="B68" i="28"/>
  <c r="L961" i="4"/>
  <c r="J53" i="30"/>
  <c r="J237" i="30"/>
  <c r="J145" i="30"/>
  <c r="I145" i="30"/>
  <c r="W17" i="48"/>
  <c r="Y17" i="48"/>
  <c r="W16" i="48"/>
  <c r="Y16" i="48"/>
  <c r="F25" i="48"/>
  <c r="V107" i="48"/>
  <c r="Y18" i="48"/>
  <c r="F21" i="48"/>
  <c r="X18" i="48"/>
  <c r="O23" i="48"/>
  <c r="R23" i="48"/>
  <c r="R25" i="48"/>
  <c r="W15" i="48"/>
  <c r="H19" i="46"/>
  <c r="J19" i="46"/>
  <c r="L19" i="46"/>
  <c r="N19" i="46"/>
  <c r="O17" i="46"/>
  <c r="O16" i="46"/>
  <c r="X666" i="4"/>
  <c r="I741" i="4"/>
  <c r="R741" i="4"/>
  <c r="L741" i="4"/>
  <c r="K487" i="4"/>
  <c r="K691" i="4"/>
  <c r="K765" i="4"/>
  <c r="I674" i="4"/>
  <c r="K415" i="4"/>
  <c r="K896" i="4"/>
  <c r="K562" i="4"/>
  <c r="K348" i="4"/>
  <c r="K158" i="4"/>
  <c r="U144" i="4"/>
  <c r="T765" i="4"/>
  <c r="I144" i="4"/>
  <c r="K837" i="4"/>
  <c r="K220" i="4"/>
  <c r="K279" i="4"/>
  <c r="K617" i="4"/>
  <c r="Q256" i="4"/>
  <c r="R256" i="4" s="1"/>
  <c r="I752" i="4"/>
  <c r="I753" i="4" s="1"/>
  <c r="W247" i="4"/>
  <c r="L752" i="4"/>
  <c r="T691" i="4"/>
  <c r="O752" i="4"/>
  <c r="N247" i="4"/>
  <c r="T415" i="4"/>
  <c r="R752" i="4"/>
  <c r="W222" i="4"/>
  <c r="U752" i="4"/>
  <c r="I256" i="4"/>
  <c r="N442" i="4"/>
  <c r="R144" i="4"/>
  <c r="L140" i="4"/>
  <c r="O144" i="4"/>
  <c r="L144" i="4"/>
  <c r="H577" i="4"/>
  <c r="N864" i="4"/>
  <c r="L145" i="30"/>
  <c r="E191" i="30"/>
  <c r="E145" i="30"/>
  <c r="E99" i="30"/>
  <c r="I99" i="30"/>
  <c r="F191" i="30"/>
  <c r="M99" i="30"/>
  <c r="H145" i="30"/>
  <c r="L53" i="30"/>
  <c r="L237" i="30"/>
  <c r="F99" i="30"/>
  <c r="L99" i="30"/>
  <c r="F53" i="30"/>
  <c r="F237" i="30"/>
  <c r="Q505" i="4"/>
  <c r="N99" i="30"/>
  <c r="H53" i="30"/>
  <c r="H237" i="30"/>
  <c r="J99" i="30"/>
  <c r="M53" i="30"/>
  <c r="M237" i="30"/>
  <c r="N53" i="30"/>
  <c r="N237" i="30"/>
  <c r="H191" i="30"/>
  <c r="O145" i="30"/>
  <c r="O53" i="30"/>
  <c r="O237" i="30"/>
  <c r="M145" i="30"/>
  <c r="N145" i="30"/>
  <c r="O191" i="30"/>
  <c r="K247" i="4"/>
  <c r="N644" i="4"/>
  <c r="L674" i="4"/>
  <c r="N487" i="4"/>
  <c r="W160" i="4"/>
  <c r="N691" i="4"/>
  <c r="W564" i="4"/>
  <c r="O50" i="4"/>
  <c r="K49" i="39" s="1"/>
  <c r="W307" i="4"/>
  <c r="W419" i="4"/>
  <c r="W590" i="4"/>
  <c r="H173" i="4"/>
  <c r="W865" i="4"/>
  <c r="W443" i="4"/>
  <c r="W793" i="4"/>
  <c r="S14" i="46"/>
  <c r="S15" i="46"/>
  <c r="M28" i="46" a="1"/>
  <c r="M28" i="46" s="1"/>
  <c r="N28" i="46" s="1"/>
  <c r="M24" i="46" a="1"/>
  <c r="M24" i="46" s="1"/>
  <c r="N24" i="46" s="1"/>
  <c r="M27" i="46" a="1"/>
  <c r="M27" i="46" s="1"/>
  <c r="N27" i="46" s="1"/>
  <c r="M23" i="46" a="1"/>
  <c r="M23" i="46"/>
  <c r="N23" i="46" s="1"/>
  <c r="S17" i="46"/>
  <c r="S16" i="46"/>
  <c r="R30" i="46"/>
  <c r="S13" i="46"/>
  <c r="O15" i="46"/>
  <c r="O14" i="46"/>
  <c r="S24" i="46"/>
  <c r="S26" i="46"/>
  <c r="S27" i="46"/>
  <c r="S25" i="46"/>
  <c r="S23" i="46"/>
  <c r="S28" i="46"/>
  <c r="K185" i="4"/>
  <c r="K256" i="4"/>
  <c r="L256" i="4" s="1"/>
  <c r="H157" i="4"/>
  <c r="H219" i="4"/>
  <c r="H278" i="4"/>
  <c r="H414" i="4"/>
  <c r="H486" i="4"/>
  <c r="H561" i="4"/>
  <c r="H616" i="4"/>
  <c r="H690" i="4"/>
  <c r="H764" i="4"/>
  <c r="H895" i="4"/>
  <c r="H415" i="4"/>
  <c r="H837" i="4"/>
  <c r="H161" i="4"/>
  <c r="H418" i="4"/>
  <c r="H694" i="4"/>
  <c r="H899" i="4"/>
  <c r="H162" i="4"/>
  <c r="H224" i="4"/>
  <c r="H283" i="4"/>
  <c r="H419" i="4"/>
  <c r="H566" i="4"/>
  <c r="H621" i="4"/>
  <c r="H695" i="4"/>
  <c r="H769" i="4"/>
  <c r="H841" i="4"/>
  <c r="H495" i="4"/>
  <c r="H168" i="4"/>
  <c r="H230" i="4"/>
  <c r="H289" i="4"/>
  <c r="L289" i="4" s="1"/>
  <c r="H358" i="4"/>
  <c r="H425" i="4"/>
  <c r="H497" i="4"/>
  <c r="H572" i="4"/>
  <c r="O572" i="4" s="1"/>
  <c r="H627" i="4"/>
  <c r="I627" i="4" s="1"/>
  <c r="H775" i="4"/>
  <c r="H847" i="4"/>
  <c r="H906" i="4"/>
  <c r="H848" i="4"/>
  <c r="H502" i="4"/>
  <c r="X502" i="4" s="1"/>
  <c r="H706" i="4"/>
  <c r="I706" i="4" s="1"/>
  <c r="N176" i="4"/>
  <c r="N297" i="4"/>
  <c r="H297" i="4"/>
  <c r="N366" i="4"/>
  <c r="N433" i="4"/>
  <c r="N505" i="4"/>
  <c r="N580" i="4"/>
  <c r="H580" i="4"/>
  <c r="N709" i="4"/>
  <c r="N855" i="4"/>
  <c r="H855" i="4"/>
  <c r="N914" i="4"/>
  <c r="H177" i="4"/>
  <c r="N923" i="4"/>
  <c r="H186" i="4"/>
  <c r="L186" i="4" s="1"/>
  <c r="H248" i="4"/>
  <c r="H307" i="4"/>
  <c r="H515" i="4"/>
  <c r="H590" i="4"/>
  <c r="H645" i="4"/>
  <c r="H793" i="4"/>
  <c r="H865" i="4"/>
  <c r="H924" i="4"/>
  <c r="K514" i="4"/>
  <c r="K644" i="4"/>
  <c r="K442" i="4"/>
  <c r="K718" i="4"/>
  <c r="R44" i="39"/>
  <c r="W924" i="4"/>
  <c r="W515" i="4"/>
  <c r="W248" i="4"/>
  <c r="W719" i="4"/>
  <c r="W376" i="4"/>
  <c r="W186" i="4"/>
  <c r="L879" i="4"/>
  <c r="L880" i="4" s="1"/>
  <c r="O879" i="4"/>
  <c r="O880" i="4" s="1"/>
  <c r="U879" i="4"/>
  <c r="U880" i="4" s="1"/>
  <c r="X879" i="4"/>
  <c r="X880" i="4" s="1"/>
  <c r="R16" i="39"/>
  <c r="W691" i="4"/>
  <c r="W158" i="4"/>
  <c r="W617" i="4"/>
  <c r="W837" i="4"/>
  <c r="W348" i="4"/>
  <c r="W220" i="4"/>
  <c r="W562" i="4"/>
  <c r="W896" i="4"/>
  <c r="W487" i="4"/>
  <c r="W765" i="4"/>
  <c r="W415" i="4"/>
  <c r="W279" i="4"/>
  <c r="G580" i="4"/>
  <c r="I580" i="4" s="1"/>
  <c r="G505" i="4"/>
  <c r="G375" i="4"/>
  <c r="G306" i="4"/>
  <c r="K350" i="4"/>
  <c r="W297" i="4"/>
  <c r="F18" i="39"/>
  <c r="K619" i="4"/>
  <c r="K767" i="4"/>
  <c r="R34" i="39"/>
  <c r="W238" i="4"/>
  <c r="W914" i="4"/>
  <c r="W635" i="4"/>
  <c r="W783" i="4"/>
  <c r="W505" i="4"/>
  <c r="W709" i="4"/>
  <c r="W580" i="4"/>
  <c r="X580" i="4" s="1"/>
  <c r="W433" i="4"/>
  <c r="W695" i="4"/>
  <c r="W855" i="4"/>
  <c r="T645" i="4"/>
  <c r="I879" i="4"/>
  <c r="I880" i="4" s="1"/>
  <c r="G841" i="4"/>
  <c r="G566" i="4"/>
  <c r="G621" i="4"/>
  <c r="T171" i="4"/>
  <c r="T778" i="4"/>
  <c r="T575" i="4"/>
  <c r="T292" i="4"/>
  <c r="T909" i="4"/>
  <c r="T233" i="4"/>
  <c r="T850" i="4"/>
  <c r="T630" i="4"/>
  <c r="T500" i="4"/>
  <c r="W306" i="4"/>
  <c r="R18" i="39"/>
  <c r="R880" i="4"/>
  <c r="W350" i="4"/>
  <c r="W693" i="4"/>
  <c r="K792" i="4"/>
  <c r="W839" i="4"/>
  <c r="W281" i="4"/>
  <c r="W417" i="4"/>
  <c r="K589" i="4"/>
  <c r="W619" i="4"/>
  <c r="W767" i="4"/>
  <c r="K306" i="4"/>
  <c r="K375" i="4"/>
  <c r="W489" i="4"/>
  <c r="X31" i="4"/>
  <c r="AA207" i="4"/>
  <c r="R674" i="4"/>
  <c r="U674" i="4"/>
  <c r="X674" i="4"/>
  <c r="R29" i="39"/>
  <c r="W171" i="4"/>
  <c r="W361" i="4"/>
  <c r="W704" i="4"/>
  <c r="W428" i="4"/>
  <c r="W850" i="4"/>
  <c r="W909" i="4"/>
  <c r="W630" i="4"/>
  <c r="W575" i="4"/>
  <c r="W233" i="4"/>
  <c r="W500" i="4"/>
  <c r="W778" i="4"/>
  <c r="W292" i="4"/>
  <c r="Q630" i="4"/>
  <c r="Q375" i="4"/>
  <c r="Q850" i="4"/>
  <c r="F43" i="39"/>
  <c r="K923" i="4"/>
  <c r="I29" i="39"/>
  <c r="O29" i="39"/>
  <c r="W176" i="4"/>
  <c r="W23" i="48"/>
  <c r="W25" i="48"/>
  <c r="F107" i="48"/>
  <c r="X15" i="48"/>
  <c r="S110" i="48"/>
  <c r="V110" i="48"/>
  <c r="V112" i="48"/>
  <c r="V114" i="48"/>
  <c r="V116" i="48"/>
  <c r="V120" i="48"/>
  <c r="H940" i="4"/>
  <c r="I940" i="4" s="1"/>
  <c r="G8" i="46"/>
  <c r="Y25" i="48"/>
  <c r="Z25" i="48"/>
  <c r="V122" i="48"/>
  <c r="U549" i="4"/>
  <c r="V121" i="48"/>
  <c r="U400" i="4"/>
  <c r="U335" i="4"/>
  <c r="C110" i="48"/>
  <c r="F110" i="48"/>
  <c r="F112" i="48"/>
  <c r="F114" i="48"/>
  <c r="F116" i="48"/>
  <c r="F121" i="48"/>
  <c r="F122" i="48"/>
  <c r="F120" i="48"/>
  <c r="I335" i="4"/>
  <c r="I400" i="4"/>
  <c r="I549" i="4"/>
  <c r="U28" i="4"/>
  <c r="L902" i="4"/>
  <c r="W669" i="4"/>
  <c r="T896" i="4"/>
  <c r="T562" i="4"/>
  <c r="T158" i="4"/>
  <c r="T279" i="4"/>
  <c r="T348" i="4"/>
  <c r="T837" i="4"/>
  <c r="T220" i="4"/>
  <c r="O16" i="39"/>
  <c r="T487" i="4"/>
  <c r="AC105" i="48"/>
  <c r="AA105" i="48"/>
  <c r="AB105" i="48"/>
  <c r="AC25" i="48"/>
  <c r="AA25" i="48"/>
  <c r="AB25" i="48"/>
  <c r="X25" i="48"/>
  <c r="R21" i="48"/>
  <c r="R107" i="48"/>
  <c r="W14" i="48"/>
  <c r="W44" i="48"/>
  <c r="X44" i="48"/>
  <c r="W43" i="48"/>
  <c r="X43" i="48"/>
  <c r="AA49" i="48"/>
  <c r="AB49" i="48"/>
  <c r="AC49" i="48"/>
  <c r="W55" i="48"/>
  <c r="W58" i="48"/>
  <c r="AC58" i="48"/>
  <c r="AA51" i="48"/>
  <c r="AB51" i="48"/>
  <c r="AC51" i="48"/>
  <c r="W19" i="48"/>
  <c r="W38" i="48"/>
  <c r="W42" i="48"/>
  <c r="L331" i="4"/>
  <c r="I331" i="4"/>
  <c r="O330" i="4"/>
  <c r="L332" i="4"/>
  <c r="X332" i="4"/>
  <c r="U242" i="4"/>
  <c r="K564" i="4"/>
  <c r="K417" i="4"/>
  <c r="L129" i="4"/>
  <c r="K160" i="4"/>
  <c r="K222" i="4"/>
  <c r="O324" i="4"/>
  <c r="O812" i="4"/>
  <c r="I668" i="4"/>
  <c r="L540" i="4"/>
  <c r="L461" i="4"/>
  <c r="G79" i="4"/>
  <c r="U64" i="4"/>
  <c r="W75" i="4"/>
  <c r="O332" i="4"/>
  <c r="R20" i="4"/>
  <c r="R74" i="4"/>
  <c r="U332" i="4"/>
  <c r="R332" i="4"/>
  <c r="I540" i="4"/>
  <c r="R318" i="4"/>
  <c r="P99" i="30"/>
  <c r="I332" i="4"/>
  <c r="I673" i="4"/>
  <c r="L673" i="4"/>
  <c r="R673" i="4"/>
  <c r="U568" i="4"/>
  <c r="I34" i="39"/>
  <c r="M49" i="39"/>
  <c r="R50" i="4"/>
  <c r="G850" i="4"/>
  <c r="G575" i="4"/>
  <c r="G361" i="4"/>
  <c r="G428" i="4"/>
  <c r="G704" i="4"/>
  <c r="G500" i="4"/>
  <c r="G171" i="4"/>
  <c r="C29" i="39"/>
  <c r="L317" i="4"/>
  <c r="U317" i="4"/>
  <c r="G778" i="4"/>
  <c r="K813" i="4"/>
  <c r="T375" i="4"/>
  <c r="G909" i="4"/>
  <c r="G630" i="4"/>
  <c r="G233" i="4"/>
  <c r="G292" i="4"/>
  <c r="W321" i="4"/>
  <c r="X812" i="4"/>
  <c r="W813" i="4"/>
  <c r="K645" i="4"/>
  <c r="F44" i="39"/>
  <c r="K443" i="4"/>
  <c r="K590" i="4"/>
  <c r="K376" i="4"/>
  <c r="L376" i="4" s="1"/>
  <c r="K307" i="4"/>
  <c r="K865" i="4"/>
  <c r="K719" i="4"/>
  <c r="K248" i="4"/>
  <c r="K793" i="4"/>
  <c r="S49" i="39"/>
  <c r="X50" i="4"/>
  <c r="T49" i="39" s="1"/>
  <c r="K515" i="4"/>
  <c r="I146" i="4"/>
  <c r="L146" i="4"/>
  <c r="U180" i="4"/>
  <c r="O146" i="4"/>
  <c r="Q580" i="4"/>
  <c r="K924" i="4"/>
  <c r="K419" i="4"/>
  <c r="U47" i="4"/>
  <c r="Q46" i="39" s="1"/>
  <c r="Q709" i="4"/>
  <c r="R395" i="4"/>
  <c r="O322" i="4"/>
  <c r="X493" i="4"/>
  <c r="U324" i="4"/>
  <c r="L668" i="4"/>
  <c r="R817" i="4"/>
  <c r="I817" i="4"/>
  <c r="X817" i="4"/>
  <c r="L538" i="4"/>
  <c r="X78" i="4"/>
  <c r="W79" i="4"/>
  <c r="W396" i="4"/>
  <c r="X396" i="4" s="1"/>
  <c r="X538" i="4"/>
  <c r="W539" i="4"/>
  <c r="U577" i="4"/>
  <c r="I41" i="4"/>
  <c r="L322" i="4"/>
  <c r="I320" i="4"/>
  <c r="I547" i="4"/>
  <c r="L547" i="4"/>
  <c r="U547" i="4"/>
  <c r="O547" i="4"/>
  <c r="X547" i="4"/>
  <c r="R547" i="4"/>
  <c r="Q297" i="4"/>
  <c r="Q176" i="4"/>
  <c r="I20" i="39"/>
  <c r="X385" i="4"/>
  <c r="T489" i="4"/>
  <c r="T693" i="4"/>
  <c r="T361" i="4"/>
  <c r="T428" i="4"/>
  <c r="T704" i="4"/>
  <c r="T176" i="4"/>
  <c r="T238" i="4"/>
  <c r="T297" i="4"/>
  <c r="T366" i="4"/>
  <c r="T433" i="4"/>
  <c r="T505" i="4"/>
  <c r="T580" i="4"/>
  <c r="T635" i="4"/>
  <c r="T709" i="4"/>
  <c r="T783" i="4"/>
  <c r="T855" i="4"/>
  <c r="T914" i="4"/>
  <c r="T185" i="4"/>
  <c r="T247" i="4"/>
  <c r="T306" i="4"/>
  <c r="T442" i="4"/>
  <c r="T514" i="4"/>
  <c r="T589" i="4"/>
  <c r="T718" i="4"/>
  <c r="T792" i="4"/>
  <c r="T864" i="4"/>
  <c r="T923" i="4"/>
  <c r="T307" i="4"/>
  <c r="T376" i="4"/>
  <c r="U376" i="4" s="1"/>
  <c r="T515" i="4"/>
  <c r="U48" i="4"/>
  <c r="Q47" i="39" s="1"/>
  <c r="U49" i="4"/>
  <c r="Q48" i="39" s="1"/>
  <c r="L324" i="4"/>
  <c r="L40" i="4"/>
  <c r="U952" i="4"/>
  <c r="X546" i="4"/>
  <c r="O546" i="4"/>
  <c r="R546" i="4"/>
  <c r="L546" i="4"/>
  <c r="I546" i="4"/>
  <c r="O127" i="4"/>
  <c r="L127" i="4"/>
  <c r="R138" i="4"/>
  <c r="O138" i="4"/>
  <c r="X27" i="4"/>
  <c r="L27" i="4"/>
  <c r="L18" i="39"/>
  <c r="Q767" i="4"/>
  <c r="Q693" i="4"/>
  <c r="Q350" i="4"/>
  <c r="Q489" i="4"/>
  <c r="Q417" i="4"/>
  <c r="Q281" i="4"/>
  <c r="Q160" i="4"/>
  <c r="Q839" i="4"/>
  <c r="Q898" i="4"/>
  <c r="I333" i="4"/>
  <c r="U333" i="4"/>
  <c r="O333" i="4"/>
  <c r="L333" i="4"/>
  <c r="I322" i="4"/>
  <c r="R527" i="4"/>
  <c r="O202" i="4"/>
  <c r="P46" i="39"/>
  <c r="X256" i="4"/>
  <c r="O256" i="4"/>
  <c r="K839" i="4"/>
  <c r="K693" i="4"/>
  <c r="K898" i="4"/>
  <c r="K489" i="4"/>
  <c r="R818" i="4"/>
  <c r="X818" i="4"/>
  <c r="X45" i="4"/>
  <c r="X38" i="4"/>
  <c r="I147" i="4"/>
  <c r="I30" i="4"/>
  <c r="Q442" i="4"/>
  <c r="Q514" i="4"/>
  <c r="Q644" i="4"/>
  <c r="F20" i="39"/>
  <c r="K695" i="4"/>
  <c r="Q589" i="4"/>
  <c r="L43" i="39"/>
  <c r="Q923" i="4"/>
  <c r="D49" i="39"/>
  <c r="I50" i="4"/>
  <c r="Q792" i="4"/>
  <c r="Q306" i="4"/>
  <c r="Q864" i="4"/>
  <c r="Q718" i="4"/>
  <c r="Q185" i="4"/>
  <c r="Q247" i="4"/>
  <c r="K191" i="30"/>
  <c r="K99" i="30"/>
  <c r="K53" i="30"/>
  <c r="K237" i="30"/>
  <c r="K145" i="30"/>
  <c r="O43" i="39"/>
  <c r="O18" i="39"/>
  <c r="K778" i="4"/>
  <c r="G49" i="39"/>
  <c r="L50" i="4"/>
  <c r="H49" i="39" s="1"/>
  <c r="P48" i="39"/>
  <c r="L32" i="4"/>
  <c r="L39" i="4"/>
  <c r="G99" i="30"/>
  <c r="G53" i="30"/>
  <c r="G237" i="30"/>
  <c r="G191" i="30"/>
  <c r="U940" i="4"/>
  <c r="X42" i="48"/>
  <c r="W47" i="48"/>
  <c r="Z38" i="48"/>
  <c r="Y38" i="48"/>
  <c r="X38" i="48"/>
  <c r="W39" i="48"/>
  <c r="Y19" i="48"/>
  <c r="X19" i="48"/>
  <c r="Z19" i="48"/>
  <c r="AA58" i="48"/>
  <c r="AB58" i="48"/>
  <c r="Z58" i="48"/>
  <c r="X58" i="48"/>
  <c r="Y58" i="48"/>
  <c r="X14" i="48"/>
  <c r="X107" i="48"/>
  <c r="Z14" i="48"/>
  <c r="Z107" i="48"/>
  <c r="Y14" i="48"/>
  <c r="Y107" i="48"/>
  <c r="W21" i="48"/>
  <c r="O110" i="48"/>
  <c r="R110" i="48"/>
  <c r="R146" i="4"/>
  <c r="R425" i="4"/>
  <c r="R112" i="48"/>
  <c r="R114" i="48"/>
  <c r="R116" i="48"/>
  <c r="W110" i="48"/>
  <c r="AC21" i="48"/>
  <c r="AB21" i="48"/>
  <c r="AA21" i="48"/>
  <c r="W107" i="48"/>
  <c r="Y110" i="48"/>
  <c r="Y114" i="48"/>
  <c r="Y120" i="48"/>
  <c r="Z110" i="48"/>
  <c r="Z114" i="48"/>
  <c r="Z120" i="48"/>
  <c r="X110" i="48"/>
  <c r="X114" i="48"/>
  <c r="X120" i="48"/>
  <c r="AC39" i="48"/>
  <c r="AA39" i="48"/>
  <c r="AB39" i="48"/>
  <c r="AC47" i="48"/>
  <c r="AA47" i="48"/>
  <c r="AB47" i="48"/>
  <c r="X146" i="4"/>
  <c r="W112" i="48"/>
  <c r="W114" i="48"/>
  <c r="W116" i="48"/>
  <c r="AC110" i="48"/>
  <c r="AC118" i="48"/>
  <c r="AA110" i="48"/>
  <c r="AA118" i="48"/>
  <c r="AB110" i="48"/>
  <c r="AB118" i="48"/>
  <c r="R120" i="48"/>
  <c r="R121" i="48"/>
  <c r="R122" i="48"/>
  <c r="R549" i="4"/>
  <c r="W122" i="48"/>
  <c r="R400" i="4"/>
  <c r="W121" i="48"/>
  <c r="R335" i="4"/>
  <c r="W120" i="48"/>
  <c r="W123" i="48"/>
  <c r="O26" i="46" l="1"/>
  <c r="O28" i="46"/>
  <c r="O23" i="46"/>
  <c r="O24" i="46"/>
  <c r="R812" i="4"/>
  <c r="U127" i="4"/>
  <c r="X397" i="4"/>
  <c r="R127" i="4"/>
  <c r="H700" i="4"/>
  <c r="I700" i="4" s="1"/>
  <c r="Y141" i="4"/>
  <c r="AA141" i="4" s="1"/>
  <c r="Y136" i="4"/>
  <c r="AA136" i="4" s="1"/>
  <c r="I64" i="4"/>
  <c r="H864" i="4"/>
  <c r="H229" i="4"/>
  <c r="K396" i="4"/>
  <c r="L396" i="4" s="1"/>
  <c r="O320" i="4"/>
  <c r="H306" i="4"/>
  <c r="I306" i="4" s="1"/>
  <c r="O278" i="4"/>
  <c r="U41" i="4"/>
  <c r="U771" i="4"/>
  <c r="I22" i="4"/>
  <c r="I74" i="4"/>
  <c r="X127" i="4"/>
  <c r="U256" i="4"/>
  <c r="X321" i="4"/>
  <c r="H643" i="4"/>
  <c r="H353" i="4"/>
  <c r="L353" i="4" s="1"/>
  <c r="U26" i="4"/>
  <c r="X43" i="4"/>
  <c r="H184" i="4"/>
  <c r="I14" i="4"/>
  <c r="R21" i="4"/>
  <c r="U296" i="4"/>
  <c r="O432" i="4"/>
  <c r="O708" i="4"/>
  <c r="U708" i="4"/>
  <c r="O354" i="4"/>
  <c r="U859" i="4"/>
  <c r="L202" i="4"/>
  <c r="X25" i="4"/>
  <c r="R753" i="4"/>
  <c r="R202" i="4"/>
  <c r="X865" i="4"/>
  <c r="L669" i="4"/>
  <c r="X22" i="4"/>
  <c r="L375" i="4"/>
  <c r="X590" i="4"/>
  <c r="H792" i="4"/>
  <c r="L792" i="4" s="1"/>
  <c r="H247" i="4"/>
  <c r="U775" i="4"/>
  <c r="H163" i="4"/>
  <c r="X163" i="4" s="1"/>
  <c r="U532" i="4"/>
  <c r="L45" i="4"/>
  <c r="R22" i="4"/>
  <c r="R13" i="4"/>
  <c r="R38" i="4"/>
  <c r="U15" i="4"/>
  <c r="L242" i="4"/>
  <c r="I226" i="4"/>
  <c r="R370" i="4"/>
  <c r="I347" i="4"/>
  <c r="I504" i="4"/>
  <c r="L584" i="4"/>
  <c r="X568" i="4"/>
  <c r="I639" i="4"/>
  <c r="R623" i="4"/>
  <c r="X859" i="4"/>
  <c r="I899" i="4"/>
  <c r="I895" i="4"/>
  <c r="O666" i="4"/>
  <c r="X741" i="4"/>
  <c r="R811" i="4"/>
  <c r="I15" i="4"/>
  <c r="H718" i="4"/>
  <c r="H185" i="4"/>
  <c r="X460" i="4"/>
  <c r="Y263" i="4"/>
  <c r="AA263" i="4" s="1"/>
  <c r="Y198" i="4"/>
  <c r="AA198" i="4" s="1"/>
  <c r="Y98" i="4"/>
  <c r="AA98" i="4" s="1"/>
  <c r="Y87" i="4"/>
  <c r="AA87" i="4" s="1"/>
  <c r="Y525" i="4"/>
  <c r="AA525" i="4" s="1"/>
  <c r="Y201" i="4"/>
  <c r="AA201" i="4" s="1"/>
  <c r="O813" i="4"/>
  <c r="L355" i="4"/>
  <c r="I43" i="4"/>
  <c r="X324" i="4"/>
  <c r="H644" i="4"/>
  <c r="R644" i="4" s="1"/>
  <c r="L899" i="4"/>
  <c r="H153" i="4"/>
  <c r="L153" i="4" s="1"/>
  <c r="R247" i="4"/>
  <c r="R164" i="4"/>
  <c r="H589" i="4"/>
  <c r="X248" i="4"/>
  <c r="H514" i="4"/>
  <c r="H770" i="4"/>
  <c r="X770" i="4" s="1"/>
  <c r="I418" i="4"/>
  <c r="X237" i="4"/>
  <c r="L237" i="4"/>
  <c r="X296" i="4"/>
  <c r="L296" i="4"/>
  <c r="X713" i="4"/>
  <c r="L713" i="4"/>
  <c r="R708" i="4"/>
  <c r="U697" i="4"/>
  <c r="U787" i="4"/>
  <c r="I787" i="4"/>
  <c r="R859" i="4"/>
  <c r="U913" i="4"/>
  <c r="X743" i="4"/>
  <c r="X51" i="4"/>
  <c r="T50" i="39" s="1"/>
  <c r="U247" i="4"/>
  <c r="R44" i="4"/>
  <c r="X695" i="4"/>
  <c r="I375" i="4"/>
  <c r="H923" i="4"/>
  <c r="H442" i="4"/>
  <c r="R442" i="4" s="1"/>
  <c r="H622" i="4"/>
  <c r="N361" i="4"/>
  <c r="R319" i="4"/>
  <c r="H420" i="4"/>
  <c r="X247" i="4"/>
  <c r="R30" i="4"/>
  <c r="Q575" i="4"/>
  <c r="W514" i="4"/>
  <c r="W923" i="4"/>
  <c r="I811" i="4"/>
  <c r="I44" i="4"/>
  <c r="I36" i="4"/>
  <c r="U24" i="4"/>
  <c r="R180" i="4"/>
  <c r="R173" i="4"/>
  <c r="I168" i="4"/>
  <c r="I237" i="4"/>
  <c r="X226" i="4"/>
  <c r="L226" i="4"/>
  <c r="U225" i="4"/>
  <c r="R219" i="4"/>
  <c r="I296" i="4"/>
  <c r="X370" i="4"/>
  <c r="X355" i="4"/>
  <c r="I354" i="4"/>
  <c r="I437" i="4"/>
  <c r="X425" i="4"/>
  <c r="L425" i="4"/>
  <c r="X495" i="4"/>
  <c r="L495" i="4"/>
  <c r="R486" i="4"/>
  <c r="I579" i="4"/>
  <c r="X577" i="4"/>
  <c r="L577" i="4"/>
  <c r="R643" i="4"/>
  <c r="X639" i="4"/>
  <c r="U626" i="4"/>
  <c r="I623" i="4"/>
  <c r="R864" i="4"/>
  <c r="O859" i="4"/>
  <c r="U854" i="4"/>
  <c r="X843" i="4"/>
  <c r="X918" i="4"/>
  <c r="L918" i="4"/>
  <c r="R902" i="4"/>
  <c r="X899" i="4"/>
  <c r="X895" i="4"/>
  <c r="V36" i="39"/>
  <c r="V47" i="39"/>
  <c r="I200" i="4"/>
  <c r="Y665" i="4"/>
  <c r="AA665" i="4" s="1"/>
  <c r="L666" i="4"/>
  <c r="Y944" i="4"/>
  <c r="AA944" i="4" s="1"/>
  <c r="Y933" i="4"/>
  <c r="AA933" i="4" s="1"/>
  <c r="X550" i="4"/>
  <c r="Q20" i="46"/>
  <c r="Q30" i="46" s="1"/>
  <c r="Q704" i="4"/>
  <c r="W589" i="4"/>
  <c r="Q292" i="4"/>
  <c r="H631" i="4"/>
  <c r="R497" i="4"/>
  <c r="U175" i="4"/>
  <c r="X242" i="4"/>
  <c r="R237" i="4"/>
  <c r="U226" i="4"/>
  <c r="X301" i="4"/>
  <c r="L301" i="4"/>
  <c r="R296" i="4"/>
  <c r="U285" i="4"/>
  <c r="I285" i="4"/>
  <c r="U370" i="4"/>
  <c r="I370" i="4"/>
  <c r="U347" i="4"/>
  <c r="U504" i="4"/>
  <c r="X584" i="4"/>
  <c r="R579" i="4"/>
  <c r="I568" i="4"/>
  <c r="U639" i="4"/>
  <c r="R899" i="4"/>
  <c r="L20" i="46"/>
  <c r="G443" i="4"/>
  <c r="Q233" i="4"/>
  <c r="Q428" i="4"/>
  <c r="L561" i="4"/>
  <c r="U666" i="4"/>
  <c r="H20" i="46"/>
  <c r="Q361" i="4"/>
  <c r="W185" i="4"/>
  <c r="X185" i="4" s="1"/>
  <c r="W792" i="4"/>
  <c r="X792" i="4" s="1"/>
  <c r="O386" i="4"/>
  <c r="L169" i="4"/>
  <c r="G41" i="39"/>
  <c r="G25" i="39"/>
  <c r="R568" i="4"/>
  <c r="R639" i="4"/>
  <c r="R782" i="4"/>
  <c r="R843" i="4"/>
  <c r="I51" i="4"/>
  <c r="E50" i="39" s="1"/>
  <c r="Q778" i="4"/>
  <c r="W442" i="4"/>
  <c r="Q500" i="4"/>
  <c r="I937" i="4"/>
  <c r="X391" i="4"/>
  <c r="D31" i="39"/>
  <c r="L17" i="4"/>
  <c r="J41" i="39"/>
  <c r="U35" i="4"/>
  <c r="X44" i="4"/>
  <c r="S27" i="39"/>
  <c r="I164" i="4"/>
  <c r="P16" i="39"/>
  <c r="M14" i="39"/>
  <c r="R242" i="4"/>
  <c r="I242" i="4"/>
  <c r="R301" i="4"/>
  <c r="L285" i="4"/>
  <c r="O365" i="4"/>
  <c r="L354" i="4"/>
  <c r="O347" i="4"/>
  <c r="U509" i="4"/>
  <c r="O504" i="4"/>
  <c r="R771" i="4"/>
  <c r="I859" i="4"/>
  <c r="X854" i="4"/>
  <c r="U902" i="4"/>
  <c r="U537" i="4"/>
  <c r="J20" i="46"/>
  <c r="L813" i="4"/>
  <c r="Q909" i="4"/>
  <c r="W864" i="4"/>
  <c r="X864" i="4" s="1"/>
  <c r="O230" i="4"/>
  <c r="I385" i="4"/>
  <c r="I386" i="4" s="1"/>
  <c r="Y384" i="4"/>
  <c r="AA384" i="4" s="1"/>
  <c r="L24" i="4"/>
  <c r="U538" i="4"/>
  <c r="L29" i="39"/>
  <c r="W644" i="4"/>
  <c r="X644" i="4" s="1"/>
  <c r="U168" i="4"/>
  <c r="O219" i="4"/>
  <c r="I657" i="4"/>
  <c r="N292" i="4"/>
  <c r="H18" i="46"/>
  <c r="U153" i="4"/>
  <c r="U745" i="4"/>
  <c r="U395" i="4"/>
  <c r="I841" i="4"/>
  <c r="L229" i="4"/>
  <c r="X616" i="4"/>
  <c r="X289" i="4"/>
  <c r="R289" i="4"/>
  <c r="I318" i="4"/>
  <c r="L168" i="4"/>
  <c r="U307" i="4"/>
  <c r="U306" i="4"/>
  <c r="L645" i="4"/>
  <c r="R24" i="4"/>
  <c r="G248" i="4"/>
  <c r="G645" i="4"/>
  <c r="I645" i="4" s="1"/>
  <c r="L442" i="4"/>
  <c r="X515" i="4"/>
  <c r="L718" i="4"/>
  <c r="R353" i="4"/>
  <c r="N18" i="46"/>
  <c r="X168" i="4"/>
  <c r="J22" i="39"/>
  <c r="R306" i="4"/>
  <c r="U33" i="4"/>
  <c r="X813" i="4"/>
  <c r="R460" i="4"/>
  <c r="I45" i="4"/>
  <c r="C44" i="39"/>
  <c r="H717" i="4"/>
  <c r="H844" i="4"/>
  <c r="L415" i="4"/>
  <c r="N704" i="4"/>
  <c r="H853" i="4"/>
  <c r="R853" i="4" s="1"/>
  <c r="R200" i="4"/>
  <c r="R203" i="4" s="1"/>
  <c r="N233" i="4"/>
  <c r="L18" i="46"/>
  <c r="X24" i="4"/>
  <c r="U864" i="4"/>
  <c r="U467" i="4"/>
  <c r="D30" i="46"/>
  <c r="O200" i="4"/>
  <c r="G376" i="4"/>
  <c r="I376" i="4" s="1"/>
  <c r="G865" i="4"/>
  <c r="G590" i="4"/>
  <c r="R375" i="4"/>
  <c r="U848" i="4"/>
  <c r="H698" i="4"/>
  <c r="X698" i="4" s="1"/>
  <c r="N575" i="4"/>
  <c r="N850" i="4"/>
  <c r="H503" i="4"/>
  <c r="I503" i="4" s="1"/>
  <c r="R467" i="4"/>
  <c r="G515" i="4"/>
  <c r="X514" i="4"/>
  <c r="O906" i="4"/>
  <c r="H286" i="4"/>
  <c r="L286" i="4" s="1"/>
  <c r="O836" i="4"/>
  <c r="N778" i="4"/>
  <c r="N500" i="4"/>
  <c r="L460" i="4"/>
  <c r="I460" i="4"/>
  <c r="X791" i="4"/>
  <c r="X701" i="4"/>
  <c r="L397" i="4"/>
  <c r="R48" i="4"/>
  <c r="N47" i="39" s="1"/>
  <c r="O147" i="4"/>
  <c r="R47" i="4"/>
  <c r="N46" i="39" s="1"/>
  <c r="G307" i="4"/>
  <c r="G186" i="4"/>
  <c r="X306" i="4"/>
  <c r="N630" i="4"/>
  <c r="X48" i="4"/>
  <c r="T47" i="39" s="1"/>
  <c r="I467" i="4"/>
  <c r="I470" i="4" s="1"/>
  <c r="U147" i="4"/>
  <c r="X147" i="4"/>
  <c r="G719" i="4"/>
  <c r="G793" i="4"/>
  <c r="R847" i="4"/>
  <c r="U694" i="4"/>
  <c r="N428" i="4"/>
  <c r="N909" i="4"/>
  <c r="J18" i="46"/>
  <c r="R937" i="4"/>
  <c r="L44" i="4"/>
  <c r="L20" i="4"/>
  <c r="J28" i="39"/>
  <c r="U22" i="4"/>
  <c r="X15" i="4"/>
  <c r="L175" i="4"/>
  <c r="R168" i="4"/>
  <c r="X164" i="4"/>
  <c r="R225" i="4"/>
  <c r="L306" i="4"/>
  <c r="I355" i="4"/>
  <c r="X442" i="4"/>
  <c r="U425" i="4"/>
  <c r="I425" i="4"/>
  <c r="D21" i="39"/>
  <c r="X627" i="4"/>
  <c r="L627" i="4"/>
  <c r="O70" i="4"/>
  <c r="I321" i="4"/>
  <c r="O532" i="4"/>
  <c r="L670" i="4"/>
  <c r="R746" i="4"/>
  <c r="I813" i="4"/>
  <c r="X747" i="4"/>
  <c r="O51" i="4"/>
  <c r="K50" i="39" s="1"/>
  <c r="U746" i="4"/>
  <c r="M17" i="39"/>
  <c r="U44" i="4"/>
  <c r="X173" i="4"/>
  <c r="I626" i="4"/>
  <c r="G40" i="39"/>
  <c r="Y934" i="4"/>
  <c r="AA934" i="4" s="1"/>
  <c r="J44" i="39"/>
  <c r="M42" i="39"/>
  <c r="P40" i="39"/>
  <c r="D40" i="39"/>
  <c r="S38" i="39"/>
  <c r="G38" i="39"/>
  <c r="P37" i="39"/>
  <c r="D37" i="39"/>
  <c r="G35" i="39"/>
  <c r="G34" i="39"/>
  <c r="J32" i="39"/>
  <c r="U173" i="4"/>
  <c r="I173" i="4"/>
  <c r="M30" i="39"/>
  <c r="S29" i="39"/>
  <c r="G28" i="39"/>
  <c r="P22" i="39"/>
  <c r="M21" i="39"/>
  <c r="S20" i="39"/>
  <c r="S39" i="39"/>
  <c r="G39" i="39"/>
  <c r="S36" i="39"/>
  <c r="G36" i="39"/>
  <c r="M31" i="39"/>
  <c r="J29" i="39"/>
  <c r="J27" i="39"/>
  <c r="P23" i="39"/>
  <c r="X225" i="4"/>
  <c r="L225" i="4"/>
  <c r="I289" i="4"/>
  <c r="J14" i="39"/>
  <c r="M12" i="39"/>
  <c r="R358" i="4"/>
  <c r="I353" i="4"/>
  <c r="D16" i="39"/>
  <c r="M39" i="39"/>
  <c r="S31" i="39"/>
  <c r="G31" i="39"/>
  <c r="P27" i="39"/>
  <c r="J23" i="39"/>
  <c r="X418" i="4"/>
  <c r="L418" i="4"/>
  <c r="J18" i="39"/>
  <c r="X414" i="4"/>
  <c r="L414" i="4"/>
  <c r="P14" i="39"/>
  <c r="D14" i="39"/>
  <c r="G12" i="39"/>
  <c r="G44" i="39"/>
  <c r="D43" i="39"/>
  <c r="D34" i="39"/>
  <c r="M27" i="39"/>
  <c r="P25" i="39"/>
  <c r="D25" i="39"/>
  <c r="S23" i="39"/>
  <c r="G23" i="39"/>
  <c r="P20" i="39"/>
  <c r="U487" i="4"/>
  <c r="U486" i="4"/>
  <c r="I486" i="4"/>
  <c r="U644" i="4"/>
  <c r="I631" i="4"/>
  <c r="R627" i="4"/>
  <c r="X694" i="4"/>
  <c r="U847" i="4"/>
  <c r="I847" i="4"/>
  <c r="R913" i="4"/>
  <c r="R906" i="4"/>
  <c r="V39" i="39"/>
  <c r="V37" i="39"/>
  <c r="V32" i="39"/>
  <c r="V31" i="39"/>
  <c r="V27" i="39"/>
  <c r="V17" i="39"/>
  <c r="V12" i="39"/>
  <c r="Y742" i="4"/>
  <c r="AA742" i="4" s="1"/>
  <c r="V48" i="39"/>
  <c r="U200" i="4"/>
  <c r="O317" i="4"/>
  <c r="I532" i="4"/>
  <c r="Y804" i="4"/>
  <c r="AA804" i="4" s="1"/>
  <c r="L747" i="4"/>
  <c r="X527" i="4"/>
  <c r="Y932" i="4"/>
  <c r="I13" i="4"/>
  <c r="U753" i="4"/>
  <c r="O121" i="4"/>
  <c r="F19" i="41" s="1"/>
  <c r="R396" i="4"/>
  <c r="U636" i="4"/>
  <c r="I636" i="4"/>
  <c r="X636" i="4"/>
  <c r="L636" i="4"/>
  <c r="I848" i="4"/>
  <c r="K224" i="4"/>
  <c r="L224" i="4" s="1"/>
  <c r="R514" i="4"/>
  <c r="I550" i="4"/>
  <c r="I812" i="4"/>
  <c r="I814" i="4" s="1"/>
  <c r="T443" i="4"/>
  <c r="T619" i="4"/>
  <c r="U51" i="4"/>
  <c r="Q50" i="39" s="1"/>
  <c r="Q635" i="4"/>
  <c r="T160" i="4"/>
  <c r="U160" i="4" s="1"/>
  <c r="I21" i="4"/>
  <c r="I186" i="4"/>
  <c r="L589" i="4"/>
  <c r="G695" i="4"/>
  <c r="I695" i="4" s="1"/>
  <c r="H863" i="4"/>
  <c r="O863" i="4" s="1"/>
  <c r="O43" i="4"/>
  <c r="I495" i="4"/>
  <c r="I537" i="4"/>
  <c r="O537" i="4"/>
  <c r="I958" i="4"/>
  <c r="L806" i="4"/>
  <c r="Y117" i="4"/>
  <c r="AA117" i="4" s="1"/>
  <c r="L321" i="4"/>
  <c r="Y803" i="4"/>
  <c r="AA803" i="4" s="1"/>
  <c r="X65" i="4"/>
  <c r="K975" i="4"/>
  <c r="L975" i="4" s="1"/>
  <c r="X937" i="4"/>
  <c r="K283" i="4"/>
  <c r="L283" i="4" s="1"/>
  <c r="X26" i="4"/>
  <c r="R540" i="4"/>
  <c r="T564" i="4"/>
  <c r="X386" i="4"/>
  <c r="Q914" i="4"/>
  <c r="N75" i="4"/>
  <c r="O75" i="4" s="1"/>
  <c r="K566" i="4"/>
  <c r="H714" i="4"/>
  <c r="X714" i="4" s="1"/>
  <c r="H846" i="4"/>
  <c r="X846" i="4" s="1"/>
  <c r="Y674" i="4"/>
  <c r="AA674" i="4" s="1"/>
  <c r="I49" i="4"/>
  <c r="O49" i="4"/>
  <c r="K48" i="39" s="1"/>
  <c r="L49" i="4"/>
  <c r="H48" i="39" s="1"/>
  <c r="Q975" i="4"/>
  <c r="R975" i="4" s="1"/>
  <c r="Y68" i="4"/>
  <c r="AA68" i="4" s="1"/>
  <c r="U230" i="4"/>
  <c r="J20" i="39"/>
  <c r="U219" i="4"/>
  <c r="P39" i="39"/>
  <c r="G27" i="39"/>
  <c r="P29" i="39"/>
  <c r="R717" i="4"/>
  <c r="L775" i="4"/>
  <c r="I764" i="4"/>
  <c r="X219" i="4"/>
  <c r="K900" i="4"/>
  <c r="L848" i="4"/>
  <c r="L791" i="4"/>
  <c r="I616" i="4"/>
  <c r="T924" i="4"/>
  <c r="T248" i="4"/>
  <c r="U248" i="4" s="1"/>
  <c r="U514" i="4"/>
  <c r="U40" i="4"/>
  <c r="T417" i="4"/>
  <c r="Q238" i="4"/>
  <c r="N462" i="4"/>
  <c r="O462" i="4" s="1"/>
  <c r="L26" i="4"/>
  <c r="X17" i="4"/>
  <c r="Y332" i="4"/>
  <c r="AA332" i="4" s="1"/>
  <c r="C20" i="39"/>
  <c r="G283" i="4"/>
  <c r="I283" i="4" s="1"/>
  <c r="R923" i="4"/>
  <c r="H588" i="4"/>
  <c r="L588" i="4" s="1"/>
  <c r="H776" i="4"/>
  <c r="O776" i="4" s="1"/>
  <c r="H571" i="4"/>
  <c r="L571" i="4" s="1"/>
  <c r="L162" i="4"/>
  <c r="H348" i="4"/>
  <c r="U348" i="4" s="1"/>
  <c r="O486" i="4"/>
  <c r="R43" i="4"/>
  <c r="U30" i="4"/>
  <c r="X200" i="4"/>
  <c r="L537" i="4"/>
  <c r="I666" i="4"/>
  <c r="X811" i="4"/>
  <c r="Y454" i="4"/>
  <c r="AA454" i="4" s="1"/>
  <c r="I643" i="4"/>
  <c r="X775" i="4"/>
  <c r="U764" i="4"/>
  <c r="R775" i="4"/>
  <c r="K491" i="4"/>
  <c r="R29" i="4"/>
  <c r="X70" i="4"/>
  <c r="L70" i="4"/>
  <c r="T865" i="4"/>
  <c r="U865" i="4" s="1"/>
  <c r="T186" i="4"/>
  <c r="U186" i="4" s="1"/>
  <c r="U29" i="4"/>
  <c r="T350" i="4"/>
  <c r="Q433" i="4"/>
  <c r="Q855" i="4"/>
  <c r="L21" i="4"/>
  <c r="X40" i="4"/>
  <c r="I47" i="4"/>
  <c r="E46" i="39" s="1"/>
  <c r="R668" i="4"/>
  <c r="G162" i="4"/>
  <c r="I162" i="4" s="1"/>
  <c r="X745" i="4"/>
  <c r="G491" i="4"/>
  <c r="H513" i="4"/>
  <c r="H231" i="4"/>
  <c r="X231" i="4" s="1"/>
  <c r="H496" i="4"/>
  <c r="I496" i="4" s="1"/>
  <c r="H220" i="4"/>
  <c r="L220" i="4" s="1"/>
  <c r="L487" i="4"/>
  <c r="Y394" i="4"/>
  <c r="AA394" i="4" s="1"/>
  <c r="Y257" i="4"/>
  <c r="AA257" i="4" s="1"/>
  <c r="U355" i="4"/>
  <c r="Y656" i="4"/>
  <c r="AA656" i="4" s="1"/>
  <c r="O806" i="4"/>
  <c r="I219" i="4"/>
  <c r="D36" i="39"/>
  <c r="M23" i="39"/>
  <c r="M44" i="39"/>
  <c r="X497" i="4"/>
  <c r="X848" i="4"/>
  <c r="I775" i="4"/>
  <c r="R230" i="4"/>
  <c r="R589" i="4"/>
  <c r="K621" i="4"/>
  <c r="L621" i="4" s="1"/>
  <c r="X260" i="4"/>
  <c r="I70" i="4"/>
  <c r="T793" i="4"/>
  <c r="U45" i="4"/>
  <c r="T839" i="4"/>
  <c r="T281" i="4"/>
  <c r="R35" i="4"/>
  <c r="L34" i="39"/>
  <c r="I538" i="4"/>
  <c r="L29" i="4"/>
  <c r="G900" i="4"/>
  <c r="G769" i="4"/>
  <c r="I769" i="4" s="1"/>
  <c r="H441" i="4"/>
  <c r="R441" i="4" s="1"/>
  <c r="H424" i="4"/>
  <c r="L424" i="4" s="1"/>
  <c r="G419" i="4"/>
  <c r="I419" i="4" s="1"/>
  <c r="O99" i="4"/>
  <c r="R26" i="4"/>
  <c r="X36" i="4"/>
  <c r="I161" i="4"/>
  <c r="I230" i="4"/>
  <c r="P36" i="39"/>
  <c r="S14" i="39"/>
  <c r="J12" i="39"/>
  <c r="X415" i="4"/>
  <c r="X230" i="4"/>
  <c r="K769" i="4"/>
  <c r="L769" i="4" s="1"/>
  <c r="I29" i="4"/>
  <c r="O44" i="39"/>
  <c r="U260" i="4"/>
  <c r="T590" i="4"/>
  <c r="U590" i="4" s="1"/>
  <c r="T767" i="4"/>
  <c r="T222" i="4"/>
  <c r="Q366" i="4"/>
  <c r="R470" i="4"/>
  <c r="K841" i="4"/>
  <c r="L841" i="4" s="1"/>
  <c r="U318" i="4"/>
  <c r="G224" i="4"/>
  <c r="X297" i="4"/>
  <c r="K352" i="4"/>
  <c r="L352" i="4" s="1"/>
  <c r="H305" i="4"/>
  <c r="O305" i="4" s="1"/>
  <c r="H357" i="4"/>
  <c r="X357" i="4" s="1"/>
  <c r="O747" i="4"/>
  <c r="AA932" i="4"/>
  <c r="U184" i="4"/>
  <c r="I184" i="4"/>
  <c r="L184" i="4"/>
  <c r="H299" i="4"/>
  <c r="X299" i="4" s="1"/>
  <c r="H637" i="4"/>
  <c r="O637" i="4" s="1"/>
  <c r="I37" i="4"/>
  <c r="U37" i="4"/>
  <c r="L37" i="4"/>
  <c r="X37" i="4"/>
  <c r="L325" i="4"/>
  <c r="O325" i="4"/>
  <c r="D23" i="39"/>
  <c r="R561" i="4"/>
  <c r="I697" i="4"/>
  <c r="L697" i="4"/>
  <c r="N396" i="4"/>
  <c r="O396" i="4" s="1"/>
  <c r="O397" i="4" s="1"/>
  <c r="Y90" i="4"/>
  <c r="AA90" i="4" s="1"/>
  <c r="I153" i="4"/>
  <c r="H350" i="4"/>
  <c r="L350" i="4" s="1"/>
  <c r="X160" i="4"/>
  <c r="O358" i="4"/>
  <c r="X358" i="4"/>
  <c r="I358" i="4"/>
  <c r="H587" i="4"/>
  <c r="H440" i="4"/>
  <c r="L42" i="4"/>
  <c r="H512" i="4"/>
  <c r="U512" i="4" s="1"/>
  <c r="R42" i="4"/>
  <c r="H642" i="4"/>
  <c r="X642" i="4" s="1"/>
  <c r="H373" i="4"/>
  <c r="R373" i="4" s="1"/>
  <c r="H790" i="4"/>
  <c r="X790" i="4" s="1"/>
  <c r="H862" i="4"/>
  <c r="I862" i="4" s="1"/>
  <c r="H245" i="4"/>
  <c r="R245" i="4" s="1"/>
  <c r="R69" i="4"/>
  <c r="L185" i="4"/>
  <c r="S35" i="39"/>
  <c r="U502" i="4"/>
  <c r="P31" i="39"/>
  <c r="S50" i="39"/>
  <c r="O203" i="4"/>
  <c r="I515" i="4"/>
  <c r="D11" i="39"/>
  <c r="O736" i="4"/>
  <c r="Y735" i="4"/>
  <c r="R657" i="4"/>
  <c r="Y126" i="4"/>
  <c r="AA126" i="4" s="1"/>
  <c r="Y112" i="4"/>
  <c r="AA112" i="4" s="1"/>
  <c r="U99" i="4"/>
  <c r="Y77" i="4"/>
  <c r="AA77" i="4" s="1"/>
  <c r="K75" i="4"/>
  <c r="L75" i="4" s="1"/>
  <c r="L74" i="4"/>
  <c r="H221" i="4"/>
  <c r="H692" i="4"/>
  <c r="R692" i="4" s="1"/>
  <c r="H159" i="4"/>
  <c r="H563" i="4"/>
  <c r="U563" i="4" s="1"/>
  <c r="R18" i="4"/>
  <c r="L18" i="4"/>
  <c r="H838" i="4"/>
  <c r="I838" i="4" s="1"/>
  <c r="I18" i="4"/>
  <c r="L539" i="4"/>
  <c r="H845" i="4"/>
  <c r="I845" i="4" s="1"/>
  <c r="H570" i="4"/>
  <c r="X570" i="4" s="1"/>
  <c r="H904" i="4"/>
  <c r="L25" i="4"/>
  <c r="I25" i="4"/>
  <c r="N669" i="4"/>
  <c r="O669" i="4" s="1"/>
  <c r="O668" i="4"/>
  <c r="Y739" i="4"/>
  <c r="AA739" i="4" s="1"/>
  <c r="U937" i="4"/>
  <c r="H172" i="4"/>
  <c r="H705" i="4"/>
  <c r="H234" i="4"/>
  <c r="L234" i="4" s="1"/>
  <c r="H779" i="4"/>
  <c r="R779" i="4" s="1"/>
  <c r="H293" i="4"/>
  <c r="O293" i="4" s="1"/>
  <c r="H851" i="4"/>
  <c r="O851" i="4" s="1"/>
  <c r="H362" i="4"/>
  <c r="X362" i="4" s="1"/>
  <c r="H910" i="4"/>
  <c r="I910" i="4" s="1"/>
  <c r="H429" i="4"/>
  <c r="X429" i="4" s="1"/>
  <c r="H576" i="4"/>
  <c r="Y523" i="4"/>
  <c r="AA523" i="4" s="1"/>
  <c r="O527" i="4"/>
  <c r="T813" i="4"/>
  <c r="U813" i="4" s="1"/>
  <c r="U812" i="4"/>
  <c r="W319" i="4"/>
  <c r="X318" i="4"/>
  <c r="X781" i="4"/>
  <c r="O717" i="4"/>
  <c r="X717" i="4"/>
  <c r="H921" i="4"/>
  <c r="O921" i="4" s="1"/>
  <c r="L952" i="4"/>
  <c r="Y951" i="4"/>
  <c r="AA951" i="4" s="1"/>
  <c r="AA952" i="4" s="1"/>
  <c r="N539" i="4"/>
  <c r="O539" i="4" s="1"/>
  <c r="O538" i="4"/>
  <c r="H898" i="4"/>
  <c r="U898" i="4" s="1"/>
  <c r="H417" i="4"/>
  <c r="X417" i="4" s="1"/>
  <c r="H564" i="4"/>
  <c r="X564" i="4" s="1"/>
  <c r="L19" i="4"/>
  <c r="H619" i="4"/>
  <c r="X619" i="4" s="1"/>
  <c r="H693" i="4"/>
  <c r="U19" i="4"/>
  <c r="H222" i="4"/>
  <c r="X222" i="4" s="1"/>
  <c r="X20" i="4"/>
  <c r="S19" i="39"/>
  <c r="Q617" i="4"/>
  <c r="Q348" i="4"/>
  <c r="R348" i="4" s="1"/>
  <c r="Q691" i="4"/>
  <c r="Q487" i="4"/>
  <c r="R487" i="4" s="1"/>
  <c r="Q562" i="4"/>
  <c r="Q837" i="4"/>
  <c r="R837" i="4" s="1"/>
  <c r="Q279" i="4"/>
  <c r="Q158" i="4"/>
  <c r="Q220" i="4"/>
  <c r="L101" i="4"/>
  <c r="E15" i="41" s="1"/>
  <c r="L99" i="4"/>
  <c r="L358" i="4"/>
  <c r="Q415" i="4"/>
  <c r="R415" i="4" s="1"/>
  <c r="X820" i="4"/>
  <c r="Y546" i="4"/>
  <c r="AA546" i="4" s="1"/>
  <c r="H304" i="4"/>
  <c r="U304" i="4" s="1"/>
  <c r="I177" i="4"/>
  <c r="U177" i="4"/>
  <c r="R177" i="4"/>
  <c r="U414" i="4"/>
  <c r="I414" i="4"/>
  <c r="Y452" i="4"/>
  <c r="AA452" i="4" s="1"/>
  <c r="Y531" i="4"/>
  <c r="AA531" i="4" s="1"/>
  <c r="I12" i="4"/>
  <c r="R12" i="4"/>
  <c r="U12" i="4"/>
  <c r="L12" i="4"/>
  <c r="H410" i="4"/>
  <c r="O410" i="4" s="1"/>
  <c r="L121" i="4"/>
  <c r="E19" i="41" s="1"/>
  <c r="P34" i="39"/>
  <c r="L51" i="4"/>
  <c r="H50" i="39" s="1"/>
  <c r="H183" i="4"/>
  <c r="O183" i="4" s="1"/>
  <c r="U631" i="4"/>
  <c r="R631" i="4"/>
  <c r="H767" i="4"/>
  <c r="L767" i="4" s="1"/>
  <c r="L693" i="4"/>
  <c r="R231" i="4"/>
  <c r="L231" i="4"/>
  <c r="R121" i="4"/>
  <c r="G19" i="41" s="1"/>
  <c r="M25" i="39"/>
  <c r="I421" i="4"/>
  <c r="R421" i="4"/>
  <c r="Q765" i="4"/>
  <c r="L180" i="4"/>
  <c r="R153" i="4"/>
  <c r="X184" i="4"/>
  <c r="L16" i="39"/>
  <c r="L320" i="4"/>
  <c r="Q462" i="4"/>
  <c r="R462" i="4" s="1"/>
  <c r="R463" i="4" s="1"/>
  <c r="O501" i="4"/>
  <c r="L501" i="4"/>
  <c r="U501" i="4"/>
  <c r="I501" i="4"/>
  <c r="X501" i="4"/>
  <c r="U589" i="4"/>
  <c r="X307" i="4"/>
  <c r="O425" i="4"/>
  <c r="H903" i="4"/>
  <c r="X903" i="4" s="1"/>
  <c r="O791" i="4"/>
  <c r="O701" i="4"/>
  <c r="P44" i="39"/>
  <c r="O260" i="4"/>
  <c r="U643" i="4"/>
  <c r="O895" i="4"/>
  <c r="Y115" i="4"/>
  <c r="AA115" i="4" s="1"/>
  <c r="Y95" i="4"/>
  <c r="AA95" i="4" s="1"/>
  <c r="Y86" i="4"/>
  <c r="AA86" i="4" s="1"/>
  <c r="U42" i="4"/>
  <c r="Y131" i="4"/>
  <c r="AA131" i="4" s="1"/>
  <c r="O937" i="4"/>
  <c r="Y751" i="4"/>
  <c r="AA751" i="4" s="1"/>
  <c r="U527" i="4"/>
  <c r="Y451" i="4"/>
  <c r="AA451" i="4" s="1"/>
  <c r="P11" i="39"/>
  <c r="U923" i="4"/>
  <c r="U515" i="4"/>
  <c r="X467" i="4"/>
  <c r="X470" i="4" s="1"/>
  <c r="L248" i="4"/>
  <c r="I79" i="4"/>
  <c r="L923" i="4"/>
  <c r="I621" i="4"/>
  <c r="H227" i="4"/>
  <c r="R227" i="4" s="1"/>
  <c r="H443" i="4"/>
  <c r="L443" i="4" s="1"/>
  <c r="L937" i="4"/>
  <c r="Y266" i="4"/>
  <c r="AA266" i="4" s="1"/>
  <c r="Y119" i="4"/>
  <c r="AA119" i="4" s="1"/>
  <c r="Y116" i="4"/>
  <c r="AA116" i="4" s="1"/>
  <c r="Y114" i="4"/>
  <c r="AA114" i="4" s="1"/>
  <c r="Y111" i="4"/>
  <c r="AA111" i="4" s="1"/>
  <c r="I121" i="4"/>
  <c r="D19" i="41" s="1"/>
  <c r="Y96" i="4"/>
  <c r="AA96" i="4" s="1"/>
  <c r="Y94" i="4"/>
  <c r="AA94" i="4" s="1"/>
  <c r="Y73" i="4"/>
  <c r="AA73" i="4" s="1"/>
  <c r="U325" i="4"/>
  <c r="X675" i="4"/>
  <c r="X12" i="4"/>
  <c r="X532" i="4"/>
  <c r="Y335" i="4"/>
  <c r="I357" i="4"/>
  <c r="I539" i="4"/>
  <c r="L467" i="4"/>
  <c r="R675" i="4"/>
  <c r="O899" i="4"/>
  <c r="X690" i="4"/>
  <c r="I65" i="4"/>
  <c r="R185" i="4"/>
  <c r="U718" i="4"/>
  <c r="U855" i="4"/>
  <c r="U297" i="4"/>
  <c r="R855" i="4"/>
  <c r="X79" i="4"/>
  <c r="L515" i="4"/>
  <c r="L865" i="4"/>
  <c r="L78" i="4"/>
  <c r="X186" i="4"/>
  <c r="O442" i="4"/>
  <c r="Y109" i="4"/>
  <c r="AA109" i="4" s="1"/>
  <c r="L31" i="4"/>
  <c r="Y23" i="4"/>
  <c r="AA23" i="4" s="1"/>
  <c r="G14" i="39"/>
  <c r="J39" i="39"/>
  <c r="O16" i="4"/>
  <c r="I20" i="4"/>
  <c r="X16" i="4"/>
  <c r="I42" i="4"/>
  <c r="O421" i="4"/>
  <c r="L626" i="4"/>
  <c r="M43" i="39"/>
  <c r="P42" i="39"/>
  <c r="D42" i="39"/>
  <c r="S40" i="39"/>
  <c r="J38" i="39"/>
  <c r="S37" i="39"/>
  <c r="P33" i="39"/>
  <c r="D30" i="39"/>
  <c r="P24" i="39"/>
  <c r="D24" i="39"/>
  <c r="S22" i="39"/>
  <c r="L421" i="4"/>
  <c r="D17" i="39"/>
  <c r="J15" i="39"/>
  <c r="M13" i="39"/>
  <c r="X509" i="4"/>
  <c r="R501" i="4"/>
  <c r="R495" i="4"/>
  <c r="I493" i="4"/>
  <c r="S16" i="39"/>
  <c r="S15" i="39"/>
  <c r="L486" i="4"/>
  <c r="D44" i="39"/>
  <c r="I587" i="4"/>
  <c r="I584" i="4"/>
  <c r="J30" i="39"/>
  <c r="D28" i="39"/>
  <c r="G26" i="39"/>
  <c r="R571" i="4"/>
  <c r="S42" i="39"/>
  <c r="L643" i="4"/>
  <c r="J40" i="39"/>
  <c r="J37" i="39"/>
  <c r="X634" i="4"/>
  <c r="L634" i="4"/>
  <c r="X631" i="4"/>
  <c r="M28" i="39"/>
  <c r="G16" i="39"/>
  <c r="R718" i="4"/>
  <c r="O713" i="4"/>
  <c r="I708" i="4"/>
  <c r="X706" i="4"/>
  <c r="L706" i="4"/>
  <c r="R701" i="4"/>
  <c r="X697" i="4"/>
  <c r="X787" i="4"/>
  <c r="L787" i="4"/>
  <c r="I771" i="4"/>
  <c r="X764" i="4"/>
  <c r="L854" i="4"/>
  <c r="L853" i="4"/>
  <c r="X847" i="4"/>
  <c r="L847" i="4"/>
  <c r="U836" i="4"/>
  <c r="X923" i="4"/>
  <c r="X913" i="4"/>
  <c r="L913" i="4"/>
  <c r="U906" i="4"/>
  <c r="V19" i="39"/>
  <c r="V13" i="39"/>
  <c r="X375" i="4"/>
  <c r="R147" i="4"/>
  <c r="Y147" i="4" s="1"/>
  <c r="AA147" i="4" s="1"/>
  <c r="Y730" i="4"/>
  <c r="AA730" i="4" s="1"/>
  <c r="U732" i="4"/>
  <c r="X229" i="4"/>
  <c r="Y89" i="4"/>
  <c r="AA89" i="4" s="1"/>
  <c r="Y85" i="4"/>
  <c r="AA85" i="4" s="1"/>
  <c r="Y83" i="4"/>
  <c r="AA83" i="4" s="1"/>
  <c r="R532" i="4"/>
  <c r="Y530" i="4"/>
  <c r="AA530" i="4" s="1"/>
  <c r="I229" i="4"/>
  <c r="O661" i="4"/>
  <c r="Y660" i="4"/>
  <c r="U818" i="4"/>
  <c r="I818" i="4"/>
  <c r="I820" i="4" s="1"/>
  <c r="L818" i="4"/>
  <c r="O818" i="4"/>
  <c r="P191" i="30"/>
  <c r="P145" i="30"/>
  <c r="P53" i="30"/>
  <c r="P237" i="30" s="1"/>
  <c r="I441" i="4"/>
  <c r="P38" i="39"/>
  <c r="L642" i="4"/>
  <c r="X28" i="4"/>
  <c r="R397" i="4"/>
  <c r="U229" i="4"/>
  <c r="O495" i="4"/>
  <c r="U495" i="4"/>
  <c r="D12" i="39"/>
  <c r="G37" i="39"/>
  <c r="Y952" i="4"/>
  <c r="C53" i="28" s="1"/>
  <c r="X365" i="4"/>
  <c r="L566" i="4"/>
  <c r="L958" i="4"/>
  <c r="Y654" i="4"/>
  <c r="AA654" i="4" s="1"/>
  <c r="T541" i="4"/>
  <c r="U541" i="4" s="1"/>
  <c r="U540" i="4"/>
  <c r="Y540" i="4" s="1"/>
  <c r="AA540" i="4" s="1"/>
  <c r="Y744" i="4"/>
  <c r="AA744" i="4" s="1"/>
  <c r="G43" i="39"/>
  <c r="M38" i="39"/>
  <c r="I455" i="4"/>
  <c r="I675" i="4"/>
  <c r="G325" i="4"/>
  <c r="I325" i="4" s="1"/>
  <c r="L714" i="4"/>
  <c r="Y752" i="4"/>
  <c r="AA752" i="4" s="1"/>
  <c r="AA753" i="4" s="1"/>
  <c r="L753" i="4"/>
  <c r="L365" i="4"/>
  <c r="L563" i="4"/>
  <c r="Y879" i="4"/>
  <c r="I825" i="4"/>
  <c r="U924" i="4"/>
  <c r="U385" i="4"/>
  <c r="U386" i="4" s="1"/>
  <c r="W541" i="4"/>
  <c r="X541" i="4" s="1"/>
  <c r="I40" i="4"/>
  <c r="R538" i="4"/>
  <c r="I906" i="4"/>
  <c r="L793" i="4"/>
  <c r="Q321" i="4"/>
  <c r="R321" i="4" s="1"/>
  <c r="R791" i="4"/>
  <c r="I26" i="4"/>
  <c r="W718" i="4"/>
  <c r="X718" i="4" s="1"/>
  <c r="R895" i="4"/>
  <c r="L514" i="4"/>
  <c r="H922" i="4"/>
  <c r="O922" i="4" s="1"/>
  <c r="H374" i="4"/>
  <c r="U374" i="4" s="1"/>
  <c r="H716" i="4"/>
  <c r="O716" i="4" s="1"/>
  <c r="H788" i="4"/>
  <c r="U788" i="4" s="1"/>
  <c r="H582" i="4"/>
  <c r="U582" i="4" s="1"/>
  <c r="N783" i="4"/>
  <c r="H628" i="4"/>
  <c r="U628" i="4" s="1"/>
  <c r="H905" i="4"/>
  <c r="O905" i="4" s="1"/>
  <c r="H288" i="4"/>
  <c r="I288" i="4" s="1"/>
  <c r="H491" i="4"/>
  <c r="Y524" i="4"/>
  <c r="AA524" i="4" s="1"/>
  <c r="J11" i="39"/>
  <c r="Y390" i="4"/>
  <c r="AA390" i="4" s="1"/>
  <c r="R260" i="4"/>
  <c r="M11" i="39"/>
  <c r="Y143" i="4"/>
  <c r="AA143" i="4" s="1"/>
  <c r="Y139" i="4"/>
  <c r="AA139" i="4" s="1"/>
  <c r="Y137" i="4"/>
  <c r="AA137" i="4" s="1"/>
  <c r="Y135" i="4"/>
  <c r="AA135" i="4" s="1"/>
  <c r="R455" i="4"/>
  <c r="Y315" i="4"/>
  <c r="AA315" i="4" s="1"/>
  <c r="U455" i="4"/>
  <c r="O673" i="4"/>
  <c r="O675" i="4" s="1"/>
  <c r="U673" i="4"/>
  <c r="U675" i="4" s="1"/>
  <c r="L701" i="4"/>
  <c r="R43" i="39"/>
  <c r="X924" i="4"/>
  <c r="H246" i="4"/>
  <c r="H371" i="4"/>
  <c r="R371" i="4" s="1"/>
  <c r="N635" i="4"/>
  <c r="H774" i="4"/>
  <c r="H167" i="4"/>
  <c r="U167" i="4" s="1"/>
  <c r="H900" i="4"/>
  <c r="H839" i="4"/>
  <c r="R839" i="4" s="1"/>
  <c r="H281" i="4"/>
  <c r="L837" i="4"/>
  <c r="R157" i="4"/>
  <c r="H489" i="4"/>
  <c r="R489" i="4" s="1"/>
  <c r="Y955" i="4"/>
  <c r="AA955" i="4" s="1"/>
  <c r="O957" i="4"/>
  <c r="O958" i="4" s="1"/>
  <c r="Y664" i="4"/>
  <c r="AA664" i="4" s="1"/>
  <c r="X285" i="4"/>
  <c r="O285" i="4"/>
  <c r="O370" i="4"/>
  <c r="R509" i="4"/>
  <c r="I509" i="4"/>
  <c r="X902" i="4"/>
  <c r="R51" i="4"/>
  <c r="N50" i="39" s="1"/>
  <c r="C6" i="46"/>
  <c r="U645" i="4"/>
  <c r="R745" i="4"/>
  <c r="L200" i="4"/>
  <c r="L203" i="4" s="1"/>
  <c r="O460" i="4"/>
  <c r="Y460" i="4" s="1"/>
  <c r="AA460" i="4" s="1"/>
  <c r="U375" i="4"/>
  <c r="O19" i="46"/>
  <c r="O753" i="4"/>
  <c r="L455" i="4"/>
  <c r="R539" i="4"/>
  <c r="R542" i="4" s="1"/>
  <c r="R806" i="4"/>
  <c r="N541" i="4"/>
  <c r="O541" i="4" s="1"/>
  <c r="I746" i="4"/>
  <c r="O782" i="4"/>
  <c r="R918" i="4"/>
  <c r="I975" i="4"/>
  <c r="O455" i="4"/>
  <c r="X376" i="4"/>
  <c r="O775" i="4"/>
  <c r="L746" i="4"/>
  <c r="X180" i="4"/>
  <c r="R175" i="4"/>
  <c r="L164" i="4"/>
  <c r="O237" i="4"/>
  <c r="R226" i="4"/>
  <c r="U301" i="4"/>
  <c r="I301" i="4"/>
  <c r="O296" i="4"/>
  <c r="R285" i="4"/>
  <c r="U432" i="4"/>
  <c r="X421" i="4"/>
  <c r="L509" i="4"/>
  <c r="R504" i="4"/>
  <c r="R584" i="4"/>
  <c r="N975" i="4"/>
  <c r="O975" i="4" s="1"/>
  <c r="Q325" i="4"/>
  <c r="R325" i="4" s="1"/>
  <c r="R324" i="4"/>
  <c r="Y324" i="4" s="1"/>
  <c r="AA324" i="4" s="1"/>
  <c r="Q307" i="4"/>
  <c r="R307" i="4" s="1"/>
  <c r="Q515" i="4"/>
  <c r="R515" i="4" s="1"/>
  <c r="Q376" i="4"/>
  <c r="R376" i="4" s="1"/>
  <c r="Q443" i="4"/>
  <c r="R443" i="4" s="1"/>
  <c r="Q248" i="4"/>
  <c r="R248" i="4" s="1"/>
  <c r="Q719" i="4"/>
  <c r="Q924" i="4"/>
  <c r="R924" i="4" s="1"/>
  <c r="Q590" i="4"/>
  <c r="R590" i="4" s="1"/>
  <c r="Q793" i="4"/>
  <c r="R793" i="4" s="1"/>
  <c r="Q865" i="4"/>
  <c r="R865" i="4" s="1"/>
  <c r="K233" i="4"/>
  <c r="K361" i="4"/>
  <c r="Y110" i="4"/>
  <c r="AA110" i="4" s="1"/>
  <c r="I566" i="4"/>
  <c r="G222" i="4"/>
  <c r="U231" i="4"/>
  <c r="I231" i="4"/>
  <c r="I278" i="4"/>
  <c r="X278" i="4"/>
  <c r="L278" i="4"/>
  <c r="G348" i="4"/>
  <c r="Y125" i="4"/>
  <c r="AA125" i="4" s="1"/>
  <c r="Y809" i="4"/>
  <c r="AA809" i="4" s="1"/>
  <c r="K850" i="4"/>
  <c r="K630" i="4"/>
  <c r="D41" i="39"/>
  <c r="U121" i="4"/>
  <c r="H19" i="41" s="1"/>
  <c r="I527" i="4"/>
  <c r="U572" i="4"/>
  <c r="G417" i="4"/>
  <c r="O299" i="4"/>
  <c r="U299" i="4"/>
  <c r="O169" i="4"/>
  <c r="R169" i="4"/>
  <c r="I169" i="4"/>
  <c r="X169" i="4"/>
  <c r="H275" i="4"/>
  <c r="R275" i="4" s="1"/>
  <c r="O13" i="4"/>
  <c r="H687" i="4"/>
  <c r="L13" i="4"/>
  <c r="H154" i="4"/>
  <c r="H761" i="4"/>
  <c r="O761" i="4" s="1"/>
  <c r="H216" i="4"/>
  <c r="H833" i="4"/>
  <c r="O833" i="4" s="1"/>
  <c r="H344" i="4"/>
  <c r="R344" i="4" s="1"/>
  <c r="H892" i="4"/>
  <c r="I892" i="4" s="1"/>
  <c r="U13" i="4"/>
  <c r="H411" i="4"/>
  <c r="O411" i="4" s="1"/>
  <c r="H483" i="4"/>
  <c r="U657" i="4"/>
  <c r="Y653" i="4"/>
  <c r="AA653" i="4" s="1"/>
  <c r="U74" i="4"/>
  <c r="Y74" i="4" s="1"/>
  <c r="AA74" i="4" s="1"/>
  <c r="T75" i="4"/>
  <c r="U75" i="4" s="1"/>
  <c r="L30" i="4"/>
  <c r="K292" i="4"/>
  <c r="P41" i="39"/>
  <c r="R101" i="4"/>
  <c r="G15" i="41" s="1"/>
  <c r="I628" i="4"/>
  <c r="I851" i="4"/>
  <c r="L293" i="4"/>
  <c r="O616" i="4"/>
  <c r="U616" i="4"/>
  <c r="L616" i="4"/>
  <c r="X410" i="4"/>
  <c r="G896" i="4"/>
  <c r="G837" i="4"/>
  <c r="I837" i="4" s="1"/>
  <c r="C16" i="39"/>
  <c r="G617" i="4"/>
  <c r="G562" i="4"/>
  <c r="G158" i="4"/>
  <c r="G415" i="4"/>
  <c r="I415" i="4" s="1"/>
  <c r="G487" i="4"/>
  <c r="I487" i="4" s="1"/>
  <c r="G765" i="4"/>
  <c r="I572" i="4"/>
  <c r="K500" i="4"/>
  <c r="K909" i="4"/>
  <c r="L44" i="39"/>
  <c r="U561" i="4"/>
  <c r="O561" i="4"/>
  <c r="H613" i="4"/>
  <c r="R613" i="4" s="1"/>
  <c r="O657" i="4"/>
  <c r="H290" i="4"/>
  <c r="X290" i="4" s="1"/>
  <c r="H359" i="4"/>
  <c r="O359" i="4" s="1"/>
  <c r="H907" i="4"/>
  <c r="R907" i="4" s="1"/>
  <c r="H426" i="4"/>
  <c r="L426" i="4" s="1"/>
  <c r="H498" i="4"/>
  <c r="U498" i="4" s="1"/>
  <c r="H573" i="4"/>
  <c r="O573" i="4" s="1"/>
  <c r="I28" i="4"/>
  <c r="O28" i="4"/>
  <c r="H702" i="4"/>
  <c r="X702" i="4" s="1"/>
  <c r="X41" i="4"/>
  <c r="R41" i="4"/>
  <c r="L41" i="4"/>
  <c r="H303" i="4"/>
  <c r="O303" i="4" s="1"/>
  <c r="I669" i="4"/>
  <c r="I670" i="4" s="1"/>
  <c r="X669" i="4"/>
  <c r="R669" i="4"/>
  <c r="U945" i="4"/>
  <c r="W945" i="4"/>
  <c r="X945" i="4" s="1"/>
  <c r="H232" i="4"/>
  <c r="H291" i="4"/>
  <c r="I291" i="4" s="1"/>
  <c r="H777" i="4"/>
  <c r="O777" i="4" s="1"/>
  <c r="X129" i="4"/>
  <c r="R129" i="4"/>
  <c r="U129" i="4"/>
  <c r="Z208" i="4"/>
  <c r="AA206" i="4"/>
  <c r="AA208" i="4" s="1"/>
  <c r="K575" i="4"/>
  <c r="K428" i="4"/>
  <c r="Q186" i="4"/>
  <c r="R186" i="4" s="1"/>
  <c r="L172" i="4"/>
  <c r="X172" i="4"/>
  <c r="I172" i="4"/>
  <c r="U172" i="4"/>
  <c r="H558" i="4"/>
  <c r="O558" i="4" s="1"/>
  <c r="G691" i="4"/>
  <c r="Y256" i="4"/>
  <c r="AA256" i="4" s="1"/>
  <c r="L330" i="4"/>
  <c r="L336" i="4" s="1"/>
  <c r="U330" i="4"/>
  <c r="I330" i="4"/>
  <c r="I336" i="4" s="1"/>
  <c r="R330" i="4"/>
  <c r="H766" i="4"/>
  <c r="H280" i="4"/>
  <c r="O280" i="4" s="1"/>
  <c r="H897" i="4"/>
  <c r="O897" i="4" s="1"/>
  <c r="H349" i="4"/>
  <c r="R349" i="4" s="1"/>
  <c r="H416" i="4"/>
  <c r="H488" i="4"/>
  <c r="X18" i="4"/>
  <c r="U18" i="4"/>
  <c r="H618" i="4"/>
  <c r="I395" i="4"/>
  <c r="G396" i="4"/>
  <c r="I396" i="4" s="1"/>
  <c r="U817" i="4"/>
  <c r="U820" i="4" s="1"/>
  <c r="O817" i="4"/>
  <c r="L817" i="4"/>
  <c r="X957" i="4"/>
  <c r="X958" i="4" s="1"/>
  <c r="R957" i="4"/>
  <c r="R958" i="4" s="1"/>
  <c r="U957" i="4"/>
  <c r="U958" i="4" s="1"/>
  <c r="O420" i="4"/>
  <c r="L420" i="4"/>
  <c r="O875" i="4"/>
  <c r="O876" i="4" s="1"/>
  <c r="R875" i="4"/>
  <c r="R876" i="4" s="1"/>
  <c r="L875" i="4"/>
  <c r="L876" i="4" s="1"/>
  <c r="R572" i="4"/>
  <c r="I420" i="4"/>
  <c r="R563" i="4"/>
  <c r="X572" i="4"/>
  <c r="R420" i="4"/>
  <c r="X563" i="4"/>
  <c r="F29" i="39"/>
  <c r="K704" i="4"/>
  <c r="R628" i="4"/>
  <c r="L694" i="4"/>
  <c r="Y259" i="4"/>
  <c r="AA259" i="4" s="1"/>
  <c r="R99" i="4"/>
  <c r="Q645" i="4"/>
  <c r="R645" i="4" s="1"/>
  <c r="X420" i="4"/>
  <c r="L157" i="4"/>
  <c r="O513" i="4"/>
  <c r="U513" i="4"/>
  <c r="R513" i="4"/>
  <c r="X245" i="4"/>
  <c r="L245" i="4"/>
  <c r="O903" i="4"/>
  <c r="R903" i="4"/>
  <c r="G220" i="4"/>
  <c r="G693" i="4"/>
  <c r="I693" i="4" s="1"/>
  <c r="G767" i="4"/>
  <c r="G160" i="4"/>
  <c r="I160" i="4" s="1"/>
  <c r="G898" i="4"/>
  <c r="G489" i="4"/>
  <c r="I489" i="4" s="1"/>
  <c r="G281" i="4"/>
  <c r="G350" i="4"/>
  <c r="G619" i="4"/>
  <c r="G839" i="4"/>
  <c r="G564" i="4"/>
  <c r="I564" i="4" s="1"/>
  <c r="L572" i="4"/>
  <c r="G22" i="39"/>
  <c r="L260" i="4"/>
  <c r="I694" i="4"/>
  <c r="I563" i="4"/>
  <c r="I19" i="4"/>
  <c r="O627" i="4"/>
  <c r="U627" i="4"/>
  <c r="U410" i="4"/>
  <c r="I129" i="4"/>
  <c r="Y118" i="4"/>
  <c r="AA118" i="4" s="1"/>
  <c r="U101" i="4"/>
  <c r="H15" i="41" s="1"/>
  <c r="R75" i="4"/>
  <c r="L64" i="4"/>
  <c r="O64" i="4"/>
  <c r="R333" i="4"/>
  <c r="X333" i="4"/>
  <c r="Q323" i="4"/>
  <c r="R323" i="4" s="1"/>
  <c r="R322" i="4"/>
  <c r="X153" i="4"/>
  <c r="Y458" i="4"/>
  <c r="AA458" i="4" s="1"/>
  <c r="U31" i="4"/>
  <c r="R31" i="4"/>
  <c r="O31" i="4"/>
  <c r="U185" i="4"/>
  <c r="O20" i="46"/>
  <c r="R580" i="4"/>
  <c r="X75" i="4"/>
  <c r="H772" i="4"/>
  <c r="O772" i="4" s="1"/>
  <c r="H165" i="4"/>
  <c r="H696" i="4"/>
  <c r="L696" i="4" s="1"/>
  <c r="H284" i="4"/>
  <c r="O284" i="4" s="1"/>
  <c r="H896" i="4"/>
  <c r="R896" i="4" s="1"/>
  <c r="H279" i="4"/>
  <c r="Y258" i="4"/>
  <c r="AA258" i="4" s="1"/>
  <c r="I297" i="4"/>
  <c r="W976" i="4"/>
  <c r="X976" i="4" s="1"/>
  <c r="T976" i="4"/>
  <c r="U976" i="4" s="1"/>
  <c r="Q976" i="4"/>
  <c r="R976" i="4" s="1"/>
  <c r="N976" i="4"/>
  <c r="O976" i="4" s="1"/>
  <c r="K976" i="4"/>
  <c r="L976" i="4" s="1"/>
  <c r="I976" i="4"/>
  <c r="L323" i="4"/>
  <c r="R17" i="4"/>
  <c r="U837" i="4"/>
  <c r="H624" i="4"/>
  <c r="I624" i="4" s="1"/>
  <c r="H765" i="4"/>
  <c r="H158" i="4"/>
  <c r="H569" i="4"/>
  <c r="R569" i="4" s="1"/>
  <c r="U415" i="4"/>
  <c r="U396" i="4"/>
  <c r="I31" i="4"/>
  <c r="R45" i="4"/>
  <c r="U580" i="4"/>
  <c r="X539" i="4"/>
  <c r="H494" i="4"/>
  <c r="X494" i="4" s="1"/>
  <c r="H901" i="4"/>
  <c r="O901" i="4" s="1"/>
  <c r="H567" i="4"/>
  <c r="H691" i="4"/>
  <c r="Y66" i="4"/>
  <c r="AA66" i="4" s="1"/>
  <c r="R64" i="4"/>
  <c r="Y63" i="4"/>
  <c r="AA63" i="4" s="1"/>
  <c r="O323" i="4"/>
  <c r="Y71" i="4"/>
  <c r="AA71" i="4" s="1"/>
  <c r="M26" i="39"/>
  <c r="R19" i="4"/>
  <c r="U503" i="4"/>
  <c r="Y941" i="4"/>
  <c r="AA941" i="4" s="1"/>
  <c r="L307" i="4"/>
  <c r="H422" i="4"/>
  <c r="O422" i="4" s="1"/>
  <c r="H617" i="4"/>
  <c r="U617" i="4" s="1"/>
  <c r="Y961" i="4"/>
  <c r="AA961" i="4" s="1"/>
  <c r="Y547" i="4"/>
  <c r="AA547" i="4" s="1"/>
  <c r="H719" i="4"/>
  <c r="L719" i="4" s="1"/>
  <c r="O297" i="4"/>
  <c r="H842" i="4"/>
  <c r="L842" i="4" s="1"/>
  <c r="H492" i="4"/>
  <c r="H562" i="4"/>
  <c r="Y128" i="4"/>
  <c r="AA128" i="4" s="1"/>
  <c r="L657" i="4"/>
  <c r="R813" i="4"/>
  <c r="R814" i="4" s="1"/>
  <c r="S28" i="39"/>
  <c r="X21" i="4"/>
  <c r="J43" i="39"/>
  <c r="R184" i="4"/>
  <c r="X177" i="4"/>
  <c r="U713" i="4"/>
  <c r="L895" i="4"/>
  <c r="L864" i="4"/>
  <c r="Z338" i="4"/>
  <c r="D29" i="28" s="1"/>
  <c r="U146" i="4"/>
  <c r="X732" i="4"/>
  <c r="L36" i="4"/>
  <c r="L568" i="4"/>
  <c r="I713" i="4"/>
  <c r="R687" i="4"/>
  <c r="X793" i="4"/>
  <c r="U779" i="4"/>
  <c r="I854" i="4"/>
  <c r="L843" i="4"/>
  <c r="S41" i="39"/>
  <c r="J36" i="39"/>
  <c r="L906" i="4"/>
  <c r="L903" i="4"/>
  <c r="U899" i="4"/>
  <c r="D18" i="39"/>
  <c r="U895" i="4"/>
  <c r="V42" i="39"/>
  <c r="V38" i="39"/>
  <c r="V35" i="39"/>
  <c r="V33" i="39"/>
  <c r="V26" i="39"/>
  <c r="V25" i="39"/>
  <c r="V24" i="39"/>
  <c r="V23" i="39"/>
  <c r="V22" i="39"/>
  <c r="V15" i="39"/>
  <c r="V46" i="39"/>
  <c r="X325" i="4"/>
  <c r="I17" i="4"/>
  <c r="L28" i="4"/>
  <c r="X561" i="4"/>
  <c r="R626" i="4"/>
  <c r="L717" i="4"/>
  <c r="O687" i="4"/>
  <c r="J35" i="39"/>
  <c r="M34" i="39"/>
  <c r="M32" i="39"/>
  <c r="P30" i="39"/>
  <c r="J26" i="39"/>
  <c r="I846" i="4"/>
  <c r="M24" i="39"/>
  <c r="X844" i="4"/>
  <c r="L844" i="4"/>
  <c r="X837" i="4"/>
  <c r="I924" i="4"/>
  <c r="I903" i="4"/>
  <c r="J34" i="39"/>
  <c r="D33" i="39"/>
  <c r="L173" i="4"/>
  <c r="R172" i="4"/>
  <c r="U169" i="4"/>
  <c r="D27" i="39"/>
  <c r="S25" i="39"/>
  <c r="G19" i="39"/>
  <c r="G18" i="39"/>
  <c r="X157" i="4"/>
  <c r="G15" i="39"/>
  <c r="J13" i="39"/>
  <c r="U154" i="4"/>
  <c r="I154" i="4"/>
  <c r="M29" i="39"/>
  <c r="P28" i="39"/>
  <c r="L230" i="4"/>
  <c r="R229" i="4"/>
  <c r="J21" i="39"/>
  <c r="M20" i="39"/>
  <c r="L219" i="4"/>
  <c r="I307" i="4"/>
  <c r="I286" i="4"/>
  <c r="D19" i="39"/>
  <c r="M16" i="39"/>
  <c r="P15" i="39"/>
  <c r="D15" i="39"/>
  <c r="S13" i="39"/>
  <c r="G13" i="39"/>
  <c r="S43" i="39"/>
  <c r="X374" i="4"/>
  <c r="L374" i="4"/>
  <c r="S34" i="39"/>
  <c r="L362" i="4"/>
  <c r="U358" i="4"/>
  <c r="R355" i="4"/>
  <c r="G21" i="39"/>
  <c r="S18" i="39"/>
  <c r="L348" i="4"/>
  <c r="O437" i="4"/>
  <c r="J31" i="39"/>
  <c r="U429" i="4"/>
  <c r="I429" i="4"/>
  <c r="D29" i="39"/>
  <c r="U420" i="4"/>
  <c r="L493" i="4"/>
  <c r="X486" i="4"/>
  <c r="L590" i="4"/>
  <c r="O579" i="4"/>
  <c r="O576" i="4"/>
  <c r="I561" i="4"/>
  <c r="L631" i="4"/>
  <c r="R616" i="4"/>
  <c r="U717" i="4"/>
  <c r="I717" i="4"/>
  <c r="X537" i="4"/>
  <c r="X542" i="4" s="1"/>
  <c r="R666" i="4"/>
  <c r="L811" i="4"/>
  <c r="L814" i="4" s="1"/>
  <c r="U875" i="4"/>
  <c r="U876" i="4" s="1"/>
  <c r="U353" i="4"/>
  <c r="X411" i="4"/>
  <c r="Y144" i="4"/>
  <c r="AA144" i="4" s="1"/>
  <c r="X265" i="4"/>
  <c r="X267" i="4" s="1"/>
  <c r="Y603" i="4"/>
  <c r="AA603" i="4" s="1"/>
  <c r="O811" i="4"/>
  <c r="O814" i="4" s="1"/>
  <c r="X875" i="4"/>
  <c r="X876" i="4" s="1"/>
  <c r="R391" i="4"/>
  <c r="U17" i="4"/>
  <c r="X42" i="4"/>
  <c r="O175" i="4"/>
  <c r="R28" i="4"/>
  <c r="O18" i="4"/>
  <c r="J17" i="39"/>
  <c r="O705" i="4"/>
  <c r="I705" i="4"/>
  <c r="R705" i="4"/>
  <c r="U705" i="4"/>
  <c r="O622" i="4"/>
  <c r="I622" i="4"/>
  <c r="U622" i="4"/>
  <c r="X622" i="4"/>
  <c r="R622" i="4"/>
  <c r="L163" i="4"/>
  <c r="I163" i="4"/>
  <c r="U163" i="4"/>
  <c r="X419" i="4"/>
  <c r="L419" i="4"/>
  <c r="U161" i="4"/>
  <c r="R161" i="4"/>
  <c r="L161" i="4"/>
  <c r="R34" i="4"/>
  <c r="Y34" i="4" s="1"/>
  <c r="AA34" i="4" s="1"/>
  <c r="M33" i="39"/>
  <c r="Y113" i="4"/>
  <c r="AA113" i="4" s="1"/>
  <c r="X121" i="4"/>
  <c r="I19" i="41" s="1"/>
  <c r="I99" i="4"/>
  <c r="Y91" i="4"/>
  <c r="AA91" i="4" s="1"/>
  <c r="S19" i="46"/>
  <c r="O904" i="4"/>
  <c r="U904" i="4"/>
  <c r="I904" i="4"/>
  <c r="L904" i="4"/>
  <c r="X904" i="4"/>
  <c r="R904" i="4"/>
  <c r="T462" i="4"/>
  <c r="U462" i="4" s="1"/>
  <c r="U461" i="4"/>
  <c r="O302" i="4"/>
  <c r="R302" i="4"/>
  <c r="D54" i="28"/>
  <c r="D55" i="28" s="1"/>
  <c r="Z969" i="4"/>
  <c r="X161" i="4"/>
  <c r="X302" i="4"/>
  <c r="O26" i="4"/>
  <c r="J25" i="39"/>
  <c r="R37" i="4"/>
  <c r="M36" i="39"/>
  <c r="U806" i="4"/>
  <c r="Y805" i="4"/>
  <c r="AA805" i="4" s="1"/>
  <c r="T491" i="4"/>
  <c r="U491" i="4" s="1"/>
  <c r="T695" i="4"/>
  <c r="U695" i="4" s="1"/>
  <c r="O20" i="39"/>
  <c r="T769" i="4"/>
  <c r="U769" i="4" s="1"/>
  <c r="T283" i="4"/>
  <c r="U283" i="4" s="1"/>
  <c r="T900" i="4"/>
  <c r="T162" i="4"/>
  <c r="U162" i="4" s="1"/>
  <c r="T352" i="4"/>
  <c r="U352" i="4" s="1"/>
  <c r="T621" i="4"/>
  <c r="U621" i="4" s="1"/>
  <c r="U21" i="4"/>
  <c r="T224" i="4"/>
  <c r="U224" i="4" s="1"/>
  <c r="T566" i="4"/>
  <c r="U566" i="4" s="1"/>
  <c r="T419" i="4"/>
  <c r="U419" i="4" s="1"/>
  <c r="T841" i="4"/>
  <c r="U841" i="4" s="1"/>
  <c r="U402" i="4"/>
  <c r="U403" i="4" s="1"/>
  <c r="X402" i="4"/>
  <c r="X403" i="4" s="1"/>
  <c r="L402" i="4"/>
  <c r="L403" i="4" s="1"/>
  <c r="O402" i="4"/>
  <c r="I402" i="4"/>
  <c r="I403" i="4" s="1"/>
  <c r="Y956" i="4"/>
  <c r="AA956" i="4" s="1"/>
  <c r="K319" i="4"/>
  <c r="L319" i="4" s="1"/>
  <c r="L318" i="4"/>
  <c r="X101" i="4"/>
  <c r="I15" i="41" s="1"/>
  <c r="X99" i="4"/>
  <c r="R403" i="4"/>
  <c r="Y400" i="4"/>
  <c r="AA400" i="4" s="1"/>
  <c r="Y598" i="4"/>
  <c r="R27" i="4"/>
  <c r="L550" i="4"/>
  <c r="X463" i="4"/>
  <c r="H834" i="4"/>
  <c r="O834" i="4" s="1"/>
  <c r="H762" i="4"/>
  <c r="R762" i="4" s="1"/>
  <c r="H412" i="4"/>
  <c r="R412" i="4" s="1"/>
  <c r="H893" i="4"/>
  <c r="X893" i="4" s="1"/>
  <c r="L14" i="4"/>
  <c r="H155" i="4"/>
  <c r="H484" i="4"/>
  <c r="O484" i="4" s="1"/>
  <c r="X14" i="4"/>
  <c r="H217" i="4"/>
  <c r="H559" i="4"/>
  <c r="H345" i="4"/>
  <c r="I345" i="4" s="1"/>
  <c r="H614" i="4"/>
  <c r="U614" i="4" s="1"/>
  <c r="H688" i="4"/>
  <c r="L688" i="4" s="1"/>
  <c r="U14" i="4"/>
  <c r="R14" i="4"/>
  <c r="H276" i="4"/>
  <c r="O276" i="4" s="1"/>
  <c r="X106" i="4"/>
  <c r="I17" i="41" s="1"/>
  <c r="J17" i="41" s="1"/>
  <c r="Y104" i="4"/>
  <c r="H171" i="4"/>
  <c r="H292" i="4"/>
  <c r="H778" i="4"/>
  <c r="L778" i="4" s="1"/>
  <c r="H361" i="4"/>
  <c r="R361" i="4" s="1"/>
  <c r="H850" i="4"/>
  <c r="H428" i="4"/>
  <c r="O428" i="4" s="1"/>
  <c r="H909" i="4"/>
  <c r="L909" i="4" s="1"/>
  <c r="H500" i="4"/>
  <c r="U500" i="4" s="1"/>
  <c r="O30" i="4"/>
  <c r="H575" i="4"/>
  <c r="R575" i="4" s="1"/>
  <c r="H233" i="4"/>
  <c r="H630" i="4"/>
  <c r="L630" i="4" s="1"/>
  <c r="H704" i="4"/>
  <c r="I704" i="4" s="1"/>
  <c r="I948" i="4"/>
  <c r="X30" i="4"/>
  <c r="Y549" i="4"/>
  <c r="H30" i="46"/>
  <c r="R820" i="4"/>
  <c r="O550" i="4"/>
  <c r="N49" i="39"/>
  <c r="O289" i="4"/>
  <c r="U289" i="4"/>
  <c r="O571" i="4"/>
  <c r="I571" i="4"/>
  <c r="X571" i="4"/>
  <c r="O164" i="4"/>
  <c r="Y296" i="4"/>
  <c r="AA296" i="4" s="1"/>
  <c r="U278" i="4"/>
  <c r="O318" i="4"/>
  <c r="N319" i="4"/>
  <c r="O319" i="4" s="1"/>
  <c r="Y535" i="4"/>
  <c r="AA535" i="4" s="1"/>
  <c r="U202" i="4"/>
  <c r="U203" i="4" s="1"/>
  <c r="X202" i="4"/>
  <c r="R502" i="4"/>
  <c r="I502" i="4"/>
  <c r="X13" i="4"/>
  <c r="S12" i="39"/>
  <c r="R163" i="4"/>
  <c r="O246" i="4"/>
  <c r="J42" i="39"/>
  <c r="L302" i="4"/>
  <c r="S44" i="39"/>
  <c r="X432" i="4"/>
  <c r="L432" i="4"/>
  <c r="Y532" i="4"/>
  <c r="R512" i="4"/>
  <c r="O371" i="4"/>
  <c r="L776" i="4"/>
  <c r="U550" i="4"/>
  <c r="X940" i="4"/>
  <c r="R940" i="4"/>
  <c r="R948" i="4" s="1"/>
  <c r="O940" i="4"/>
  <c r="O948" i="4" s="1"/>
  <c r="L940" i="4"/>
  <c r="L948" i="4" s="1"/>
  <c r="M22" i="39"/>
  <c r="U232" i="4"/>
  <c r="R432" i="4"/>
  <c r="X705" i="4"/>
  <c r="R713" i="4"/>
  <c r="M35" i="39"/>
  <c r="P32" i="39"/>
  <c r="D32" i="39"/>
  <c r="S30" i="39"/>
  <c r="G29" i="39"/>
  <c r="I701" i="4"/>
  <c r="S24" i="39"/>
  <c r="G24" i="39"/>
  <c r="O697" i="4"/>
  <c r="G20" i="39"/>
  <c r="S17" i="39"/>
  <c r="G17" i="39"/>
  <c r="R690" i="4"/>
  <c r="U791" i="4"/>
  <c r="I791" i="4"/>
  <c r="O787" i="4"/>
  <c r="U782" i="4"/>
  <c r="I782" i="4"/>
  <c r="I779" i="4"/>
  <c r="X771" i="4"/>
  <c r="L771" i="4"/>
  <c r="M18" i="39"/>
  <c r="I766" i="4"/>
  <c r="O764" i="4"/>
  <c r="L859" i="4"/>
  <c r="Y859" i="4" s="1"/>
  <c r="AA859" i="4" s="1"/>
  <c r="R854" i="4"/>
  <c r="U843" i="4"/>
  <c r="I843" i="4"/>
  <c r="X836" i="4"/>
  <c r="L836" i="4"/>
  <c r="M40" i="39"/>
  <c r="U918" i="4"/>
  <c r="I918" i="4"/>
  <c r="M37" i="39"/>
  <c r="P35" i="39"/>
  <c r="D35" i="39"/>
  <c r="S32" i="39"/>
  <c r="G32" i="39"/>
  <c r="J24" i="39"/>
  <c r="O902" i="4"/>
  <c r="U792" i="4"/>
  <c r="L924" i="4"/>
  <c r="R764" i="4"/>
  <c r="L764" i="4"/>
  <c r="O577" i="4"/>
  <c r="I577" i="4"/>
  <c r="N564" i="4"/>
  <c r="O564" i="4" s="1"/>
  <c r="N767" i="4"/>
  <c r="O767" i="4" s="1"/>
  <c r="N281" i="4"/>
  <c r="N489" i="4"/>
  <c r="O489" i="4" s="1"/>
  <c r="I18" i="39"/>
  <c r="V18" i="39" s="1"/>
  <c r="N839" i="4"/>
  <c r="O19" i="4"/>
  <c r="N350" i="4"/>
  <c r="N619" i="4"/>
  <c r="N160" i="4"/>
  <c r="O160" i="4" s="1"/>
  <c r="N898" i="4"/>
  <c r="O898" i="4" s="1"/>
  <c r="N222" i="4"/>
  <c r="N693" i="4"/>
  <c r="O693" i="4" s="1"/>
  <c r="U50" i="4"/>
  <c r="P49" i="39"/>
  <c r="R693" i="4"/>
  <c r="O855" i="4"/>
  <c r="O690" i="4"/>
  <c r="L690" i="4"/>
  <c r="U690" i="4"/>
  <c r="I690" i="4"/>
  <c r="X687" i="4"/>
  <c r="U687" i="4"/>
  <c r="Y133" i="4"/>
  <c r="AA133" i="4" s="1"/>
  <c r="R891" i="4"/>
  <c r="Y802" i="4"/>
  <c r="AA802" i="4" s="1"/>
  <c r="G11" i="39"/>
  <c r="Y602" i="4"/>
  <c r="AA602" i="4" s="1"/>
  <c r="T669" i="4"/>
  <c r="U669" i="4" s="1"/>
  <c r="U668" i="4"/>
  <c r="U947" i="4"/>
  <c r="U948" i="4" s="1"/>
  <c r="W947" i="4"/>
  <c r="X947" i="4" s="1"/>
  <c r="Q222" i="4"/>
  <c r="Q619" i="4"/>
  <c r="Q564" i="4"/>
  <c r="R564" i="4" s="1"/>
  <c r="X693" i="4"/>
  <c r="O788" i="4"/>
  <c r="L700" i="4"/>
  <c r="R700" i="4"/>
  <c r="X700" i="4"/>
  <c r="U284" i="4"/>
  <c r="R418" i="4"/>
  <c r="U418" i="4"/>
  <c r="R747" i="4"/>
  <c r="O570" i="4"/>
  <c r="L622" i="4"/>
  <c r="X618" i="4"/>
  <c r="J16" i="39"/>
  <c r="P43" i="39"/>
  <c r="D39" i="39"/>
  <c r="N718" i="4"/>
  <c r="O718" i="4" s="1"/>
  <c r="N185" i="4"/>
  <c r="O185" i="4" s="1"/>
  <c r="N589" i="4"/>
  <c r="O589" i="4" s="1"/>
  <c r="N792" i="4"/>
  <c r="O792" i="4" s="1"/>
  <c r="N306" i="4"/>
  <c r="O306" i="4" s="1"/>
  <c r="N375" i="4"/>
  <c r="O375" i="4" s="1"/>
  <c r="C34" i="39"/>
  <c r="G238" i="4"/>
  <c r="G433" i="4"/>
  <c r="G855" i="4"/>
  <c r="I855" i="4" s="1"/>
  <c r="G176" i="4"/>
  <c r="G914" i="4"/>
  <c r="G709" i="4"/>
  <c r="G366" i="4"/>
  <c r="G783" i="4"/>
  <c r="H780" i="4"/>
  <c r="X780" i="4" s="1"/>
  <c r="H632" i="4"/>
  <c r="L632" i="4" s="1"/>
  <c r="H852" i="4"/>
  <c r="H911" i="4"/>
  <c r="O911" i="4" s="1"/>
  <c r="X32" i="4"/>
  <c r="H235" i="4"/>
  <c r="R235" i="4" s="1"/>
  <c r="H363" i="4"/>
  <c r="O363" i="4" s="1"/>
  <c r="H294" i="4"/>
  <c r="O294" i="4" s="1"/>
  <c r="H430" i="4"/>
  <c r="O430" i="4" s="1"/>
  <c r="O32" i="4"/>
  <c r="G514" i="4"/>
  <c r="I514" i="4" s="1"/>
  <c r="G247" i="4"/>
  <c r="I247" i="4" s="1"/>
  <c r="G923" i="4"/>
  <c r="I923" i="4" s="1"/>
  <c r="G718" i="4"/>
  <c r="I718" i="4" s="1"/>
  <c r="G864" i="4"/>
  <c r="I864" i="4" s="1"/>
  <c r="G792" i="4"/>
  <c r="I792" i="4" s="1"/>
  <c r="G442" i="4"/>
  <c r="I442" i="4" s="1"/>
  <c r="G185" i="4"/>
  <c r="I185" i="4" s="1"/>
  <c r="G589" i="4"/>
  <c r="I589" i="4" s="1"/>
  <c r="C43" i="39"/>
  <c r="V43" i="39" s="1"/>
  <c r="Y731" i="4"/>
  <c r="AA731" i="4" s="1"/>
  <c r="X855" i="4"/>
  <c r="O864" i="4"/>
  <c r="O618" i="4"/>
  <c r="Y801" i="4"/>
  <c r="I806" i="4"/>
  <c r="O25" i="4"/>
  <c r="H166" i="4"/>
  <c r="O166" i="4" s="1"/>
  <c r="H625" i="4"/>
  <c r="H228" i="4"/>
  <c r="H287" i="4"/>
  <c r="U287" i="4" s="1"/>
  <c r="H699" i="4"/>
  <c r="H356" i="4"/>
  <c r="H423" i="4"/>
  <c r="H773" i="4"/>
  <c r="U773" i="4" s="1"/>
  <c r="H860" i="4"/>
  <c r="O860" i="4" s="1"/>
  <c r="H438" i="4"/>
  <c r="H919" i="4"/>
  <c r="H510" i="4"/>
  <c r="H585" i="4"/>
  <c r="H181" i="4"/>
  <c r="H640" i="4"/>
  <c r="H243" i="4"/>
  <c r="X243" i="4" s="1"/>
  <c r="G46" i="39"/>
  <c r="L47" i="4"/>
  <c r="Q841" i="4"/>
  <c r="R841" i="4" s="1"/>
  <c r="Q162" i="4"/>
  <c r="R162" i="4" s="1"/>
  <c r="Q621" i="4"/>
  <c r="R621" i="4" s="1"/>
  <c r="Q491" i="4"/>
  <c r="R491" i="4" s="1"/>
  <c r="Q566" i="4"/>
  <c r="R566" i="4" s="1"/>
  <c r="Q283" i="4"/>
  <c r="R283" i="4" s="1"/>
  <c r="Q769" i="4"/>
  <c r="R769" i="4" s="1"/>
  <c r="Q352" i="4"/>
  <c r="R352" i="4" s="1"/>
  <c r="Q419" i="4"/>
  <c r="R419" i="4" s="1"/>
  <c r="Q695" i="4"/>
  <c r="R695" i="4" s="1"/>
  <c r="Q224" i="4"/>
  <c r="R224" i="4" s="1"/>
  <c r="L20" i="39"/>
  <c r="U164" i="4"/>
  <c r="P18" i="39"/>
  <c r="I348" i="4"/>
  <c r="P13" i="39"/>
  <c r="D13" i="39"/>
  <c r="U441" i="4"/>
  <c r="I432" i="4"/>
  <c r="R577" i="4"/>
  <c r="Y264" i="4"/>
  <c r="AA264" i="4" s="1"/>
  <c r="I317" i="4"/>
  <c r="Y459" i="4"/>
  <c r="AA459" i="4" s="1"/>
  <c r="Y536" i="4"/>
  <c r="AA536" i="4" s="1"/>
  <c r="Y810" i="4"/>
  <c r="AA810" i="4" s="1"/>
  <c r="Y942" i="4"/>
  <c r="AA942" i="4" s="1"/>
  <c r="U693" i="4"/>
  <c r="U25" i="4"/>
  <c r="R25" i="4"/>
  <c r="U706" i="4"/>
  <c r="R706" i="4"/>
  <c r="R493" i="4"/>
  <c r="I35" i="4"/>
  <c r="I248" i="4"/>
  <c r="G644" i="4"/>
  <c r="I644" i="4" s="1"/>
  <c r="N514" i="4"/>
  <c r="O514" i="4" s="1"/>
  <c r="R70" i="4"/>
  <c r="U70" i="4"/>
  <c r="U331" i="4"/>
  <c r="U336" i="4" s="1"/>
  <c r="X331" i="4"/>
  <c r="O331" i="4"/>
  <c r="R331" i="4"/>
  <c r="S11" i="39"/>
  <c r="X806" i="4"/>
  <c r="O743" i="4"/>
  <c r="R743" i="4"/>
  <c r="R49" i="4"/>
  <c r="X49" i="4"/>
  <c r="T48" i="39" s="1"/>
  <c r="V49" i="39"/>
  <c r="V50" i="39"/>
  <c r="R385" i="4"/>
  <c r="L385" i="4"/>
  <c r="L386" i="4" s="1"/>
  <c r="N30" i="46"/>
  <c r="I618" i="4"/>
  <c r="Q900" i="4"/>
  <c r="R900" i="4" s="1"/>
  <c r="L564" i="4"/>
  <c r="G635" i="4"/>
  <c r="X588" i="4"/>
  <c r="T79" i="4"/>
  <c r="U79" i="4" s="1"/>
  <c r="U78" i="4"/>
  <c r="I32" i="4"/>
  <c r="U442" i="4"/>
  <c r="U747" i="4"/>
  <c r="R297" i="4"/>
  <c r="U618" i="4"/>
  <c r="O44" i="4"/>
  <c r="L160" i="4"/>
  <c r="U138" i="4"/>
  <c r="L138" i="4"/>
  <c r="X138" i="4"/>
  <c r="Q79" i="4"/>
  <c r="R79" i="4" s="1"/>
  <c r="R78" i="4"/>
  <c r="O48" i="4"/>
  <c r="L48" i="4"/>
  <c r="H47" i="39" s="1"/>
  <c r="H238" i="4"/>
  <c r="R238" i="4" s="1"/>
  <c r="X35" i="4"/>
  <c r="H366" i="4"/>
  <c r="O366" i="4" s="1"/>
  <c r="H635" i="4"/>
  <c r="X635" i="4" s="1"/>
  <c r="H914" i="4"/>
  <c r="O914" i="4" s="1"/>
  <c r="H433" i="4"/>
  <c r="O433" i="4" s="1"/>
  <c r="H709" i="4"/>
  <c r="U709" i="4" s="1"/>
  <c r="H176" i="4"/>
  <c r="R176" i="4" s="1"/>
  <c r="H505" i="4"/>
  <c r="U505" i="4" s="1"/>
  <c r="H783" i="4"/>
  <c r="R783" i="4" s="1"/>
  <c r="V41" i="39"/>
  <c r="W323" i="4"/>
  <c r="X323" i="4" s="1"/>
  <c r="X322" i="4"/>
  <c r="O631" i="4"/>
  <c r="O231" i="4"/>
  <c r="Y84" i="4"/>
  <c r="AA84" i="4" s="1"/>
  <c r="O403" i="4"/>
  <c r="X47" i="4"/>
  <c r="O184" i="4"/>
  <c r="O163" i="4"/>
  <c r="O229" i="4"/>
  <c r="U302" i="4"/>
  <c r="I302" i="4"/>
  <c r="O288" i="4"/>
  <c r="R278" i="4"/>
  <c r="L370" i="4"/>
  <c r="I365" i="4"/>
  <c r="X354" i="4"/>
  <c r="O568" i="4"/>
  <c r="O623" i="4"/>
  <c r="I743" i="4"/>
  <c r="Y194" i="4"/>
  <c r="AA194" i="4" s="1"/>
  <c r="AA195" i="4" s="1"/>
  <c r="Z269" i="4"/>
  <c r="D28" i="28" s="1"/>
  <c r="L732" i="4"/>
  <c r="X487" i="4"/>
  <c r="R32" i="4"/>
  <c r="L437" i="4"/>
  <c r="U421" i="4"/>
  <c r="U634" i="4"/>
  <c r="L623" i="4"/>
  <c r="U43" i="4"/>
  <c r="R317" i="4"/>
  <c r="O644" i="4"/>
  <c r="O691" i="4"/>
  <c r="O22" i="4"/>
  <c r="O14" i="4"/>
  <c r="U579" i="4"/>
  <c r="O854" i="4"/>
  <c r="O843" i="4"/>
  <c r="I590" i="4"/>
  <c r="I202" i="4"/>
  <c r="I203" i="4" s="1"/>
  <c r="O42" i="4"/>
  <c r="O35" i="4"/>
  <c r="R354" i="4"/>
  <c r="R437" i="4"/>
  <c r="O509" i="4"/>
  <c r="U743" i="4"/>
  <c r="W946" i="4"/>
  <c r="X946" i="4" s="1"/>
  <c r="I793" i="4"/>
  <c r="O424" i="4"/>
  <c r="R414" i="4"/>
  <c r="O512" i="4"/>
  <c r="V40" i="39"/>
  <c r="V21" i="39"/>
  <c r="O494" i="4"/>
  <c r="Y819" i="4"/>
  <c r="AA819" i="4" s="1"/>
  <c r="I461" i="4"/>
  <c r="G462" i="4"/>
  <c r="I462" i="4" s="1"/>
  <c r="X657" i="4"/>
  <c r="Y655" i="4"/>
  <c r="O781" i="4"/>
  <c r="I781" i="4"/>
  <c r="U781" i="4"/>
  <c r="R781" i="4"/>
  <c r="L781" i="4"/>
  <c r="I39" i="4"/>
  <c r="D38" i="39"/>
  <c r="Y199" i="4"/>
  <c r="X604" i="4"/>
  <c r="X605" i="4" s="1"/>
  <c r="O604" i="4"/>
  <c r="O605" i="4" s="1"/>
  <c r="R604" i="4"/>
  <c r="I604" i="4"/>
  <c r="I605" i="4" s="1"/>
  <c r="L604" i="4"/>
  <c r="L605" i="4" s="1"/>
  <c r="X748" i="4"/>
  <c r="Y740" i="4"/>
  <c r="Y874" i="4"/>
  <c r="AA874" i="4" s="1"/>
  <c r="Y727" i="4"/>
  <c r="AA727" i="4" s="1"/>
  <c r="O732" i="4"/>
  <c r="O368" i="4"/>
  <c r="L368" i="4"/>
  <c r="U368" i="4"/>
  <c r="X368" i="4"/>
  <c r="I368" i="4"/>
  <c r="R368" i="4"/>
  <c r="Y127" i="4"/>
  <c r="AA127" i="4" s="1"/>
  <c r="L675" i="4"/>
  <c r="R550" i="4"/>
  <c r="Y146" i="4"/>
  <c r="AA146" i="4" s="1"/>
  <c r="I891" i="4"/>
  <c r="U891" i="4"/>
  <c r="X891" i="4"/>
  <c r="I319" i="4"/>
  <c r="X319" i="4"/>
  <c r="U319" i="4"/>
  <c r="U69" i="4"/>
  <c r="I69" i="4"/>
  <c r="L69" i="4"/>
  <c r="O69" i="4"/>
  <c r="X69" i="4"/>
  <c r="L470" i="4"/>
  <c r="Y469" i="4"/>
  <c r="Y873" i="4"/>
  <c r="R967" i="4"/>
  <c r="Y966" i="4"/>
  <c r="J46" i="39"/>
  <c r="O47" i="4"/>
  <c r="K366" i="4"/>
  <c r="K505" i="4"/>
  <c r="K433" i="4"/>
  <c r="K709" i="4"/>
  <c r="K176" i="4"/>
  <c r="K635" i="4"/>
  <c r="K580" i="4"/>
  <c r="L580" i="4" s="1"/>
  <c r="K297" i="4"/>
  <c r="L297" i="4" s="1"/>
  <c r="K855" i="4"/>
  <c r="L855" i="4" s="1"/>
  <c r="F34" i="39"/>
  <c r="K238" i="4"/>
  <c r="K783" i="4"/>
  <c r="D20" i="39"/>
  <c r="I352" i="4"/>
  <c r="M15" i="39"/>
  <c r="R347" i="4"/>
  <c r="X708" i="4"/>
  <c r="S33" i="39"/>
  <c r="L708" i="4"/>
  <c r="G33" i="39"/>
  <c r="L705" i="4"/>
  <c r="G30" i="39"/>
  <c r="U701" i="4"/>
  <c r="P26" i="39"/>
  <c r="S21" i="39"/>
  <c r="P21" i="39"/>
  <c r="U770" i="4"/>
  <c r="U766" i="4"/>
  <c r="P17" i="39"/>
  <c r="J33" i="39"/>
  <c r="O913" i="4"/>
  <c r="S26" i="39"/>
  <c r="X906" i="4"/>
  <c r="I902" i="4"/>
  <c r="D22" i="39"/>
  <c r="P12" i="39"/>
  <c r="Y526" i="4"/>
  <c r="L527" i="4"/>
  <c r="Y936" i="4"/>
  <c r="AA936" i="4" s="1"/>
  <c r="O101" i="4"/>
  <c r="F15" i="41" s="1"/>
  <c r="I714" i="4"/>
  <c r="L891" i="4"/>
  <c r="X709" i="4"/>
  <c r="U183" i="4"/>
  <c r="X183" i="4"/>
  <c r="O247" i="4"/>
  <c r="L247" i="4"/>
  <c r="U443" i="4"/>
  <c r="I260" i="4"/>
  <c r="K914" i="4"/>
  <c r="R160" i="4"/>
  <c r="M41" i="39"/>
  <c r="D26" i="39"/>
  <c r="O844" i="4"/>
  <c r="U844" i="4"/>
  <c r="H707" i="4"/>
  <c r="O707" i="4" s="1"/>
  <c r="H578" i="4"/>
  <c r="R33" i="4"/>
  <c r="L33" i="4"/>
  <c r="H174" i="4"/>
  <c r="H236" i="4"/>
  <c r="H912" i="4"/>
  <c r="H633" i="4"/>
  <c r="O33" i="4"/>
  <c r="H295" i="4"/>
  <c r="H364" i="4"/>
  <c r="U364" i="4" s="1"/>
  <c r="I33" i="4"/>
  <c r="H431" i="4"/>
  <c r="U793" i="4"/>
  <c r="R634" i="4"/>
  <c r="I634" i="4"/>
  <c r="O634" i="4"/>
  <c r="Z405" i="4"/>
  <c r="D30" i="28" s="1"/>
  <c r="X496" i="4"/>
  <c r="O497" i="4"/>
  <c r="L497" i="4"/>
  <c r="I497" i="4"/>
  <c r="U497" i="4"/>
  <c r="U36" i="4"/>
  <c r="Z823" i="4"/>
  <c r="AA823" i="4" s="1"/>
  <c r="L695" i="4"/>
  <c r="I844" i="4"/>
  <c r="U853" i="4"/>
  <c r="X853" i="4"/>
  <c r="O853" i="4"/>
  <c r="O766" i="4"/>
  <c r="X766" i="4"/>
  <c r="H581" i="4"/>
  <c r="H239" i="4"/>
  <c r="O239" i="4" s="1"/>
  <c r="H710" i="4"/>
  <c r="U710" i="4" s="1"/>
  <c r="H298" i="4"/>
  <c r="H784" i="4"/>
  <c r="H367" i="4"/>
  <c r="H856" i="4"/>
  <c r="H434" i="4"/>
  <c r="H915" i="4"/>
  <c r="U915" i="4" s="1"/>
  <c r="O36" i="4"/>
  <c r="H506" i="4"/>
  <c r="O506" i="4" s="1"/>
  <c r="O483" i="4"/>
  <c r="Y729" i="4"/>
  <c r="AA729" i="4" s="1"/>
  <c r="I225" i="4"/>
  <c r="O225" i="4"/>
  <c r="L463" i="4"/>
  <c r="I898" i="4"/>
  <c r="T323" i="4"/>
  <c r="U323" i="4" s="1"/>
  <c r="U322" i="4"/>
  <c r="H641" i="4"/>
  <c r="H715" i="4"/>
  <c r="H372" i="4"/>
  <c r="H439" i="4"/>
  <c r="H789" i="4"/>
  <c r="O41" i="4"/>
  <c r="H511" i="4"/>
  <c r="H861" i="4"/>
  <c r="O861" i="4" s="1"/>
  <c r="H182" i="4"/>
  <c r="H920" i="4"/>
  <c r="H244" i="4"/>
  <c r="H586" i="4"/>
  <c r="N621" i="4"/>
  <c r="O621" i="4" s="1"/>
  <c r="N352" i="4"/>
  <c r="O352" i="4" s="1"/>
  <c r="N695" i="4"/>
  <c r="O695" i="4" s="1"/>
  <c r="N419" i="4"/>
  <c r="O419" i="4" s="1"/>
  <c r="O21" i="4"/>
  <c r="N566" i="4"/>
  <c r="O566" i="4" s="1"/>
  <c r="W769" i="4"/>
  <c r="X769" i="4" s="1"/>
  <c r="W566" i="4"/>
  <c r="X566" i="4" s="1"/>
  <c r="R20" i="39"/>
  <c r="W900" i="4"/>
  <c r="X900" i="4" s="1"/>
  <c r="W491" i="4"/>
  <c r="X491" i="4" s="1"/>
  <c r="W841" i="4"/>
  <c r="X841" i="4" s="1"/>
  <c r="W352" i="4"/>
  <c r="X352" i="4" s="1"/>
  <c r="W162" i="4"/>
  <c r="X162" i="4" s="1"/>
  <c r="W621" i="4"/>
  <c r="X621" i="4" s="1"/>
  <c r="W283" i="4"/>
  <c r="X283" i="4" s="1"/>
  <c r="W224" i="4"/>
  <c r="X224" i="4" s="1"/>
  <c r="O923" i="4"/>
  <c r="Y923" i="4" s="1"/>
  <c r="AA923" i="4" s="1"/>
  <c r="O706" i="4"/>
  <c r="U237" i="4"/>
  <c r="R365" i="4"/>
  <c r="O414" i="4"/>
  <c r="X623" i="4"/>
  <c r="V30" i="39"/>
  <c r="V28" i="39"/>
  <c r="Z883" i="4"/>
  <c r="I732" i="4"/>
  <c r="X645" i="4"/>
  <c r="O172" i="4"/>
  <c r="O847" i="4"/>
  <c r="O355" i="4"/>
  <c r="O153" i="4"/>
  <c r="I541" i="4"/>
  <c r="Y667" i="4"/>
  <c r="AA667" i="4" s="1"/>
  <c r="L541" i="4"/>
  <c r="I24" i="4"/>
  <c r="L35" i="4"/>
  <c r="L22" i="4"/>
  <c r="O40" i="4"/>
  <c r="J19" i="39"/>
  <c r="R36" i="4"/>
  <c r="I293" i="4"/>
  <c r="X626" i="4"/>
  <c r="L743" i="4"/>
  <c r="O440" i="4"/>
  <c r="X64" i="4"/>
  <c r="O626" i="4"/>
  <c r="O226" i="4"/>
  <c r="X347" i="4"/>
  <c r="R697" i="4"/>
  <c r="U811" i="4"/>
  <c r="I875" i="4"/>
  <c r="Z755" i="4"/>
  <c r="D35" i="28" s="1"/>
  <c r="Z678" i="4"/>
  <c r="Z552" i="4"/>
  <c r="D32" i="28" s="1"/>
  <c r="O180" i="4"/>
  <c r="O177" i="4"/>
  <c r="O173" i="4"/>
  <c r="O157" i="4"/>
  <c r="L154" i="4"/>
  <c r="O353" i="4"/>
  <c r="O852" i="4"/>
  <c r="R844" i="4"/>
  <c r="R836" i="4"/>
  <c r="O918" i="4"/>
  <c r="I913" i="4"/>
  <c r="Y316" i="4"/>
  <c r="AA316" i="4" s="1"/>
  <c r="U604" i="4"/>
  <c r="U605" i="4" s="1"/>
  <c r="O741" i="4"/>
  <c r="Z824" i="4"/>
  <c r="R732" i="4"/>
  <c r="U539" i="4"/>
  <c r="O24" i="4"/>
  <c r="X579" i="4"/>
  <c r="L579" i="4"/>
  <c r="X782" i="4"/>
  <c r="L782" i="4"/>
  <c r="Y935" i="4"/>
  <c r="Z607" i="4"/>
  <c r="D33" i="28" s="1"/>
  <c r="I101" i="4"/>
  <c r="D15" i="41" s="1"/>
  <c r="I224" i="4"/>
  <c r="V11" i="39"/>
  <c r="O746" i="4"/>
  <c r="R787" i="4"/>
  <c r="Y92" i="4"/>
  <c r="Z473" i="4"/>
  <c r="AA473" i="4" s="1"/>
  <c r="Y728" i="4"/>
  <c r="AA728" i="4" s="1"/>
  <c r="R500" i="4"/>
  <c r="X33" i="4"/>
  <c r="X19" i="4"/>
  <c r="L177" i="4"/>
  <c r="O168" i="4"/>
  <c r="U157" i="4"/>
  <c r="I157" i="4"/>
  <c r="U365" i="4"/>
  <c r="X504" i="4"/>
  <c r="L504" i="4"/>
  <c r="O500" i="4"/>
  <c r="R496" i="4"/>
  <c r="O493" i="4"/>
  <c r="O487" i="4"/>
  <c r="O584" i="4"/>
  <c r="O639" i="4"/>
  <c r="V14" i="39"/>
  <c r="Z474" i="4"/>
  <c r="AA474" i="4" s="1"/>
  <c r="Z210" i="4"/>
  <c r="D27" i="28" s="1"/>
  <c r="AA335" i="4"/>
  <c r="AA549" i="4"/>
  <c r="O287" i="4"/>
  <c r="R422" i="4"/>
  <c r="E49" i="39"/>
  <c r="H369" i="4"/>
  <c r="H638" i="4"/>
  <c r="H917" i="4"/>
  <c r="O38" i="4"/>
  <c r="I38" i="4"/>
  <c r="H241" i="4"/>
  <c r="H508" i="4"/>
  <c r="H786" i="4"/>
  <c r="U38" i="4"/>
  <c r="H300" i="4"/>
  <c r="H583" i="4"/>
  <c r="H858" i="4"/>
  <c r="H179" i="4"/>
  <c r="L38" i="4"/>
  <c r="H436" i="4"/>
  <c r="H712" i="4"/>
  <c r="X670" i="4"/>
  <c r="Y453" i="4"/>
  <c r="X455" i="4"/>
  <c r="N376" i="4"/>
  <c r="O376" i="4" s="1"/>
  <c r="N719" i="4"/>
  <c r="N443" i="4"/>
  <c r="N645" i="4"/>
  <c r="O645" i="4" s="1"/>
  <c r="N865" i="4"/>
  <c r="O865" i="4" s="1"/>
  <c r="N515" i="4"/>
  <c r="O515" i="4" s="1"/>
  <c r="N924" i="4"/>
  <c r="O924" i="4" s="1"/>
  <c r="O45" i="4"/>
  <c r="N590" i="4"/>
  <c r="O590" i="4" s="1"/>
  <c r="N793" i="4"/>
  <c r="O793" i="4" s="1"/>
  <c r="N307" i="4"/>
  <c r="O307" i="4" s="1"/>
  <c r="N186" i="4"/>
  <c r="O186" i="4" s="1"/>
  <c r="N248" i="4"/>
  <c r="O248" i="4" s="1"/>
  <c r="L43" i="4"/>
  <c r="G42" i="39"/>
  <c r="U20" i="4"/>
  <c r="P19" i="39"/>
  <c r="Y666" i="4"/>
  <c r="O292" i="4"/>
  <c r="X292" i="4"/>
  <c r="U292" i="4"/>
  <c r="I292" i="4"/>
  <c r="O643" i="4"/>
  <c r="X643" i="4"/>
  <c r="R636" i="4"/>
  <c r="O636" i="4"/>
  <c r="U911" i="4"/>
  <c r="U320" i="4"/>
  <c r="T321" i="4"/>
  <c r="U321" i="4" s="1"/>
  <c r="I506" i="4"/>
  <c r="O848" i="4"/>
  <c r="R848" i="4"/>
  <c r="H857" i="4"/>
  <c r="O37" i="4"/>
  <c r="H178" i="4"/>
  <c r="H435" i="4"/>
  <c r="H711" i="4"/>
  <c r="H240" i="4"/>
  <c r="H507" i="4"/>
  <c r="H785" i="4"/>
  <c r="H916" i="4"/>
  <c r="O364" i="4"/>
  <c r="O502" i="4"/>
  <c r="L502" i="4"/>
  <c r="O15" i="4"/>
  <c r="H156" i="4"/>
  <c r="H413" i="4"/>
  <c r="H689" i="4"/>
  <c r="H218" i="4"/>
  <c r="H485" i="4"/>
  <c r="H763" i="4"/>
  <c r="H277" i="4"/>
  <c r="H560" i="4"/>
  <c r="H835" i="4"/>
  <c r="L15" i="4"/>
  <c r="H615" i="4"/>
  <c r="H894" i="4"/>
  <c r="X175" i="4"/>
  <c r="I175" i="4"/>
  <c r="L265" i="4"/>
  <c r="L267" i="4" s="1"/>
  <c r="U265" i="4"/>
  <c r="U267" i="4" s="1"/>
  <c r="R265" i="4"/>
  <c r="I265" i="4"/>
  <c r="I267" i="4" s="1"/>
  <c r="O265" i="4"/>
  <c r="O267" i="4" s="1"/>
  <c r="O245" i="4"/>
  <c r="U245" i="4"/>
  <c r="I245" i="4"/>
  <c r="O65" i="4"/>
  <c r="U65" i="4"/>
  <c r="I865" i="4"/>
  <c r="O374" i="4"/>
  <c r="R374" i="4"/>
  <c r="L232" i="4"/>
  <c r="O232" i="4"/>
  <c r="O628" i="4"/>
  <c r="X628" i="4"/>
  <c r="O700" i="4"/>
  <c r="U700" i="4"/>
  <c r="O580" i="4"/>
  <c r="O429" i="4"/>
  <c r="L429" i="4"/>
  <c r="O694" i="4"/>
  <c r="R694" i="4"/>
  <c r="H346" i="4"/>
  <c r="H360" i="4"/>
  <c r="H170" i="4"/>
  <c r="O170" i="4" s="1"/>
  <c r="H499" i="4"/>
  <c r="H703" i="4"/>
  <c r="H427" i="4"/>
  <c r="O29" i="4"/>
  <c r="H574" i="4"/>
  <c r="H849" i="4"/>
  <c r="H629" i="4"/>
  <c r="H908" i="4"/>
  <c r="U588" i="4"/>
  <c r="U140" i="4"/>
  <c r="I140" i="4"/>
  <c r="I148" i="4" s="1"/>
  <c r="D21" i="41" s="1"/>
  <c r="O140" i="4"/>
  <c r="X140" i="4"/>
  <c r="R140" i="4"/>
  <c r="O161" i="4"/>
  <c r="O892" i="4"/>
  <c r="D24" i="28"/>
  <c r="N79" i="4"/>
  <c r="O79" i="4" s="1"/>
  <c r="O78" i="4"/>
  <c r="X437" i="4"/>
  <c r="O563" i="4"/>
  <c r="Y946" i="4"/>
  <c r="AA946" i="4" s="1"/>
  <c r="H840" i="4"/>
  <c r="H223" i="4"/>
  <c r="H490" i="4"/>
  <c r="H768" i="4"/>
  <c r="H282" i="4"/>
  <c r="H565" i="4"/>
  <c r="H351" i="4"/>
  <c r="H620" i="4"/>
  <c r="O20" i="4"/>
  <c r="O357" i="4"/>
  <c r="I16" i="39"/>
  <c r="N617" i="4"/>
  <c r="N415" i="4"/>
  <c r="O415" i="4" s="1"/>
  <c r="N348" i="4"/>
  <c r="O348" i="4" s="1"/>
  <c r="N562" i="4"/>
  <c r="N765" i="4"/>
  <c r="O765" i="4" s="1"/>
  <c r="O17" i="4"/>
  <c r="N220" i="4"/>
  <c r="O220" i="4" s="1"/>
  <c r="N896" i="4"/>
  <c r="N279" i="4"/>
  <c r="N837" i="4"/>
  <c r="O837" i="4" s="1"/>
  <c r="N158" i="4"/>
  <c r="O158" i="4" s="1"/>
  <c r="Q974" i="4"/>
  <c r="N974" i="4"/>
  <c r="I974" i="4"/>
  <c r="I978" i="4" s="1"/>
  <c r="D62" i="41" s="1"/>
  <c r="G962" i="4"/>
  <c r="I962" i="4" s="1"/>
  <c r="I963" i="4" s="1"/>
  <c r="W974" i="4"/>
  <c r="K974" i="4"/>
  <c r="T974" i="4"/>
  <c r="N162" i="4"/>
  <c r="O162" i="4" s="1"/>
  <c r="N900" i="4"/>
  <c r="O900" i="4" s="1"/>
  <c r="N769" i="4"/>
  <c r="O769" i="4" s="1"/>
  <c r="N224" i="4"/>
  <c r="O224" i="4" s="1"/>
  <c r="N491" i="4"/>
  <c r="O491" i="4" s="1"/>
  <c r="N841" i="4"/>
  <c r="O841" i="4" s="1"/>
  <c r="N283" i="4"/>
  <c r="O283" i="4" s="1"/>
  <c r="Y389" i="4"/>
  <c r="H686" i="4"/>
  <c r="H760" i="4"/>
  <c r="H215" i="4"/>
  <c r="H482" i="4"/>
  <c r="O482" i="4" s="1"/>
  <c r="H832" i="4"/>
  <c r="H274" i="4"/>
  <c r="H557" i="4"/>
  <c r="H343" i="4"/>
  <c r="H612" i="4"/>
  <c r="O612" i="4" s="1"/>
  <c r="O12" i="4"/>
  <c r="O891" i="4"/>
  <c r="M19" i="39"/>
  <c r="O418" i="4"/>
  <c r="L639" i="4"/>
  <c r="U391" i="4"/>
  <c r="W943" i="4"/>
  <c r="X943" i="4" s="1"/>
  <c r="R195" i="4"/>
  <c r="Y425" i="4" l="1"/>
  <c r="AA425" i="4" s="1"/>
  <c r="I500" i="4"/>
  <c r="X353" i="4"/>
  <c r="Y168" i="4"/>
  <c r="AA168" i="4" s="1"/>
  <c r="I853" i="4"/>
  <c r="R503" i="4"/>
  <c r="Y237" i="4"/>
  <c r="AA237" i="4" s="1"/>
  <c r="R362" i="4"/>
  <c r="I362" i="4"/>
  <c r="O362" i="4"/>
  <c r="X503" i="4"/>
  <c r="O503" i="4"/>
  <c r="U362" i="4"/>
  <c r="O286" i="4"/>
  <c r="U286" i="4"/>
  <c r="U357" i="4"/>
  <c r="L357" i="4"/>
  <c r="R357" i="4"/>
  <c r="U227" i="4"/>
  <c r="R838" i="4"/>
  <c r="U900" i="4"/>
  <c r="Q20" i="39" s="1"/>
  <c r="I767" i="4"/>
  <c r="R765" i="4"/>
  <c r="X767" i="4"/>
  <c r="X814" i="4"/>
  <c r="X80" i="4"/>
  <c r="I13" i="41" s="1"/>
  <c r="Y242" i="4"/>
  <c r="AA242" i="4" s="1"/>
  <c r="I443" i="4"/>
  <c r="I371" i="4"/>
  <c r="R770" i="4"/>
  <c r="O770" i="4"/>
  <c r="R792" i="4"/>
  <c r="R842" i="4"/>
  <c r="X203" i="4"/>
  <c r="L371" i="4"/>
  <c r="J30" i="46"/>
  <c r="X589" i="4"/>
  <c r="T43" i="39" s="1"/>
  <c r="L644" i="4"/>
  <c r="Y644" i="4" s="1"/>
  <c r="AA644" i="4" s="1"/>
  <c r="Q22" i="39"/>
  <c r="Y818" i="4"/>
  <c r="AA818" i="4" s="1"/>
  <c r="L222" i="4"/>
  <c r="Y467" i="4"/>
  <c r="AA467" i="4" s="1"/>
  <c r="I748" i="4"/>
  <c r="R303" i="4"/>
  <c r="L770" i="4"/>
  <c r="U892" i="4"/>
  <c r="L709" i="4"/>
  <c r="Y713" i="4"/>
  <c r="AA713" i="4" s="1"/>
  <c r="Y16" i="4"/>
  <c r="AA16" i="4" s="1"/>
  <c r="I770" i="4"/>
  <c r="O18" i="46"/>
  <c r="U50" i="39"/>
  <c r="S20" i="46"/>
  <c r="S18" i="46"/>
  <c r="L30" i="46"/>
  <c r="V29" i="39"/>
  <c r="L305" i="4"/>
  <c r="Y493" i="4"/>
  <c r="AA493" i="4" s="1"/>
  <c r="O846" i="4"/>
  <c r="R505" i="4"/>
  <c r="AA732" i="4"/>
  <c r="Y812" i="4"/>
  <c r="AA812" i="4" s="1"/>
  <c r="U642" i="4"/>
  <c r="L698" i="4"/>
  <c r="I637" i="4"/>
  <c r="X305" i="4"/>
  <c r="X443" i="4"/>
  <c r="Y561" i="4"/>
  <c r="AA561" i="4" s="1"/>
  <c r="O243" i="4"/>
  <c r="L748" i="4"/>
  <c r="R619" i="4"/>
  <c r="N43" i="39"/>
  <c r="L619" i="4"/>
  <c r="AA260" i="4"/>
  <c r="U692" i="4"/>
  <c r="AA532" i="4"/>
  <c r="O617" i="4"/>
  <c r="O642" i="4"/>
  <c r="Y568" i="4"/>
  <c r="AA568" i="4" s="1"/>
  <c r="U637" i="4"/>
  <c r="L692" i="4"/>
  <c r="I374" i="4"/>
  <c r="Y537" i="4"/>
  <c r="AA537" i="4" s="1"/>
  <c r="I642" i="4"/>
  <c r="O443" i="4"/>
  <c r="Y937" i="4"/>
  <c r="C51" i="28" s="1"/>
  <c r="F51" i="28" s="1"/>
  <c r="H51" i="28" s="1"/>
  <c r="X692" i="4"/>
  <c r="R642" i="4"/>
  <c r="I505" i="4"/>
  <c r="U838" i="4"/>
  <c r="O167" i="4"/>
  <c r="Y847" i="4"/>
  <c r="AA847" i="4" s="1"/>
  <c r="U714" i="4"/>
  <c r="X776" i="4"/>
  <c r="I304" i="4"/>
  <c r="I692" i="4"/>
  <c r="R698" i="4"/>
  <c r="I281" i="4"/>
  <c r="O838" i="4"/>
  <c r="L820" i="4"/>
  <c r="X898" i="4"/>
  <c r="I57" i="4"/>
  <c r="U564" i="4"/>
  <c r="Y564" i="4" s="1"/>
  <c r="AA564" i="4" s="1"/>
  <c r="I350" i="4"/>
  <c r="Y173" i="4"/>
  <c r="AA173" i="4" s="1"/>
  <c r="X688" i="4"/>
  <c r="I512" i="4"/>
  <c r="R498" i="4"/>
  <c r="O692" i="4"/>
  <c r="L288" i="4"/>
  <c r="U903" i="4"/>
  <c r="Y903" i="4" s="1"/>
  <c r="AA903" i="4" s="1"/>
  <c r="R293" i="4"/>
  <c r="I900" i="4"/>
  <c r="I491" i="4"/>
  <c r="E20" i="39" s="1"/>
  <c r="R921" i="4"/>
  <c r="R714" i="4"/>
  <c r="R898" i="4"/>
  <c r="R220" i="4"/>
  <c r="R286" i="4"/>
  <c r="X286" i="4"/>
  <c r="I422" i="4"/>
  <c r="U350" i="4"/>
  <c r="Y26" i="4"/>
  <c r="AA26" i="4" s="1"/>
  <c r="L167" i="4"/>
  <c r="U846" i="4"/>
  <c r="Q43" i="39"/>
  <c r="Y486" i="4"/>
  <c r="AA486" i="4" s="1"/>
  <c r="Y195" i="4"/>
  <c r="Y415" i="4"/>
  <c r="AA415" i="4" s="1"/>
  <c r="O148" i="4"/>
  <c r="F21" i="41" s="1"/>
  <c r="Y376" i="4"/>
  <c r="AA376" i="4" s="1"/>
  <c r="L422" i="4"/>
  <c r="O417" i="4"/>
  <c r="Y353" i="4"/>
  <c r="AA353" i="4" s="1"/>
  <c r="Y44" i="4"/>
  <c r="AA44" i="4" s="1"/>
  <c r="Y200" i="4"/>
  <c r="AA200" i="4" s="1"/>
  <c r="X293" i="4"/>
  <c r="Y947" i="4"/>
  <c r="AA947" i="4" s="1"/>
  <c r="U921" i="4"/>
  <c r="L846" i="4"/>
  <c r="I698" i="4"/>
  <c r="Y895" i="4"/>
  <c r="AA895" i="4" s="1"/>
  <c r="Y753" i="4"/>
  <c r="O698" i="4"/>
  <c r="X227" i="4"/>
  <c r="O714" i="4"/>
  <c r="R846" i="4"/>
  <c r="L512" i="4"/>
  <c r="L635" i="4"/>
  <c r="O281" i="4"/>
  <c r="U470" i="4"/>
  <c r="Y584" i="4"/>
  <c r="AA584" i="4" s="1"/>
  <c r="O619" i="4"/>
  <c r="Q38" i="39"/>
  <c r="I776" i="4"/>
  <c r="O227" i="4"/>
  <c r="R776" i="4"/>
  <c r="X512" i="4"/>
  <c r="L503" i="4"/>
  <c r="L898" i="4"/>
  <c r="U698" i="4"/>
  <c r="U293" i="4"/>
  <c r="Y293" i="4" s="1"/>
  <c r="AA293" i="4" s="1"/>
  <c r="L227" i="4"/>
  <c r="R350" i="4"/>
  <c r="Y321" i="4"/>
  <c r="AA321" i="4" s="1"/>
  <c r="Y813" i="4"/>
  <c r="AA813" i="4" s="1"/>
  <c r="O635" i="4"/>
  <c r="Y153" i="4"/>
  <c r="AA153" i="4" s="1"/>
  <c r="O505" i="4"/>
  <c r="L238" i="4"/>
  <c r="X220" i="4"/>
  <c r="Y668" i="4"/>
  <c r="AA668" i="4" s="1"/>
  <c r="O350" i="4"/>
  <c r="Y854" i="4"/>
  <c r="AA854" i="4" s="1"/>
  <c r="U776" i="4"/>
  <c r="I227" i="4"/>
  <c r="Y899" i="4"/>
  <c r="AA899" i="4" s="1"/>
  <c r="R279" i="4"/>
  <c r="O30" i="46"/>
  <c r="I619" i="4"/>
  <c r="I220" i="4"/>
  <c r="Y775" i="4"/>
  <c r="AA775" i="4" s="1"/>
  <c r="Y745" i="4"/>
  <c r="AA745" i="4" s="1"/>
  <c r="U220" i="4"/>
  <c r="V44" i="39"/>
  <c r="X761" i="4"/>
  <c r="X863" i="4"/>
  <c r="L863" i="4"/>
  <c r="I239" i="4"/>
  <c r="I707" i="4"/>
  <c r="R276" i="4"/>
  <c r="U422" i="4"/>
  <c r="Y21" i="4"/>
  <c r="AA21" i="4" s="1"/>
  <c r="U909" i="4"/>
  <c r="R336" i="4"/>
  <c r="O234" i="4"/>
  <c r="L850" i="4"/>
  <c r="I839" i="4"/>
  <c r="L628" i="4"/>
  <c r="Y51" i="4"/>
  <c r="AA51" i="4" s="1"/>
  <c r="Y501" i="4"/>
  <c r="AA501" i="4" s="1"/>
  <c r="Y358" i="4"/>
  <c r="AA358" i="4" s="1"/>
  <c r="X838" i="4"/>
  <c r="X424" i="4"/>
  <c r="I433" i="4"/>
  <c r="X422" i="4"/>
  <c r="Y782" i="4"/>
  <c r="AA782" i="4" s="1"/>
  <c r="I80" i="4"/>
  <c r="D13" i="41" s="1"/>
  <c r="L494" i="4"/>
  <c r="Y957" i="4"/>
  <c r="R910" i="4"/>
  <c r="U619" i="4"/>
  <c r="X348" i="4"/>
  <c r="Y348" i="4" s="1"/>
  <c r="AA348" i="4" s="1"/>
  <c r="I863" i="4"/>
  <c r="U863" i="4"/>
  <c r="R494" i="4"/>
  <c r="U845" i="4"/>
  <c r="E48" i="39"/>
  <c r="I783" i="4"/>
  <c r="V34" i="39"/>
  <c r="U349" i="4"/>
  <c r="Y230" i="4"/>
  <c r="AA230" i="4" s="1"/>
  <c r="L489" i="4"/>
  <c r="O441" i="4"/>
  <c r="L441" i="4"/>
  <c r="X441" i="4"/>
  <c r="U496" i="4"/>
  <c r="R588" i="4"/>
  <c r="U905" i="4"/>
  <c r="O907" i="4"/>
  <c r="R767" i="4"/>
  <c r="O496" i="4"/>
  <c r="L496" i="4"/>
  <c r="X696" i="4"/>
  <c r="L505" i="4"/>
  <c r="I494" i="4"/>
  <c r="Y229" i="4"/>
  <c r="AA229" i="4" s="1"/>
  <c r="Y375" i="4"/>
  <c r="AA375" i="4" s="1"/>
  <c r="Y18" i="4"/>
  <c r="AA18" i="4" s="1"/>
  <c r="O790" i="4"/>
  <c r="R863" i="4"/>
  <c r="Y669" i="4"/>
  <c r="AA669" i="4" s="1"/>
  <c r="O670" i="4"/>
  <c r="X513" i="4"/>
  <c r="L513" i="4"/>
  <c r="I513" i="4"/>
  <c r="I424" i="4"/>
  <c r="U424" i="4"/>
  <c r="R424" i="4"/>
  <c r="O279" i="4"/>
  <c r="O588" i="4"/>
  <c r="X433" i="4"/>
  <c r="L716" i="4"/>
  <c r="I588" i="4"/>
  <c r="U494" i="4"/>
  <c r="X234" i="4"/>
  <c r="Y231" i="4"/>
  <c r="AA231" i="4" s="1"/>
  <c r="Y219" i="4"/>
  <c r="AA219" i="4" s="1"/>
  <c r="R719" i="4"/>
  <c r="N44" i="39" s="1"/>
  <c r="Y975" i="4"/>
  <c r="AA975" i="4" s="1"/>
  <c r="Y301" i="4"/>
  <c r="AA301" i="4" s="1"/>
  <c r="L790" i="4"/>
  <c r="U767" i="4"/>
  <c r="U814" i="4"/>
  <c r="U305" i="4"/>
  <c r="I305" i="4"/>
  <c r="R305" i="4"/>
  <c r="Y25" i="4"/>
  <c r="AA25" i="4" s="1"/>
  <c r="O542" i="4"/>
  <c r="Y325" i="4"/>
  <c r="AA325" i="4" s="1"/>
  <c r="U571" i="4"/>
  <c r="Y571" i="4" s="1"/>
  <c r="AA571" i="4" s="1"/>
  <c r="U159" i="4"/>
  <c r="L159" i="4"/>
  <c r="X159" i="4"/>
  <c r="I159" i="4"/>
  <c r="R159" i="4"/>
  <c r="L862" i="4"/>
  <c r="R862" i="4"/>
  <c r="X862" i="4"/>
  <c r="R587" i="4"/>
  <c r="L587" i="4"/>
  <c r="X587" i="4"/>
  <c r="O562" i="4"/>
  <c r="Y563" i="4"/>
  <c r="AA563" i="4" s="1"/>
  <c r="Y732" i="4"/>
  <c r="X839" i="4"/>
  <c r="O910" i="4"/>
  <c r="L839" i="4"/>
  <c r="Y902" i="4"/>
  <c r="AA902" i="4" s="1"/>
  <c r="L433" i="4"/>
  <c r="O845" i="4"/>
  <c r="O704" i="4"/>
  <c r="X500" i="4"/>
  <c r="Y421" i="4"/>
  <c r="AA421" i="4" s="1"/>
  <c r="Y70" i="4"/>
  <c r="AA70" i="4" s="1"/>
  <c r="R716" i="4"/>
  <c r="U417" i="4"/>
  <c r="U833" i="4"/>
  <c r="L761" i="4"/>
  <c r="Y129" i="4"/>
  <c r="AA129" i="4" s="1"/>
  <c r="X910" i="4"/>
  <c r="R417" i="4"/>
  <c r="U587" i="4"/>
  <c r="X921" i="4"/>
  <c r="I921" i="4"/>
  <c r="L921" i="4"/>
  <c r="R790" i="4"/>
  <c r="U790" i="4"/>
  <c r="I790" i="4"/>
  <c r="Y924" i="4"/>
  <c r="AA924" i="4" s="1"/>
  <c r="O326" i="4"/>
  <c r="O613" i="4"/>
  <c r="Y837" i="4"/>
  <c r="AA837" i="4" s="1"/>
  <c r="Y487" i="4"/>
  <c r="AA487" i="4" s="1"/>
  <c r="I326" i="4"/>
  <c r="U688" i="4"/>
  <c r="Y289" i="4"/>
  <c r="AA289" i="4" s="1"/>
  <c r="Y31" i="4"/>
  <c r="AA31" i="4" s="1"/>
  <c r="Y333" i="4"/>
  <c r="AA333" i="4" s="1"/>
  <c r="I397" i="4"/>
  <c r="L910" i="4"/>
  <c r="L491" i="4"/>
  <c r="U862" i="4"/>
  <c r="L410" i="4"/>
  <c r="I410" i="4"/>
  <c r="R410" i="4"/>
  <c r="U851" i="4"/>
  <c r="X851" i="4"/>
  <c r="L221" i="4"/>
  <c r="U221" i="4"/>
  <c r="I221" i="4"/>
  <c r="X221" i="4"/>
  <c r="Y736" i="4"/>
  <c r="AA735" i="4"/>
  <c r="AA736" i="4" s="1"/>
  <c r="U373" i="4"/>
  <c r="X373" i="4"/>
  <c r="L373" i="4"/>
  <c r="I373" i="4"/>
  <c r="X148" i="4"/>
  <c r="I21" i="41" s="1"/>
  <c r="Y245" i="4"/>
  <c r="AA245" i="4" s="1"/>
  <c r="X582" i="4"/>
  <c r="Y248" i="4"/>
  <c r="AA248" i="4" s="1"/>
  <c r="AA550" i="4"/>
  <c r="O159" i="4"/>
  <c r="Y172" i="4"/>
  <c r="AA172" i="4" s="1"/>
  <c r="Y297" i="4"/>
  <c r="AA297" i="4" s="1"/>
  <c r="X704" i="4"/>
  <c r="L845" i="4"/>
  <c r="R688" i="4"/>
  <c r="O221" i="4"/>
  <c r="X850" i="4"/>
  <c r="L833" i="4"/>
  <c r="U765" i="4"/>
  <c r="L900" i="4"/>
  <c r="Y495" i="4"/>
  <c r="AA495" i="4" s="1"/>
  <c r="R183" i="4"/>
  <c r="I183" i="4"/>
  <c r="O779" i="4"/>
  <c r="X779" i="4"/>
  <c r="L779" i="4"/>
  <c r="L183" i="4"/>
  <c r="Y706" i="4"/>
  <c r="AA706" i="4" s="1"/>
  <c r="Y538" i="4"/>
  <c r="AA538" i="4" s="1"/>
  <c r="Y539" i="4"/>
  <c r="AA539" i="4" s="1"/>
  <c r="Y695" i="4"/>
  <c r="AA695" i="4" s="1"/>
  <c r="X845" i="4"/>
  <c r="I688" i="4"/>
  <c r="O839" i="4"/>
  <c r="Y940" i="4"/>
  <c r="AA940" i="4" s="1"/>
  <c r="J19" i="41"/>
  <c r="Y616" i="4"/>
  <c r="AA616" i="4" s="1"/>
  <c r="X833" i="4"/>
  <c r="U910" i="4"/>
  <c r="U222" i="4"/>
  <c r="U234" i="4"/>
  <c r="R234" i="4"/>
  <c r="I234" i="4"/>
  <c r="L570" i="4"/>
  <c r="L582" i="4"/>
  <c r="Y357" i="4"/>
  <c r="AA357" i="4" s="1"/>
  <c r="L287" i="4"/>
  <c r="Y918" i="4"/>
  <c r="AA918" i="4" s="1"/>
  <c r="Y226" i="4"/>
  <c r="AA226" i="4" s="1"/>
  <c r="L80" i="4"/>
  <c r="E13" i="41" s="1"/>
  <c r="R845" i="4"/>
  <c r="O688" i="4"/>
  <c r="Y42" i="4"/>
  <c r="AA42" i="4" s="1"/>
  <c r="O373" i="4"/>
  <c r="O862" i="4"/>
  <c r="X336" i="4"/>
  <c r="Y718" i="4"/>
  <c r="AA718" i="4" s="1"/>
  <c r="K15" i="39"/>
  <c r="Y164" i="4"/>
  <c r="AA164" i="4" s="1"/>
  <c r="Y396" i="4"/>
  <c r="AA396" i="4" s="1"/>
  <c r="I417" i="4"/>
  <c r="I222" i="4"/>
  <c r="Y285" i="4"/>
  <c r="AA285" i="4" s="1"/>
  <c r="L417" i="4"/>
  <c r="O304" i="4"/>
  <c r="R304" i="4"/>
  <c r="X304" i="4"/>
  <c r="L304" i="4"/>
  <c r="L838" i="4"/>
  <c r="L576" i="4"/>
  <c r="R576" i="4"/>
  <c r="U576" i="4"/>
  <c r="I576" i="4"/>
  <c r="X350" i="4"/>
  <c r="R429" i="4"/>
  <c r="L637" i="4"/>
  <c r="X637" i="4"/>
  <c r="R637" i="4"/>
  <c r="X576" i="4"/>
  <c r="H44" i="39"/>
  <c r="Y161" i="4"/>
  <c r="AA161" i="4" s="1"/>
  <c r="Y787" i="4"/>
  <c r="AA787" i="4" s="1"/>
  <c r="I542" i="4"/>
  <c r="O587" i="4"/>
  <c r="Y202" i="4"/>
  <c r="AA202" i="4" s="1"/>
  <c r="Y631" i="4"/>
  <c r="AA631" i="4" s="1"/>
  <c r="R222" i="4"/>
  <c r="R221" i="4"/>
  <c r="O222" i="4"/>
  <c r="R851" i="4"/>
  <c r="Q26" i="39"/>
  <c r="L851" i="4"/>
  <c r="R570" i="4"/>
  <c r="U570" i="4"/>
  <c r="I570" i="4"/>
  <c r="U440" i="4"/>
  <c r="I440" i="4"/>
  <c r="L440" i="4"/>
  <c r="X440" i="4"/>
  <c r="R440" i="4"/>
  <c r="R299" i="4"/>
  <c r="L299" i="4"/>
  <c r="I299" i="4"/>
  <c r="Y717" i="4"/>
  <c r="AA717" i="4" s="1"/>
  <c r="Y362" i="4"/>
  <c r="AA362" i="4" s="1"/>
  <c r="U774" i="4"/>
  <c r="R774" i="4"/>
  <c r="X774" i="4"/>
  <c r="R670" i="4"/>
  <c r="X905" i="4"/>
  <c r="Y550" i="4"/>
  <c r="O569" i="4"/>
  <c r="U361" i="4"/>
  <c r="O702" i="4"/>
  <c r="AA121" i="4"/>
  <c r="Y28" i="4"/>
  <c r="AA28" i="4" s="1"/>
  <c r="Y627" i="4"/>
  <c r="AA627" i="4" s="1"/>
  <c r="U489" i="4"/>
  <c r="Y841" i="4"/>
  <c r="AA841" i="4" s="1"/>
  <c r="R710" i="4"/>
  <c r="I905" i="4"/>
  <c r="O344" i="4"/>
  <c r="Y40" i="4"/>
  <c r="AA40" i="4" s="1"/>
  <c r="Y323" i="4"/>
  <c r="AA323" i="4" s="1"/>
  <c r="Y906" i="4"/>
  <c r="AA906" i="4" s="1"/>
  <c r="E38" i="39"/>
  <c r="Y138" i="4"/>
  <c r="AA138" i="4" s="1"/>
  <c r="U630" i="4"/>
  <c r="U371" i="4"/>
  <c r="O290" i="4"/>
  <c r="U288" i="4"/>
  <c r="R246" i="4"/>
  <c r="L246" i="4"/>
  <c r="I246" i="4"/>
  <c r="U246" i="4"/>
  <c r="O582" i="4"/>
  <c r="R582" i="4"/>
  <c r="I582" i="4"/>
  <c r="I167" i="4"/>
  <c r="Y705" i="4"/>
  <c r="AA705" i="4" s="1"/>
  <c r="Y79" i="4"/>
  <c r="AA79" i="4" s="1"/>
  <c r="Y418" i="4"/>
  <c r="AA418" i="4" s="1"/>
  <c r="O896" i="4"/>
  <c r="V16" i="39"/>
  <c r="L710" i="4"/>
  <c r="U80" i="4"/>
  <c r="H13" i="41" s="1"/>
  <c r="U777" i="4"/>
  <c r="O719" i="4"/>
  <c r="X861" i="4"/>
  <c r="L905" i="4"/>
  <c r="Y855" i="4"/>
  <c r="AA855" i="4" s="1"/>
  <c r="L366" i="4"/>
  <c r="Y395" i="4"/>
  <c r="AA395" i="4" s="1"/>
  <c r="R748" i="4"/>
  <c r="U569" i="4"/>
  <c r="I765" i="4"/>
  <c r="X288" i="4"/>
  <c r="R281" i="4"/>
  <c r="L281" i="4"/>
  <c r="X281" i="4"/>
  <c r="I788" i="4"/>
  <c r="L788" i="4"/>
  <c r="R788" i="4"/>
  <c r="X788" i="4"/>
  <c r="AA879" i="4"/>
  <c r="AA880" i="4" s="1"/>
  <c r="Y880" i="4"/>
  <c r="AA660" i="4"/>
  <c r="AA661" i="4" s="1"/>
  <c r="Y661" i="4"/>
  <c r="X246" i="4"/>
  <c r="Y590" i="4"/>
  <c r="AA590" i="4" s="1"/>
  <c r="J15" i="41"/>
  <c r="E26" i="39"/>
  <c r="U397" i="4"/>
  <c r="Y370" i="4"/>
  <c r="AA370" i="4" s="1"/>
  <c r="U428" i="4"/>
  <c r="L569" i="4"/>
  <c r="U896" i="4"/>
  <c r="Y184" i="4"/>
  <c r="AA184" i="4" s="1"/>
  <c r="Y976" i="4"/>
  <c r="AA976" i="4" s="1"/>
  <c r="C10" i="46"/>
  <c r="C9" i="46" s="1"/>
  <c r="I716" i="4"/>
  <c r="U716" i="4"/>
  <c r="X716" i="4"/>
  <c r="F53" i="28"/>
  <c r="H53" i="28" s="1"/>
  <c r="E53" i="28"/>
  <c r="X710" i="4"/>
  <c r="U861" i="4"/>
  <c r="R905" i="4"/>
  <c r="Y846" i="4"/>
  <c r="AA846" i="4" s="1"/>
  <c r="Y811" i="4"/>
  <c r="AA811" i="4" s="1"/>
  <c r="X948" i="4"/>
  <c r="I710" i="4"/>
  <c r="N22" i="39"/>
  <c r="Y355" i="4"/>
  <c r="AA355" i="4" s="1"/>
  <c r="Y701" i="4"/>
  <c r="AA701" i="4" s="1"/>
  <c r="O463" i="4"/>
  <c r="Y509" i="4"/>
  <c r="AA509" i="4" s="1"/>
  <c r="I569" i="4"/>
  <c r="O774" i="4"/>
  <c r="Y673" i="4"/>
  <c r="AA673" i="4" s="1"/>
  <c r="AA675" i="4" s="1"/>
  <c r="Y791" i="4"/>
  <c r="AA791" i="4" s="1"/>
  <c r="X569" i="4"/>
  <c r="L349" i="4"/>
  <c r="L702" i="4"/>
  <c r="R288" i="4"/>
  <c r="U281" i="4"/>
  <c r="X489" i="4"/>
  <c r="O710" i="4"/>
  <c r="Y746" i="4"/>
  <c r="AA746" i="4" s="1"/>
  <c r="O349" i="4"/>
  <c r="Y180" i="4"/>
  <c r="AA180" i="4" s="1"/>
  <c r="T15" i="39"/>
  <c r="W50" i="39"/>
  <c r="H15" i="39"/>
  <c r="Y771" i="4"/>
  <c r="AA771" i="4" s="1"/>
  <c r="X371" i="4"/>
  <c r="I349" i="4"/>
  <c r="X349" i="4"/>
  <c r="L774" i="4"/>
  <c r="Y698" i="4"/>
  <c r="AA698" i="4" s="1"/>
  <c r="O820" i="4"/>
  <c r="X167" i="4"/>
  <c r="R167" i="4"/>
  <c r="U922" i="4"/>
  <c r="X922" i="4"/>
  <c r="L922" i="4"/>
  <c r="I922" i="4"/>
  <c r="R922" i="4"/>
  <c r="U839" i="4"/>
  <c r="I774" i="4"/>
  <c r="O416" i="4"/>
  <c r="R416" i="4"/>
  <c r="L416" i="4"/>
  <c r="X416" i="4"/>
  <c r="L216" i="4"/>
  <c r="X216" i="4"/>
  <c r="U216" i="4"/>
  <c r="R216" i="4"/>
  <c r="U148" i="4"/>
  <c r="H21" i="41" s="1"/>
  <c r="X632" i="4"/>
  <c r="Y41" i="4"/>
  <c r="AA41" i="4" s="1"/>
  <c r="L176" i="4"/>
  <c r="Y843" i="4"/>
  <c r="AA843" i="4" s="1"/>
  <c r="Y442" i="4"/>
  <c r="AA442" i="4" s="1"/>
  <c r="I719" i="4"/>
  <c r="E44" i="39" s="1"/>
  <c r="L359" i="4"/>
  <c r="I216" i="4"/>
  <c r="O842" i="4"/>
  <c r="X842" i="4"/>
  <c r="U842" i="4"/>
  <c r="I842" i="4"/>
  <c r="U691" i="4"/>
  <c r="L691" i="4"/>
  <c r="X691" i="4"/>
  <c r="R691" i="4"/>
  <c r="I772" i="4"/>
  <c r="L772" i="4"/>
  <c r="U772" i="4"/>
  <c r="R772" i="4"/>
  <c r="X772" i="4"/>
  <c r="R702" i="4"/>
  <c r="U702" i="4"/>
  <c r="I702" i="4"/>
  <c r="U290" i="4"/>
  <c r="R290" i="4"/>
  <c r="L290" i="4"/>
  <c r="I290" i="4"/>
  <c r="U761" i="4"/>
  <c r="R761" i="4"/>
  <c r="I761" i="4"/>
  <c r="O492" i="4"/>
  <c r="L492" i="4"/>
  <c r="U492" i="4"/>
  <c r="X492" i="4"/>
  <c r="R492" i="4"/>
  <c r="I492" i="4"/>
  <c r="O624" i="4"/>
  <c r="R624" i="4"/>
  <c r="L624" i="4"/>
  <c r="X624" i="4"/>
  <c r="U624" i="4"/>
  <c r="L165" i="4"/>
  <c r="U165" i="4"/>
  <c r="I165" i="4"/>
  <c r="R165" i="4"/>
  <c r="X165" i="4"/>
  <c r="Y769" i="4"/>
  <c r="AA769" i="4" s="1"/>
  <c r="Y694" i="4"/>
  <c r="AA694" i="4" s="1"/>
  <c r="O915" i="4"/>
  <c r="Y836" i="4"/>
  <c r="AA836" i="4" s="1"/>
  <c r="Y621" i="4"/>
  <c r="AA621" i="4" s="1"/>
  <c r="K33" i="39"/>
  <c r="X505" i="4"/>
  <c r="O238" i="4"/>
  <c r="Y693" i="4"/>
  <c r="AA693" i="4" s="1"/>
  <c r="L575" i="4"/>
  <c r="X359" i="4"/>
  <c r="U176" i="4"/>
  <c r="Y260" i="4"/>
  <c r="I416" i="4"/>
  <c r="X617" i="4"/>
  <c r="L617" i="4"/>
  <c r="R617" i="4"/>
  <c r="U567" i="4"/>
  <c r="O567" i="4"/>
  <c r="R567" i="4"/>
  <c r="I567" i="4"/>
  <c r="X567" i="4"/>
  <c r="L567" i="4"/>
  <c r="U719" i="4"/>
  <c r="Q44" i="39" s="1"/>
  <c r="Y817" i="4"/>
  <c r="AA817" i="4" s="1"/>
  <c r="AA820" i="4" s="1"/>
  <c r="U897" i="4"/>
  <c r="I897" i="4"/>
  <c r="L897" i="4"/>
  <c r="R897" i="4"/>
  <c r="X897" i="4"/>
  <c r="I691" i="4"/>
  <c r="L483" i="4"/>
  <c r="I483" i="4"/>
  <c r="U483" i="4"/>
  <c r="R483" i="4"/>
  <c r="X483" i="4"/>
  <c r="O154" i="4"/>
  <c r="X154" i="4"/>
  <c r="R154" i="4"/>
  <c r="R915" i="4"/>
  <c r="U704" i="4"/>
  <c r="R359" i="4"/>
  <c r="U416" i="4"/>
  <c r="U901" i="4"/>
  <c r="L901" i="4"/>
  <c r="R901" i="4"/>
  <c r="I901" i="4"/>
  <c r="X901" i="4"/>
  <c r="Y572" i="4"/>
  <c r="AA572" i="4" s="1"/>
  <c r="R280" i="4"/>
  <c r="L280" i="4"/>
  <c r="U280" i="4"/>
  <c r="I280" i="4"/>
  <c r="X280" i="4"/>
  <c r="R558" i="4"/>
  <c r="L558" i="4"/>
  <c r="X558" i="4"/>
  <c r="X777" i="4"/>
  <c r="L777" i="4"/>
  <c r="R777" i="4"/>
  <c r="I777" i="4"/>
  <c r="I613" i="4"/>
  <c r="X613" i="4"/>
  <c r="U613" i="4"/>
  <c r="L613" i="4"/>
  <c r="I158" i="4"/>
  <c r="U411" i="4"/>
  <c r="L411" i="4"/>
  <c r="I411" i="4"/>
  <c r="R411" i="4"/>
  <c r="O216" i="4"/>
  <c r="H26" i="39"/>
  <c r="T26" i="39"/>
  <c r="L326" i="4"/>
  <c r="R80" i="4"/>
  <c r="G13" i="41" s="1"/>
  <c r="H22" i="39"/>
  <c r="X363" i="4"/>
  <c r="I575" i="4"/>
  <c r="I709" i="4"/>
  <c r="I359" i="4"/>
  <c r="Y30" i="4"/>
  <c r="AA30" i="4" s="1"/>
  <c r="L704" i="4"/>
  <c r="I558" i="4"/>
  <c r="U279" i="4"/>
  <c r="L279" i="4"/>
  <c r="X279" i="4"/>
  <c r="Y75" i="4"/>
  <c r="AA75" i="4" s="1"/>
  <c r="R618" i="4"/>
  <c r="L618" i="4"/>
  <c r="L766" i="4"/>
  <c r="R766" i="4"/>
  <c r="O291" i="4"/>
  <c r="L291" i="4"/>
  <c r="U291" i="4"/>
  <c r="X291" i="4"/>
  <c r="R291" i="4"/>
  <c r="U573" i="4"/>
  <c r="L573" i="4"/>
  <c r="X573" i="4"/>
  <c r="R573" i="4"/>
  <c r="I573" i="4"/>
  <c r="I562" i="4"/>
  <c r="I687" i="4"/>
  <c r="L687" i="4"/>
  <c r="Y169" i="4"/>
  <c r="AA169" i="4" s="1"/>
  <c r="X176" i="4"/>
  <c r="U359" i="4"/>
  <c r="Z475" i="4"/>
  <c r="Z477" i="4" s="1"/>
  <c r="D31" i="28" s="1"/>
  <c r="Y186" i="4"/>
  <c r="AA186" i="4" s="1"/>
  <c r="Y645" i="4"/>
  <c r="AA645" i="4" s="1"/>
  <c r="Y697" i="4"/>
  <c r="AA697" i="4" s="1"/>
  <c r="Y844" i="4"/>
  <c r="AA844" i="4" s="1"/>
  <c r="L914" i="4"/>
  <c r="X326" i="4"/>
  <c r="O165" i="4"/>
  <c r="X719" i="4"/>
  <c r="T44" i="39" s="1"/>
  <c r="Y318" i="4"/>
  <c r="AA318" i="4" s="1"/>
  <c r="U558" i="4"/>
  <c r="I896" i="4"/>
  <c r="X896" i="4"/>
  <c r="L896" i="4"/>
  <c r="Y330" i="4"/>
  <c r="AA330" i="4" s="1"/>
  <c r="I232" i="4"/>
  <c r="X232" i="4"/>
  <c r="R232" i="4"/>
  <c r="I303" i="4"/>
  <c r="X303" i="4"/>
  <c r="L303" i="4"/>
  <c r="U303" i="4"/>
  <c r="O498" i="4"/>
  <c r="X498" i="4"/>
  <c r="I498" i="4"/>
  <c r="L498" i="4"/>
  <c r="I617" i="4"/>
  <c r="X892" i="4"/>
  <c r="R892" i="4"/>
  <c r="L892" i="4"/>
  <c r="Y78" i="4"/>
  <c r="AA78" i="4" s="1"/>
  <c r="O632" i="4"/>
  <c r="Y307" i="4"/>
  <c r="AA307" i="4" s="1"/>
  <c r="Y443" i="4"/>
  <c r="AA443" i="4" s="1"/>
  <c r="Y402" i="4"/>
  <c r="AA402" i="4" s="1"/>
  <c r="AA403" i="4" s="1"/>
  <c r="Y462" i="4"/>
  <c r="AA462" i="4" s="1"/>
  <c r="R704" i="4"/>
  <c r="U748" i="4"/>
  <c r="Y432" i="4"/>
  <c r="AA432" i="4" s="1"/>
  <c r="U158" i="4"/>
  <c r="X158" i="4"/>
  <c r="R158" i="4"/>
  <c r="L158" i="4"/>
  <c r="X284" i="4"/>
  <c r="I284" i="4"/>
  <c r="R284" i="4"/>
  <c r="L284" i="4"/>
  <c r="O426" i="4"/>
  <c r="X426" i="4"/>
  <c r="R426" i="4"/>
  <c r="U426" i="4"/>
  <c r="I426" i="4"/>
  <c r="X344" i="4"/>
  <c r="U344" i="4"/>
  <c r="L344" i="4"/>
  <c r="I344" i="4"/>
  <c r="O275" i="4"/>
  <c r="U275" i="4"/>
  <c r="I275" i="4"/>
  <c r="X275" i="4"/>
  <c r="L275" i="4"/>
  <c r="Y515" i="4"/>
  <c r="AA515" i="4" s="1"/>
  <c r="Y793" i="4"/>
  <c r="AA793" i="4" s="1"/>
  <c r="E15" i="39"/>
  <c r="Y185" i="4"/>
  <c r="AA185" i="4" s="1"/>
  <c r="Y419" i="4"/>
  <c r="AA419" i="4" s="1"/>
  <c r="Y322" i="4"/>
  <c r="AA322" i="4" s="1"/>
  <c r="Y121" i="4"/>
  <c r="C22" i="28" s="1"/>
  <c r="F22" i="28" s="1"/>
  <c r="H22" i="28" s="1"/>
  <c r="O176" i="4"/>
  <c r="Y577" i="4"/>
  <c r="AA577" i="4" s="1"/>
  <c r="U463" i="4"/>
  <c r="X562" i="4"/>
  <c r="R562" i="4"/>
  <c r="L562" i="4"/>
  <c r="L765" i="4"/>
  <c r="X765" i="4"/>
  <c r="O696" i="4"/>
  <c r="U696" i="4"/>
  <c r="R696" i="4"/>
  <c r="I696" i="4"/>
  <c r="Y420" i="4"/>
  <c r="AA420" i="4" s="1"/>
  <c r="O488" i="4"/>
  <c r="U488" i="4"/>
  <c r="I488" i="4"/>
  <c r="R488" i="4"/>
  <c r="X488" i="4"/>
  <c r="L488" i="4"/>
  <c r="Y945" i="4"/>
  <c r="AA945" i="4" s="1"/>
  <c r="U907" i="4"/>
  <c r="I907" i="4"/>
  <c r="X907" i="4"/>
  <c r="L907" i="4"/>
  <c r="U562" i="4"/>
  <c r="R833" i="4"/>
  <c r="I833" i="4"/>
  <c r="I279" i="4"/>
  <c r="Y32" i="4"/>
  <c r="AA32" i="4" s="1"/>
  <c r="O625" i="4"/>
  <c r="U625" i="4"/>
  <c r="I625" i="4"/>
  <c r="R625" i="4"/>
  <c r="X625" i="4"/>
  <c r="L625" i="4"/>
  <c r="X171" i="4"/>
  <c r="R171" i="4"/>
  <c r="R56" i="4"/>
  <c r="Q15" i="39"/>
  <c r="Y743" i="4"/>
  <c r="AA743" i="4" s="1"/>
  <c r="Y414" i="4"/>
  <c r="AA414" i="4" s="1"/>
  <c r="Y913" i="4"/>
  <c r="AA913" i="4" s="1"/>
  <c r="U783" i="4"/>
  <c r="X783" i="4"/>
  <c r="Y331" i="4"/>
  <c r="O336" i="4"/>
  <c r="I860" i="4"/>
  <c r="U860" i="4"/>
  <c r="X860" i="4"/>
  <c r="R860" i="4"/>
  <c r="L860" i="4"/>
  <c r="U166" i="4"/>
  <c r="X166" i="4"/>
  <c r="L166" i="4"/>
  <c r="R166" i="4"/>
  <c r="I166" i="4"/>
  <c r="I914" i="4"/>
  <c r="Y792" i="4"/>
  <c r="AA792" i="4" s="1"/>
  <c r="R914" i="4"/>
  <c r="AA104" i="4"/>
  <c r="Y106" i="4"/>
  <c r="O559" i="4"/>
  <c r="X559" i="4"/>
  <c r="L559" i="4"/>
  <c r="R559" i="4"/>
  <c r="U559" i="4"/>
  <c r="I559" i="4"/>
  <c r="O762" i="4"/>
  <c r="L762" i="4"/>
  <c r="U762" i="4"/>
  <c r="I762" i="4"/>
  <c r="X762" i="4"/>
  <c r="N26" i="39"/>
  <c r="Y27" i="4"/>
  <c r="AA27" i="4" s="1"/>
  <c r="U914" i="4"/>
  <c r="O783" i="4"/>
  <c r="Y497" i="4"/>
  <c r="AA497" i="4" s="1"/>
  <c r="E43" i="39"/>
  <c r="Y368" i="4"/>
  <c r="AA368" i="4" s="1"/>
  <c r="R326" i="4"/>
  <c r="Y317" i="4"/>
  <c r="AA317" i="4" s="1"/>
  <c r="I635" i="4"/>
  <c r="N48" i="39"/>
  <c r="U48" i="39" s="1"/>
  <c r="W48" i="39" s="1"/>
  <c r="R57" i="4"/>
  <c r="Y49" i="4"/>
  <c r="AA49" i="4" s="1"/>
  <c r="I243" i="4"/>
  <c r="U243" i="4"/>
  <c r="R243" i="4"/>
  <c r="O773" i="4"/>
  <c r="L773" i="4"/>
  <c r="R773" i="4"/>
  <c r="X773" i="4"/>
  <c r="L911" i="4"/>
  <c r="X911" i="4"/>
  <c r="R911" i="4"/>
  <c r="I911" i="4"/>
  <c r="I176" i="4"/>
  <c r="Y747" i="4"/>
  <c r="AA747" i="4" s="1"/>
  <c r="O909" i="4"/>
  <c r="R909" i="4"/>
  <c r="X909" i="4"/>
  <c r="I909" i="4"/>
  <c r="O217" i="4"/>
  <c r="L217" i="4"/>
  <c r="X217" i="4"/>
  <c r="U217" i="4"/>
  <c r="I217" i="4"/>
  <c r="R217" i="4"/>
  <c r="L834" i="4"/>
  <c r="I834" i="4"/>
  <c r="U834" i="4"/>
  <c r="X834" i="4"/>
  <c r="R834" i="4"/>
  <c r="AA598" i="4"/>
  <c r="AA599" i="4" s="1"/>
  <c r="Y599" i="4"/>
  <c r="O438" i="4"/>
  <c r="U438" i="4"/>
  <c r="L438" i="4"/>
  <c r="I438" i="4"/>
  <c r="X438" i="4"/>
  <c r="Y502" i="4"/>
  <c r="AA502" i="4" s="1"/>
  <c r="O171" i="4"/>
  <c r="I171" i="4"/>
  <c r="K47" i="39"/>
  <c r="U47" i="39" s="1"/>
  <c r="W47" i="39" s="1"/>
  <c r="Y48" i="4"/>
  <c r="AA48" i="4" s="1"/>
  <c r="O640" i="4"/>
  <c r="U640" i="4"/>
  <c r="R640" i="4"/>
  <c r="X640" i="4"/>
  <c r="L640" i="4"/>
  <c r="I640" i="4"/>
  <c r="O423" i="4"/>
  <c r="X423" i="4"/>
  <c r="U423" i="4"/>
  <c r="I423" i="4"/>
  <c r="L423" i="4"/>
  <c r="R423" i="4"/>
  <c r="Y514" i="4"/>
  <c r="AA514" i="4" s="1"/>
  <c r="R852" i="4"/>
  <c r="X852" i="4"/>
  <c r="L852" i="4"/>
  <c r="U852" i="4"/>
  <c r="L780" i="4"/>
  <c r="R428" i="4"/>
  <c r="X428" i="4"/>
  <c r="I428" i="4"/>
  <c r="L276" i="4"/>
  <c r="I276" i="4"/>
  <c r="U276" i="4"/>
  <c r="X276" i="4"/>
  <c r="R709" i="4"/>
  <c r="L243" i="4"/>
  <c r="Y622" i="4"/>
  <c r="AA622" i="4" s="1"/>
  <c r="O412" i="4"/>
  <c r="U412" i="4"/>
  <c r="I412" i="4"/>
  <c r="L412" i="4"/>
  <c r="X412" i="4"/>
  <c r="Y626" i="4"/>
  <c r="AA626" i="4" s="1"/>
  <c r="K22" i="39"/>
  <c r="Y35" i="4"/>
  <c r="AA35" i="4" s="1"/>
  <c r="Y33" i="4"/>
  <c r="AA33" i="4" s="1"/>
  <c r="R433" i="4"/>
  <c r="U433" i="4"/>
  <c r="R438" i="4"/>
  <c r="O181" i="4"/>
  <c r="I181" i="4"/>
  <c r="L181" i="4"/>
  <c r="R181" i="4"/>
  <c r="X181" i="4"/>
  <c r="U181" i="4"/>
  <c r="O356" i="4"/>
  <c r="U356" i="4"/>
  <c r="X356" i="4"/>
  <c r="I356" i="4"/>
  <c r="R356" i="4"/>
  <c r="L356" i="4"/>
  <c r="AA801" i="4"/>
  <c r="AA806" i="4" s="1"/>
  <c r="Y806" i="4"/>
  <c r="R632" i="4"/>
  <c r="I632" i="4"/>
  <c r="U632" i="4"/>
  <c r="R635" i="4"/>
  <c r="L428" i="4"/>
  <c r="Y163" i="4"/>
  <c r="AA163" i="4" s="1"/>
  <c r="O850" i="4"/>
  <c r="U850" i="4"/>
  <c r="R850" i="4"/>
  <c r="I850" i="4"/>
  <c r="Y14" i="4"/>
  <c r="AA14" i="4" s="1"/>
  <c r="U484" i="4"/>
  <c r="R484" i="4"/>
  <c r="I484" i="4"/>
  <c r="L484" i="4"/>
  <c r="X484" i="4"/>
  <c r="L171" i="4"/>
  <c r="Y904" i="4"/>
  <c r="AA904" i="4" s="1"/>
  <c r="X238" i="4"/>
  <c r="H46" i="39"/>
  <c r="L57" i="4"/>
  <c r="I235" i="4"/>
  <c r="L235" i="4"/>
  <c r="U235" i="4"/>
  <c r="X235" i="4"/>
  <c r="Y162" i="4"/>
  <c r="AA162" i="4" s="1"/>
  <c r="X53" i="4"/>
  <c r="I9" i="41" s="1"/>
  <c r="AA475" i="4"/>
  <c r="Y579" i="4"/>
  <c r="AA579" i="4" s="1"/>
  <c r="I53" i="4"/>
  <c r="D9" i="41" s="1"/>
  <c r="V20" i="39"/>
  <c r="Q33" i="39"/>
  <c r="O235" i="4"/>
  <c r="L783" i="4"/>
  <c r="T46" i="39"/>
  <c r="X57" i="4"/>
  <c r="O585" i="4"/>
  <c r="U585" i="4"/>
  <c r="L585" i="4"/>
  <c r="X585" i="4"/>
  <c r="I585" i="4"/>
  <c r="R585" i="4"/>
  <c r="O699" i="4"/>
  <c r="U699" i="4"/>
  <c r="R699" i="4"/>
  <c r="L699" i="4"/>
  <c r="I699" i="4"/>
  <c r="X699" i="4"/>
  <c r="I430" i="4"/>
  <c r="U430" i="4"/>
  <c r="L430" i="4"/>
  <c r="X430" i="4"/>
  <c r="R430" i="4"/>
  <c r="I780" i="4"/>
  <c r="O780" i="4"/>
  <c r="U780" i="4"/>
  <c r="R780" i="4"/>
  <c r="I238" i="4"/>
  <c r="U238" i="4"/>
  <c r="I852" i="4"/>
  <c r="Y278" i="4"/>
  <c r="AA278" i="4" s="1"/>
  <c r="O630" i="4"/>
  <c r="X630" i="4"/>
  <c r="R630" i="4"/>
  <c r="I630" i="4"/>
  <c r="O361" i="4"/>
  <c r="X361" i="4"/>
  <c r="I361" i="4"/>
  <c r="O155" i="4"/>
  <c r="L155" i="4"/>
  <c r="U155" i="4"/>
  <c r="I155" i="4"/>
  <c r="R155" i="4"/>
  <c r="X155" i="4"/>
  <c r="U171" i="4"/>
  <c r="O345" i="4"/>
  <c r="L345" i="4"/>
  <c r="X345" i="4"/>
  <c r="R345" i="4"/>
  <c r="U345" i="4"/>
  <c r="Y708" i="4"/>
  <c r="AA708" i="4" s="1"/>
  <c r="Y354" i="4"/>
  <c r="AA354" i="4" s="1"/>
  <c r="R386" i="4"/>
  <c r="Y385" i="4"/>
  <c r="O510" i="4"/>
  <c r="U510" i="4"/>
  <c r="I510" i="4"/>
  <c r="X510" i="4"/>
  <c r="L510" i="4"/>
  <c r="R510" i="4"/>
  <c r="R287" i="4"/>
  <c r="X287" i="4"/>
  <c r="I287" i="4"/>
  <c r="U294" i="4"/>
  <c r="I294" i="4"/>
  <c r="L294" i="4"/>
  <c r="X294" i="4"/>
  <c r="Q49" i="39"/>
  <c r="U49" i="39" s="1"/>
  <c r="W49" i="39" s="1"/>
  <c r="U57" i="4"/>
  <c r="X914" i="4"/>
  <c r="R294" i="4"/>
  <c r="Y50" i="4"/>
  <c r="AA50" i="4" s="1"/>
  <c r="L361" i="4"/>
  <c r="U233" i="4"/>
  <c r="O233" i="4"/>
  <c r="L233" i="4"/>
  <c r="I233" i="4"/>
  <c r="X233" i="4"/>
  <c r="R233" i="4"/>
  <c r="O778" i="4"/>
  <c r="I778" i="4"/>
  <c r="R778" i="4"/>
  <c r="X778" i="4"/>
  <c r="U778" i="4"/>
  <c r="U635" i="4"/>
  <c r="L500" i="4"/>
  <c r="K38" i="39"/>
  <c r="Y39" i="4"/>
  <c r="AA39" i="4" s="1"/>
  <c r="O709" i="4"/>
  <c r="X366" i="4"/>
  <c r="U366" i="4"/>
  <c r="R366" i="4"/>
  <c r="O919" i="4"/>
  <c r="U919" i="4"/>
  <c r="I919" i="4"/>
  <c r="R919" i="4"/>
  <c r="X919" i="4"/>
  <c r="L919" i="4"/>
  <c r="O228" i="4"/>
  <c r="U228" i="4"/>
  <c r="R228" i="4"/>
  <c r="L228" i="4"/>
  <c r="X228" i="4"/>
  <c r="I228" i="4"/>
  <c r="Y864" i="4"/>
  <c r="AA864" i="4" s="1"/>
  <c r="R363" i="4"/>
  <c r="U363" i="4"/>
  <c r="L363" i="4"/>
  <c r="I363" i="4"/>
  <c r="I366" i="4"/>
  <c r="U670" i="4"/>
  <c r="Y690" i="4"/>
  <c r="AA690" i="4" s="1"/>
  <c r="Y764" i="4"/>
  <c r="AA764" i="4" s="1"/>
  <c r="I773" i="4"/>
  <c r="Y302" i="4"/>
  <c r="AA302" i="4" s="1"/>
  <c r="L148" i="4"/>
  <c r="E21" i="41" s="1"/>
  <c r="Y13" i="4"/>
  <c r="AA13" i="4" s="1"/>
  <c r="O575" i="4"/>
  <c r="U575" i="4"/>
  <c r="R292" i="4"/>
  <c r="L292" i="4"/>
  <c r="O614" i="4"/>
  <c r="L614" i="4"/>
  <c r="X614" i="4"/>
  <c r="I614" i="4"/>
  <c r="R614" i="4"/>
  <c r="O893" i="4"/>
  <c r="U893" i="4"/>
  <c r="R893" i="4"/>
  <c r="I893" i="4"/>
  <c r="L893" i="4"/>
  <c r="X575" i="4"/>
  <c r="H33" i="39"/>
  <c r="Y504" i="4"/>
  <c r="AA504" i="4" s="1"/>
  <c r="AA966" i="4"/>
  <c r="AA967" i="4" s="1"/>
  <c r="Y967" i="4"/>
  <c r="C54" i="28" s="1"/>
  <c r="I915" i="4"/>
  <c r="AA935" i="4"/>
  <c r="AA937" i="4" s="1"/>
  <c r="Y101" i="4"/>
  <c r="Y365" i="4"/>
  <c r="AA365" i="4" s="1"/>
  <c r="N33" i="39"/>
  <c r="O182" i="4"/>
  <c r="U182" i="4"/>
  <c r="I182" i="4"/>
  <c r="R182" i="4"/>
  <c r="X182" i="4"/>
  <c r="L182" i="4"/>
  <c r="L641" i="4"/>
  <c r="R641" i="4"/>
  <c r="U641" i="4"/>
  <c r="I641" i="4"/>
  <c r="O641" i="4"/>
  <c r="X641" i="4"/>
  <c r="O298" i="4"/>
  <c r="U298" i="4"/>
  <c r="X298" i="4"/>
  <c r="I298" i="4"/>
  <c r="R298" i="4"/>
  <c r="L298" i="4"/>
  <c r="Y347" i="4"/>
  <c r="AA347" i="4" s="1"/>
  <c r="N15" i="39"/>
  <c r="K46" i="39"/>
  <c r="Y47" i="4"/>
  <c r="AA47" i="4" s="1"/>
  <c r="O57" i="4"/>
  <c r="Y69" i="4"/>
  <c r="AA69" i="4" s="1"/>
  <c r="AA740" i="4"/>
  <c r="O295" i="4"/>
  <c r="U295" i="4"/>
  <c r="I295" i="4"/>
  <c r="L295" i="4"/>
  <c r="X295" i="4"/>
  <c r="R295" i="4"/>
  <c r="AA199" i="4"/>
  <c r="AA203" i="4" s="1"/>
  <c r="Y203" i="4"/>
  <c r="Y900" i="4"/>
  <c r="AA900" i="4" s="1"/>
  <c r="X915" i="4"/>
  <c r="Y22" i="4"/>
  <c r="AA22" i="4" s="1"/>
  <c r="I861" i="4"/>
  <c r="L861" i="4"/>
  <c r="R861" i="4"/>
  <c r="U506" i="4"/>
  <c r="R506" i="4"/>
  <c r="L506" i="4"/>
  <c r="X506" i="4"/>
  <c r="Y634" i="4"/>
  <c r="AA634" i="4" s="1"/>
  <c r="L364" i="4"/>
  <c r="X364" i="4"/>
  <c r="R364" i="4"/>
  <c r="I364" i="4"/>
  <c r="R53" i="4"/>
  <c r="G9" i="41" s="1"/>
  <c r="Y247" i="4"/>
  <c r="AA247" i="4" s="1"/>
  <c r="Y64" i="4"/>
  <c r="AA64" i="4" s="1"/>
  <c r="AA655" i="4"/>
  <c r="AA657" i="4" s="1"/>
  <c r="Y657" i="4"/>
  <c r="Z884" i="4"/>
  <c r="Z886" i="4" s="1"/>
  <c r="D37" i="28" s="1"/>
  <c r="AA883" i="4"/>
  <c r="AA884" i="4" s="1"/>
  <c r="R581" i="4"/>
  <c r="X581" i="4"/>
  <c r="L581" i="4"/>
  <c r="U581" i="4"/>
  <c r="I581" i="4"/>
  <c r="X707" i="4"/>
  <c r="U707" i="4"/>
  <c r="Y319" i="4"/>
  <c r="AA319" i="4" s="1"/>
  <c r="Y958" i="4"/>
  <c r="C49" i="28" s="1"/>
  <c r="AA957" i="4"/>
  <c r="AA958" i="4" s="1"/>
  <c r="L239" i="4"/>
  <c r="U239" i="4"/>
  <c r="X239" i="4"/>
  <c r="R239" i="4"/>
  <c r="T20" i="39"/>
  <c r="O581" i="4"/>
  <c r="Y741" i="4"/>
  <c r="AA741" i="4" s="1"/>
  <c r="O748" i="4"/>
  <c r="Y157" i="4"/>
  <c r="AA157" i="4" s="1"/>
  <c r="O789" i="4"/>
  <c r="U789" i="4"/>
  <c r="I789" i="4"/>
  <c r="L789" i="4"/>
  <c r="X789" i="4"/>
  <c r="R789" i="4"/>
  <c r="O434" i="4"/>
  <c r="U434" i="4"/>
  <c r="R434" i="4"/>
  <c r="I434" i="4"/>
  <c r="X434" i="4"/>
  <c r="L434" i="4"/>
  <c r="U542" i="4"/>
  <c r="O633" i="4"/>
  <c r="R633" i="4"/>
  <c r="L633" i="4"/>
  <c r="I633" i="4"/>
  <c r="U633" i="4"/>
  <c r="X633" i="4"/>
  <c r="AA873" i="4"/>
  <c r="R605" i="4"/>
  <c r="Y604" i="4"/>
  <c r="Y352" i="4"/>
  <c r="AA352" i="4" s="1"/>
  <c r="Y24" i="4"/>
  <c r="AA24" i="4" s="1"/>
  <c r="I876" i="4"/>
  <c r="Y875" i="4"/>
  <c r="AA875" i="4" s="1"/>
  <c r="L542" i="4"/>
  <c r="Y541" i="4"/>
  <c r="AA541" i="4" s="1"/>
  <c r="O586" i="4"/>
  <c r="L586" i="4"/>
  <c r="I586" i="4"/>
  <c r="U586" i="4"/>
  <c r="X586" i="4"/>
  <c r="R586" i="4"/>
  <c r="O439" i="4"/>
  <c r="U439" i="4"/>
  <c r="L439" i="4"/>
  <c r="I439" i="4"/>
  <c r="X439" i="4"/>
  <c r="R439" i="4"/>
  <c r="O856" i="4"/>
  <c r="L856" i="4"/>
  <c r="U856" i="4"/>
  <c r="I856" i="4"/>
  <c r="X856" i="4"/>
  <c r="R856" i="4"/>
  <c r="O912" i="4"/>
  <c r="U912" i="4"/>
  <c r="X912" i="4"/>
  <c r="L912" i="4"/>
  <c r="I912" i="4"/>
  <c r="R912" i="4"/>
  <c r="I463" i="4"/>
  <c r="Y461" i="4"/>
  <c r="Y19" i="4"/>
  <c r="AA19" i="4" s="1"/>
  <c r="X56" i="4"/>
  <c r="I578" i="4"/>
  <c r="L578" i="4"/>
  <c r="O578" i="4"/>
  <c r="U578" i="4"/>
  <c r="R578" i="4"/>
  <c r="X578" i="4"/>
  <c r="AA92" i="4"/>
  <c r="AA99" i="4" s="1"/>
  <c r="Y99" i="4"/>
  <c r="Z679" i="4"/>
  <c r="Z681" i="4" s="1"/>
  <c r="D34" i="28" s="1"/>
  <c r="AA678" i="4"/>
  <c r="AA679" i="4" s="1"/>
  <c r="R707" i="4"/>
  <c r="K26" i="39"/>
  <c r="L915" i="4"/>
  <c r="Y36" i="4"/>
  <c r="AA36" i="4" s="1"/>
  <c r="Y623" i="4"/>
  <c r="AA623" i="4" s="1"/>
  <c r="T22" i="39"/>
  <c r="O244" i="4"/>
  <c r="I244" i="4"/>
  <c r="X244" i="4"/>
  <c r="U244" i="4"/>
  <c r="R244" i="4"/>
  <c r="L244" i="4"/>
  <c r="O372" i="4"/>
  <c r="I372" i="4"/>
  <c r="U372" i="4"/>
  <c r="L372" i="4"/>
  <c r="X372" i="4"/>
  <c r="R372" i="4"/>
  <c r="U367" i="4"/>
  <c r="O367" i="4"/>
  <c r="I367" i="4"/>
  <c r="X367" i="4"/>
  <c r="L367" i="4"/>
  <c r="R367" i="4"/>
  <c r="Y853" i="4"/>
  <c r="AA853" i="4" s="1"/>
  <c r="O236" i="4"/>
  <c r="I236" i="4"/>
  <c r="L236" i="4"/>
  <c r="X236" i="4"/>
  <c r="U236" i="4"/>
  <c r="R236" i="4"/>
  <c r="Y160" i="4"/>
  <c r="AA160" i="4" s="1"/>
  <c r="AA469" i="4"/>
  <c r="AA470" i="4" s="1"/>
  <c r="Y470" i="4"/>
  <c r="N38" i="39"/>
  <c r="Y781" i="4"/>
  <c r="AA781" i="4" s="1"/>
  <c r="O511" i="4"/>
  <c r="U511" i="4"/>
  <c r="X511" i="4"/>
  <c r="L511" i="4"/>
  <c r="I511" i="4"/>
  <c r="R511" i="4"/>
  <c r="Z825" i="4"/>
  <c r="Z827" i="4" s="1"/>
  <c r="D36" i="28" s="1"/>
  <c r="AA824" i="4"/>
  <c r="AA825" i="4" s="1"/>
  <c r="Y224" i="4"/>
  <c r="AA224" i="4" s="1"/>
  <c r="T33" i="39"/>
  <c r="L707" i="4"/>
  <c r="Y177" i="4"/>
  <c r="AA177" i="4" s="1"/>
  <c r="Y566" i="4"/>
  <c r="AA566" i="4" s="1"/>
  <c r="O920" i="4"/>
  <c r="U920" i="4"/>
  <c r="L920" i="4"/>
  <c r="I920" i="4"/>
  <c r="X920" i="4"/>
  <c r="R920" i="4"/>
  <c r="O715" i="4"/>
  <c r="R715" i="4"/>
  <c r="X715" i="4"/>
  <c r="I715" i="4"/>
  <c r="U715" i="4"/>
  <c r="Y225" i="4"/>
  <c r="AA225" i="4" s="1"/>
  <c r="O784" i="4"/>
  <c r="I784" i="4"/>
  <c r="R784" i="4"/>
  <c r="L784" i="4"/>
  <c r="X784" i="4"/>
  <c r="U784" i="4"/>
  <c r="O431" i="4"/>
  <c r="R431" i="4"/>
  <c r="U431" i="4"/>
  <c r="L431" i="4"/>
  <c r="I431" i="4"/>
  <c r="X431" i="4"/>
  <c r="O174" i="4"/>
  <c r="U174" i="4"/>
  <c r="X174" i="4"/>
  <c r="L174" i="4"/>
  <c r="I174" i="4"/>
  <c r="R174" i="4"/>
  <c r="AA526" i="4"/>
  <c r="AA527" i="4" s="1"/>
  <c r="Y527" i="4"/>
  <c r="L715" i="4"/>
  <c r="E22" i="39"/>
  <c r="I343" i="4"/>
  <c r="R343" i="4"/>
  <c r="L343" i="4"/>
  <c r="U343" i="4"/>
  <c r="X343" i="4"/>
  <c r="O840" i="4"/>
  <c r="X840" i="4"/>
  <c r="R840" i="4"/>
  <c r="L840" i="4"/>
  <c r="I840" i="4"/>
  <c r="U840" i="4"/>
  <c r="H38" i="39"/>
  <c r="Y639" i="4"/>
  <c r="AA639" i="4" s="1"/>
  <c r="O557" i="4"/>
  <c r="U557" i="4"/>
  <c r="I557" i="4"/>
  <c r="R557" i="4"/>
  <c r="X557" i="4"/>
  <c r="L557" i="4"/>
  <c r="AA389" i="4"/>
  <c r="AA391" i="4" s="1"/>
  <c r="Y391" i="4"/>
  <c r="O974" i="4"/>
  <c r="O978" i="4" s="1"/>
  <c r="F62" i="41" s="1"/>
  <c r="F64" i="41" s="1"/>
  <c r="F66" i="41" s="1"/>
  <c r="N962" i="4"/>
  <c r="O962" i="4" s="1"/>
  <c r="O963" i="4" s="1"/>
  <c r="O620" i="4"/>
  <c r="I620" i="4"/>
  <c r="L620" i="4"/>
  <c r="U620" i="4"/>
  <c r="R620" i="4"/>
  <c r="X620" i="4"/>
  <c r="O574" i="4"/>
  <c r="U574" i="4"/>
  <c r="I574" i="4"/>
  <c r="R574" i="4"/>
  <c r="X574" i="4"/>
  <c r="L574" i="4"/>
  <c r="Y580" i="4"/>
  <c r="AA580" i="4" s="1"/>
  <c r="L56" i="4"/>
  <c r="L53" i="4"/>
  <c r="E9" i="41" s="1"/>
  <c r="O413" i="4"/>
  <c r="U413" i="4"/>
  <c r="I413" i="4"/>
  <c r="R413" i="4"/>
  <c r="L413" i="4"/>
  <c r="X413" i="4"/>
  <c r="L711" i="4"/>
  <c r="U711" i="4"/>
  <c r="O711" i="4"/>
  <c r="X711" i="4"/>
  <c r="R711" i="4"/>
  <c r="I711" i="4"/>
  <c r="Y636" i="4"/>
  <c r="AA636" i="4" s="1"/>
  <c r="O179" i="4"/>
  <c r="U179" i="4"/>
  <c r="L179" i="4"/>
  <c r="R179" i="4"/>
  <c r="I179" i="4"/>
  <c r="X179" i="4"/>
  <c r="D64" i="41"/>
  <c r="O80" i="4"/>
  <c r="F13" i="41" s="1"/>
  <c r="Y65" i="4"/>
  <c r="U240" i="4"/>
  <c r="R240" i="4"/>
  <c r="X240" i="4"/>
  <c r="L240" i="4"/>
  <c r="I240" i="4"/>
  <c r="Y320" i="4"/>
  <c r="U326" i="4"/>
  <c r="O858" i="4"/>
  <c r="I858" i="4"/>
  <c r="R858" i="4"/>
  <c r="L858" i="4"/>
  <c r="U858" i="4"/>
  <c r="X858" i="4"/>
  <c r="Y20" i="4"/>
  <c r="AA20" i="4" s="1"/>
  <c r="K20" i="39"/>
  <c r="U274" i="4"/>
  <c r="O274" i="4"/>
  <c r="I274" i="4"/>
  <c r="R274" i="4"/>
  <c r="L274" i="4"/>
  <c r="X274" i="4"/>
  <c r="Y374" i="4"/>
  <c r="AA374" i="4" s="1"/>
  <c r="O832" i="4"/>
  <c r="U832" i="4"/>
  <c r="R832" i="4"/>
  <c r="L832" i="4"/>
  <c r="I832" i="4"/>
  <c r="X832" i="4"/>
  <c r="Y943" i="4"/>
  <c r="O565" i="4"/>
  <c r="U565" i="4"/>
  <c r="R565" i="4"/>
  <c r="I565" i="4"/>
  <c r="L565" i="4"/>
  <c r="X565" i="4"/>
  <c r="R427" i="4"/>
  <c r="O427" i="4"/>
  <c r="X427" i="4"/>
  <c r="U427" i="4"/>
  <c r="L427" i="4"/>
  <c r="I427" i="4"/>
  <c r="O346" i="4"/>
  <c r="U346" i="4"/>
  <c r="L346" i="4"/>
  <c r="I346" i="4"/>
  <c r="R346" i="4"/>
  <c r="X346" i="4"/>
  <c r="O560" i="4"/>
  <c r="U560" i="4"/>
  <c r="I560" i="4"/>
  <c r="R560" i="4"/>
  <c r="L560" i="4"/>
  <c r="X560" i="4"/>
  <c r="Y15" i="4"/>
  <c r="AA15" i="4" s="1"/>
  <c r="U178" i="4"/>
  <c r="R178" i="4"/>
  <c r="I178" i="4"/>
  <c r="O178" i="4"/>
  <c r="X178" i="4"/>
  <c r="L178" i="4"/>
  <c r="Y643" i="4"/>
  <c r="AA643" i="4" s="1"/>
  <c r="AA666" i="4"/>
  <c r="K44" i="39"/>
  <c r="Y45" i="4"/>
  <c r="AA45" i="4" s="1"/>
  <c r="L583" i="4"/>
  <c r="U583" i="4"/>
  <c r="I583" i="4"/>
  <c r="R583" i="4"/>
  <c r="X583" i="4"/>
  <c r="O583" i="4"/>
  <c r="O917" i="4"/>
  <c r="U917" i="4"/>
  <c r="R917" i="4"/>
  <c r="L917" i="4"/>
  <c r="I917" i="4"/>
  <c r="X917" i="4"/>
  <c r="I56" i="4"/>
  <c r="I59" i="4" s="1"/>
  <c r="D11" i="41" s="1"/>
  <c r="Y17" i="4"/>
  <c r="AA17" i="4" s="1"/>
  <c r="L849" i="4"/>
  <c r="U849" i="4"/>
  <c r="I849" i="4"/>
  <c r="O849" i="4"/>
  <c r="X849" i="4"/>
  <c r="R849" i="4"/>
  <c r="O615" i="4"/>
  <c r="U615" i="4"/>
  <c r="L615" i="4"/>
  <c r="R615" i="4"/>
  <c r="I615" i="4"/>
  <c r="X615" i="4"/>
  <c r="O689" i="4"/>
  <c r="I689" i="4"/>
  <c r="R689" i="4"/>
  <c r="L689" i="4"/>
  <c r="U689" i="4"/>
  <c r="X689" i="4"/>
  <c r="Y848" i="4"/>
  <c r="AA848" i="4" s="1"/>
  <c r="O343" i="4"/>
  <c r="I482" i="4"/>
  <c r="U482" i="4"/>
  <c r="L482" i="4"/>
  <c r="X482" i="4"/>
  <c r="R482" i="4"/>
  <c r="U974" i="4"/>
  <c r="U978" i="4" s="1"/>
  <c r="H62" i="41" s="1"/>
  <c r="H64" i="41" s="1"/>
  <c r="H66" i="41" s="1"/>
  <c r="T962" i="4"/>
  <c r="U962" i="4" s="1"/>
  <c r="U963" i="4" s="1"/>
  <c r="R282" i="4"/>
  <c r="I282" i="4"/>
  <c r="U282" i="4"/>
  <c r="L282" i="4"/>
  <c r="O282" i="4"/>
  <c r="X282" i="4"/>
  <c r="Y437" i="4"/>
  <c r="AA437" i="4" s="1"/>
  <c r="T38" i="39"/>
  <c r="I703" i="4"/>
  <c r="O703" i="4"/>
  <c r="U703" i="4"/>
  <c r="R703" i="4"/>
  <c r="L703" i="4"/>
  <c r="X703" i="4"/>
  <c r="E33" i="39"/>
  <c r="Y175" i="4"/>
  <c r="AA175" i="4" s="1"/>
  <c r="O277" i="4"/>
  <c r="U277" i="4"/>
  <c r="I277" i="4"/>
  <c r="L277" i="4"/>
  <c r="X277" i="4"/>
  <c r="R277" i="4"/>
  <c r="K43" i="39"/>
  <c r="Y306" i="4"/>
  <c r="AA306" i="4" s="1"/>
  <c r="Y37" i="4"/>
  <c r="AA37" i="4" s="1"/>
  <c r="AA453" i="4"/>
  <c r="AA455" i="4" s="1"/>
  <c r="Y455" i="4"/>
  <c r="R300" i="4"/>
  <c r="O300" i="4"/>
  <c r="U300" i="4"/>
  <c r="X300" i="4"/>
  <c r="L300" i="4"/>
  <c r="I300" i="4"/>
  <c r="O638" i="4"/>
  <c r="U638" i="4"/>
  <c r="X638" i="4"/>
  <c r="I638" i="4"/>
  <c r="R638" i="4"/>
  <c r="L638" i="4"/>
  <c r="R974" i="4"/>
  <c r="Q962" i="4"/>
  <c r="R962" i="4" s="1"/>
  <c r="Y891" i="4"/>
  <c r="O215" i="4"/>
  <c r="R215" i="4"/>
  <c r="X215" i="4"/>
  <c r="U215" i="4"/>
  <c r="L215" i="4"/>
  <c r="I215" i="4"/>
  <c r="L974" i="4"/>
  <c r="L978" i="4" s="1"/>
  <c r="E62" i="41" s="1"/>
  <c r="E64" i="41" s="1"/>
  <c r="E66" i="41" s="1"/>
  <c r="K962" i="4"/>
  <c r="L962" i="4" s="1"/>
  <c r="L963" i="4" s="1"/>
  <c r="O768" i="4"/>
  <c r="L768" i="4"/>
  <c r="X768" i="4"/>
  <c r="U768" i="4"/>
  <c r="I768" i="4"/>
  <c r="R768" i="4"/>
  <c r="L499" i="4"/>
  <c r="O499" i="4"/>
  <c r="I499" i="4"/>
  <c r="R499" i="4"/>
  <c r="U499" i="4"/>
  <c r="X499" i="4"/>
  <c r="Y700" i="4"/>
  <c r="AA700" i="4" s="1"/>
  <c r="Y283" i="4"/>
  <c r="AA283" i="4" s="1"/>
  <c r="N20" i="39"/>
  <c r="O763" i="4"/>
  <c r="L763" i="4"/>
  <c r="U763" i="4"/>
  <c r="X763" i="4"/>
  <c r="I763" i="4"/>
  <c r="R763" i="4"/>
  <c r="U916" i="4"/>
  <c r="O916" i="4"/>
  <c r="X916" i="4"/>
  <c r="I916" i="4"/>
  <c r="R916" i="4"/>
  <c r="L916" i="4"/>
  <c r="U857" i="4"/>
  <c r="L857" i="4"/>
  <c r="R857" i="4"/>
  <c r="O857" i="4"/>
  <c r="X857" i="4"/>
  <c r="I857" i="4"/>
  <c r="Y43" i="4"/>
  <c r="AA43" i="4" s="1"/>
  <c r="O369" i="4"/>
  <c r="R369" i="4"/>
  <c r="U369" i="4"/>
  <c r="X369" i="4"/>
  <c r="I369" i="4"/>
  <c r="L369" i="4"/>
  <c r="O241" i="4"/>
  <c r="U241" i="4"/>
  <c r="X241" i="4"/>
  <c r="R241" i="4"/>
  <c r="I241" i="4"/>
  <c r="L241" i="4"/>
  <c r="O351" i="4"/>
  <c r="U351" i="4"/>
  <c r="R351" i="4"/>
  <c r="L351" i="4"/>
  <c r="I351" i="4"/>
  <c r="X351" i="4"/>
  <c r="Y29" i="4"/>
  <c r="AA29" i="4" s="1"/>
  <c r="X974" i="4"/>
  <c r="X978" i="4" s="1"/>
  <c r="I62" i="41" s="1"/>
  <c r="I64" i="41" s="1"/>
  <c r="I66" i="41" s="1"/>
  <c r="W962" i="4"/>
  <c r="X962" i="4" s="1"/>
  <c r="X963" i="4" s="1"/>
  <c r="O490" i="4"/>
  <c r="L490" i="4"/>
  <c r="U490" i="4"/>
  <c r="R490" i="4"/>
  <c r="I490" i="4"/>
  <c r="X490" i="4"/>
  <c r="Y140" i="4"/>
  <c r="R148" i="4"/>
  <c r="G21" i="41" s="1"/>
  <c r="O908" i="4"/>
  <c r="U908" i="4"/>
  <c r="R908" i="4"/>
  <c r="L908" i="4"/>
  <c r="I908" i="4"/>
  <c r="X908" i="4"/>
  <c r="O485" i="4"/>
  <c r="U485" i="4"/>
  <c r="X485" i="4"/>
  <c r="R485" i="4"/>
  <c r="L485" i="4"/>
  <c r="I485" i="4"/>
  <c r="R785" i="4"/>
  <c r="O785" i="4"/>
  <c r="L785" i="4"/>
  <c r="X785" i="4"/>
  <c r="U785" i="4"/>
  <c r="I785" i="4"/>
  <c r="Y865" i="4"/>
  <c r="AA865" i="4" s="1"/>
  <c r="X712" i="4"/>
  <c r="O712" i="4"/>
  <c r="U712" i="4"/>
  <c r="R712" i="4"/>
  <c r="L712" i="4"/>
  <c r="I712" i="4"/>
  <c r="U786" i="4"/>
  <c r="O786" i="4"/>
  <c r="I786" i="4"/>
  <c r="X786" i="4"/>
  <c r="R786" i="4"/>
  <c r="L786" i="4"/>
  <c r="Y265" i="4"/>
  <c r="R267" i="4"/>
  <c r="O835" i="4"/>
  <c r="X835" i="4"/>
  <c r="R835" i="4"/>
  <c r="L835" i="4"/>
  <c r="I835" i="4"/>
  <c r="U835" i="4"/>
  <c r="O156" i="4"/>
  <c r="U156" i="4"/>
  <c r="X156" i="4"/>
  <c r="I156" i="4"/>
  <c r="R156" i="4"/>
  <c r="L156" i="4"/>
  <c r="I435" i="4"/>
  <c r="O435" i="4"/>
  <c r="U435" i="4"/>
  <c r="L435" i="4"/>
  <c r="R435" i="4"/>
  <c r="X435" i="4"/>
  <c r="O56" i="4"/>
  <c r="Y12" i="4"/>
  <c r="O53" i="4"/>
  <c r="F9" i="41" s="1"/>
  <c r="O760" i="4"/>
  <c r="U760" i="4"/>
  <c r="I760" i="4"/>
  <c r="R760" i="4"/>
  <c r="X760" i="4"/>
  <c r="L760" i="4"/>
  <c r="X170" i="4"/>
  <c r="R170" i="4"/>
  <c r="I170" i="4"/>
  <c r="U170" i="4"/>
  <c r="L170" i="4"/>
  <c r="U612" i="4"/>
  <c r="R612" i="4"/>
  <c r="L612" i="4"/>
  <c r="X612" i="4"/>
  <c r="I612" i="4"/>
  <c r="O686" i="4"/>
  <c r="L686" i="4"/>
  <c r="I686" i="4"/>
  <c r="U686" i="4"/>
  <c r="X686" i="4"/>
  <c r="R686" i="4"/>
  <c r="O223" i="4"/>
  <c r="U223" i="4"/>
  <c r="X223" i="4"/>
  <c r="L223" i="4"/>
  <c r="R223" i="4"/>
  <c r="I223" i="4"/>
  <c r="X629" i="4"/>
  <c r="U629" i="4"/>
  <c r="R629" i="4"/>
  <c r="L629" i="4"/>
  <c r="O629" i="4"/>
  <c r="I629" i="4"/>
  <c r="O360" i="4"/>
  <c r="I360" i="4"/>
  <c r="R360" i="4"/>
  <c r="U360" i="4"/>
  <c r="X360" i="4"/>
  <c r="L360" i="4"/>
  <c r="Y429" i="4"/>
  <c r="AA429" i="4" s="1"/>
  <c r="Y628" i="4"/>
  <c r="AA628" i="4" s="1"/>
  <c r="O240" i="4"/>
  <c r="O894" i="4"/>
  <c r="U894" i="4"/>
  <c r="R894" i="4"/>
  <c r="L894" i="4"/>
  <c r="X894" i="4"/>
  <c r="I894" i="4"/>
  <c r="O218" i="4"/>
  <c r="L218" i="4"/>
  <c r="X218" i="4"/>
  <c r="U218" i="4"/>
  <c r="I218" i="4"/>
  <c r="R218" i="4"/>
  <c r="O507" i="4"/>
  <c r="U507" i="4"/>
  <c r="I507" i="4"/>
  <c r="X507" i="4"/>
  <c r="R507" i="4"/>
  <c r="L507" i="4"/>
  <c r="U56" i="4"/>
  <c r="U53" i="4"/>
  <c r="H9" i="41" s="1"/>
  <c r="O436" i="4"/>
  <c r="I436" i="4"/>
  <c r="U436" i="4"/>
  <c r="X436" i="4"/>
  <c r="L436" i="4"/>
  <c r="R436" i="4"/>
  <c r="I508" i="4"/>
  <c r="O508" i="4"/>
  <c r="R508" i="4"/>
  <c r="X508" i="4"/>
  <c r="U508" i="4"/>
  <c r="L508" i="4"/>
  <c r="Y38" i="4"/>
  <c r="AA38" i="4" s="1"/>
  <c r="H18" i="39" l="1"/>
  <c r="AA814" i="4"/>
  <c r="Y898" i="4"/>
  <c r="AA898" i="4" s="1"/>
  <c r="Y512" i="4"/>
  <c r="AA512" i="4" s="1"/>
  <c r="H42" i="39"/>
  <c r="Y222" i="4"/>
  <c r="AA222" i="4" s="1"/>
  <c r="Y227" i="4"/>
  <c r="AA227" i="4" s="1"/>
  <c r="Y154" i="4"/>
  <c r="AA154" i="4" s="1"/>
  <c r="Y503" i="4"/>
  <c r="AA503" i="4" s="1"/>
  <c r="Y286" i="4"/>
  <c r="AA286" i="4" s="1"/>
  <c r="Y422" i="4"/>
  <c r="AA422" i="4" s="1"/>
  <c r="Y770" i="4"/>
  <c r="AA770" i="4" s="1"/>
  <c r="Y838" i="4"/>
  <c r="AA838" i="4" s="1"/>
  <c r="H43" i="39"/>
  <c r="U43" i="39" s="1"/>
  <c r="W43" i="39" s="1"/>
  <c r="Y513" i="4"/>
  <c r="AA513" i="4" s="1"/>
  <c r="Y220" i="4"/>
  <c r="AA220" i="4" s="1"/>
  <c r="Y776" i="4"/>
  <c r="AA776" i="4" s="1"/>
  <c r="Y714" i="4"/>
  <c r="AA714" i="4" s="1"/>
  <c r="K23" i="39"/>
  <c r="Y371" i="4"/>
  <c r="AA371" i="4" s="1"/>
  <c r="Y589" i="4"/>
  <c r="AA589" i="4" s="1"/>
  <c r="K18" i="39"/>
  <c r="Y642" i="4"/>
  <c r="AA642" i="4" s="1"/>
  <c r="Y766" i="4"/>
  <c r="AA766" i="4" s="1"/>
  <c r="N25" i="39"/>
  <c r="Y845" i="4"/>
  <c r="AA845" i="4" s="1"/>
  <c r="Y183" i="4"/>
  <c r="AA183" i="4" s="1"/>
  <c r="G6" i="46"/>
  <c r="E51" i="28"/>
  <c r="G10" i="46"/>
  <c r="O6" i="46" s="1"/>
  <c r="O10" i="46" s="1"/>
  <c r="O8" i="46" s="1"/>
  <c r="S30" i="46"/>
  <c r="E18" i="39"/>
  <c r="Y692" i="4"/>
  <c r="AA692" i="4" s="1"/>
  <c r="E25" i="39"/>
  <c r="Y350" i="4"/>
  <c r="AA350" i="4" s="1"/>
  <c r="N30" i="39"/>
  <c r="Y305" i="4"/>
  <c r="AA305" i="4" s="1"/>
  <c r="Y505" i="4"/>
  <c r="AA505" i="4" s="1"/>
  <c r="K30" i="39"/>
  <c r="Y619" i="4"/>
  <c r="AA619" i="4" s="1"/>
  <c r="U46" i="39"/>
  <c r="W46" i="39" s="1"/>
  <c r="E30" i="39"/>
  <c r="K16" i="39"/>
  <c r="Q25" i="39"/>
  <c r="O59" i="4"/>
  <c r="F11" i="41" s="1"/>
  <c r="Y842" i="4"/>
  <c r="AA842" i="4" s="1"/>
  <c r="Y863" i="4"/>
  <c r="AA863" i="4" s="1"/>
  <c r="E41" i="39"/>
  <c r="Y246" i="4"/>
  <c r="AA246" i="4" s="1"/>
  <c r="T30" i="39"/>
  <c r="Y410" i="4"/>
  <c r="AA410" i="4" s="1"/>
  <c r="E22" i="28"/>
  <c r="Q42" i="39"/>
  <c r="Y569" i="4"/>
  <c r="AA569" i="4" s="1"/>
  <c r="Y496" i="4"/>
  <c r="AA496" i="4" s="1"/>
  <c r="K42" i="39"/>
  <c r="Y494" i="4"/>
  <c r="AA494" i="4" s="1"/>
  <c r="Y670" i="4"/>
  <c r="Y861" i="4"/>
  <c r="AA861" i="4" s="1"/>
  <c r="Q41" i="39"/>
  <c r="Y500" i="4"/>
  <c r="AA500" i="4" s="1"/>
  <c r="T18" i="39"/>
  <c r="Y588" i="4"/>
  <c r="AA588" i="4" s="1"/>
  <c r="Y767" i="4"/>
  <c r="AA767" i="4" s="1"/>
  <c r="Y915" i="4"/>
  <c r="AA915" i="4" s="1"/>
  <c r="AA670" i="4"/>
  <c r="N42" i="39"/>
  <c r="Y914" i="4"/>
  <c r="AA914" i="4" s="1"/>
  <c r="Y710" i="4"/>
  <c r="AA710" i="4" s="1"/>
  <c r="Y440" i="4"/>
  <c r="AA440" i="4" s="1"/>
  <c r="Y851" i="4"/>
  <c r="AA851" i="4" s="1"/>
  <c r="Y587" i="4"/>
  <c r="AA587" i="4" s="1"/>
  <c r="Y304" i="4"/>
  <c r="AA304" i="4" s="1"/>
  <c r="Y688" i="4"/>
  <c r="AA688" i="4" s="1"/>
  <c r="Y814" i="4"/>
  <c r="Y632" i="4"/>
  <c r="AA632" i="4" s="1"/>
  <c r="Y232" i="4"/>
  <c r="AA232" i="4" s="1"/>
  <c r="E23" i="39"/>
  <c r="Y772" i="4"/>
  <c r="AA772" i="4" s="1"/>
  <c r="Y839" i="4"/>
  <c r="AA839" i="4" s="1"/>
  <c r="U59" i="4"/>
  <c r="H11" i="41" s="1"/>
  <c r="Y176" i="4"/>
  <c r="AA176" i="4" s="1"/>
  <c r="U15" i="39"/>
  <c r="W15" i="39" s="1"/>
  <c r="Y702" i="4"/>
  <c r="AA702" i="4" s="1"/>
  <c r="Y221" i="4"/>
  <c r="AA221" i="4" s="1"/>
  <c r="H20" i="39"/>
  <c r="U20" i="39" s="1"/>
  <c r="W20" i="39" s="1"/>
  <c r="Y790" i="4"/>
  <c r="AA790" i="4" s="1"/>
  <c r="Y292" i="4"/>
  <c r="AA292" i="4" s="1"/>
  <c r="Y783" i="4"/>
  <c r="AA783" i="4" s="1"/>
  <c r="Y765" i="4"/>
  <c r="AA765" i="4" s="1"/>
  <c r="E42" i="39"/>
  <c r="Y582" i="4"/>
  <c r="AA582" i="4" s="1"/>
  <c r="Y905" i="4"/>
  <c r="AA905" i="4" s="1"/>
  <c r="Y234" i="4"/>
  <c r="AA234" i="4" s="1"/>
  <c r="H41" i="39"/>
  <c r="Y704" i="4"/>
  <c r="AA704" i="4" s="1"/>
  <c r="Y303" i="4"/>
  <c r="AA303" i="4" s="1"/>
  <c r="Y617" i="4"/>
  <c r="AA617" i="4" s="1"/>
  <c r="Y290" i="4"/>
  <c r="AA290" i="4" s="1"/>
  <c r="Y921" i="4"/>
  <c r="AA921" i="4" s="1"/>
  <c r="Y441" i="4"/>
  <c r="AA441" i="4" s="1"/>
  <c r="J13" i="41"/>
  <c r="Y707" i="4"/>
  <c r="AA707" i="4" s="1"/>
  <c r="Y562" i="4"/>
  <c r="AA562" i="4" s="1"/>
  <c r="Y687" i="4"/>
  <c r="AA687" i="4" s="1"/>
  <c r="Y618" i="4"/>
  <c r="AA618" i="4" s="1"/>
  <c r="Y779" i="4"/>
  <c r="AA779" i="4" s="1"/>
  <c r="T32" i="39"/>
  <c r="K12" i="39"/>
  <c r="Y489" i="4"/>
  <c r="AA489" i="4" s="1"/>
  <c r="Y570" i="4"/>
  <c r="AA570" i="4" s="1"/>
  <c r="N18" i="39"/>
  <c r="Y576" i="4"/>
  <c r="AA576" i="4" s="1"/>
  <c r="Y862" i="4"/>
  <c r="AA862" i="4" s="1"/>
  <c r="Q30" i="39"/>
  <c r="Y424" i="4"/>
  <c r="AA424" i="4" s="1"/>
  <c r="Q24" i="39"/>
  <c r="Y397" i="4"/>
  <c r="T21" i="39"/>
  <c r="K17" i="39"/>
  <c r="Y637" i="4"/>
  <c r="AA637" i="4" s="1"/>
  <c r="H30" i="39"/>
  <c r="Y417" i="4"/>
  <c r="AA417" i="4" s="1"/>
  <c r="K41" i="39"/>
  <c r="Y287" i="4"/>
  <c r="AA287" i="4" s="1"/>
  <c r="Q21" i="39"/>
  <c r="T25" i="39"/>
  <c r="Y167" i="4"/>
  <c r="AA167" i="4" s="1"/>
  <c r="E29" i="39"/>
  <c r="T17" i="39"/>
  <c r="Y901" i="4"/>
  <c r="AA901" i="4" s="1"/>
  <c r="T23" i="39"/>
  <c r="Y624" i="4"/>
  <c r="AA624" i="4" s="1"/>
  <c r="T41" i="39"/>
  <c r="K27" i="39"/>
  <c r="H21" i="39"/>
  <c r="Y491" i="4"/>
  <c r="AA491" i="4" s="1"/>
  <c r="Y281" i="4"/>
  <c r="AA281" i="4" s="1"/>
  <c r="Y299" i="4"/>
  <c r="AA299" i="4" s="1"/>
  <c r="Y373" i="4"/>
  <c r="AA373" i="4" s="1"/>
  <c r="Y159" i="4"/>
  <c r="AA159" i="4" s="1"/>
  <c r="Y820" i="4"/>
  <c r="Y498" i="4"/>
  <c r="AA498" i="4" s="1"/>
  <c r="K34" i="39"/>
  <c r="Y716" i="4"/>
  <c r="AA716" i="4" s="1"/>
  <c r="Y238" i="4"/>
  <c r="AA238" i="4" s="1"/>
  <c r="N34" i="39"/>
  <c r="Y675" i="4"/>
  <c r="Y573" i="4"/>
  <c r="AA573" i="4" s="1"/>
  <c r="Y910" i="4"/>
  <c r="AA910" i="4" s="1"/>
  <c r="AA397" i="4"/>
  <c r="K24" i="39"/>
  <c r="K31" i="39"/>
  <c r="T31" i="39"/>
  <c r="N41" i="39"/>
  <c r="Y696" i="4"/>
  <c r="AA696" i="4" s="1"/>
  <c r="Y275" i="4"/>
  <c r="AA275" i="4" s="1"/>
  <c r="Y922" i="4"/>
  <c r="AA922" i="4" s="1"/>
  <c r="Q18" i="39"/>
  <c r="Y774" i="4"/>
  <c r="AA774" i="4" s="1"/>
  <c r="T42" i="39"/>
  <c r="Y788" i="4"/>
  <c r="AA788" i="4" s="1"/>
  <c r="E34" i="39"/>
  <c r="Y558" i="4"/>
  <c r="AA558" i="4" s="1"/>
  <c r="Y288" i="4"/>
  <c r="AA288" i="4" s="1"/>
  <c r="H23" i="39"/>
  <c r="E13" i="39"/>
  <c r="Y761" i="4"/>
  <c r="AA761" i="4" s="1"/>
  <c r="Y691" i="4"/>
  <c r="AA691" i="4" s="1"/>
  <c r="Y709" i="4"/>
  <c r="AA709" i="4" s="1"/>
  <c r="T29" i="39"/>
  <c r="Y911" i="4"/>
  <c r="AA911" i="4" s="1"/>
  <c r="Y279" i="4"/>
  <c r="AA279" i="4" s="1"/>
  <c r="Y896" i="4"/>
  <c r="AA896" i="4" s="1"/>
  <c r="C7" i="46"/>
  <c r="Y411" i="4"/>
  <c r="AA411" i="4" s="1"/>
  <c r="J21" i="41"/>
  <c r="H12" i="39"/>
  <c r="Y57" i="4"/>
  <c r="AA57" i="4" s="1"/>
  <c r="Y719" i="4"/>
  <c r="AA719" i="4" s="1"/>
  <c r="Y833" i="4"/>
  <c r="AA833" i="4" s="1"/>
  <c r="Y892" i="4"/>
  <c r="AA892" i="4" s="1"/>
  <c r="Y483" i="4"/>
  <c r="AA483" i="4" s="1"/>
  <c r="T27" i="39"/>
  <c r="Q23" i="39"/>
  <c r="H25" i="39"/>
  <c r="Q19" i="39"/>
  <c r="O928" i="4"/>
  <c r="O929" i="4" s="1"/>
  <c r="AA542" i="4"/>
  <c r="L59" i="4"/>
  <c r="E11" i="41" s="1"/>
  <c r="E22" i="41" s="1"/>
  <c r="E24" i="41" s="1"/>
  <c r="E26" i="41" s="1"/>
  <c r="Y433" i="4"/>
  <c r="AA433" i="4" s="1"/>
  <c r="Y276" i="4"/>
  <c r="AA276" i="4" s="1"/>
  <c r="Q16" i="39"/>
  <c r="Y216" i="4"/>
  <c r="AA216" i="4" s="1"/>
  <c r="Y158" i="4"/>
  <c r="AA158" i="4" s="1"/>
  <c r="Y777" i="4"/>
  <c r="AA777" i="4" s="1"/>
  <c r="Y280" i="4"/>
  <c r="AA280" i="4" s="1"/>
  <c r="N27" i="39"/>
  <c r="Y349" i="4"/>
  <c r="AA349" i="4" s="1"/>
  <c r="K25" i="39"/>
  <c r="U26" i="39"/>
  <c r="W26" i="39" s="1"/>
  <c r="E17" i="39"/>
  <c r="Y344" i="4"/>
  <c r="AA344" i="4" s="1"/>
  <c r="Y506" i="4"/>
  <c r="AA506" i="4" s="1"/>
  <c r="T13" i="39"/>
  <c r="Y361" i="4"/>
  <c r="AA361" i="4" s="1"/>
  <c r="N21" i="39"/>
  <c r="Y613" i="4"/>
  <c r="AA613" i="4" s="1"/>
  <c r="H34" i="39"/>
  <c r="U22" i="39"/>
  <c r="W22" i="39" s="1"/>
  <c r="Q31" i="39"/>
  <c r="Y366" i="4"/>
  <c r="AA366" i="4" s="1"/>
  <c r="Y428" i="4"/>
  <c r="AA428" i="4" s="1"/>
  <c r="E21" i="39"/>
  <c r="E12" i="39"/>
  <c r="Y233" i="4"/>
  <c r="AA233" i="4" s="1"/>
  <c r="T12" i="39"/>
  <c r="E31" i="39"/>
  <c r="Y834" i="4"/>
  <c r="AA834" i="4" s="1"/>
  <c r="Y165" i="4"/>
  <c r="AA165" i="4" s="1"/>
  <c r="H27" i="39"/>
  <c r="H31" i="39"/>
  <c r="R59" i="4"/>
  <c r="G11" i="41" s="1"/>
  <c r="G22" i="41" s="1"/>
  <c r="G24" i="41" s="1"/>
  <c r="G26" i="41" s="1"/>
  <c r="E32" i="39"/>
  <c r="X59" i="4"/>
  <c r="I11" i="41" s="1"/>
  <c r="I22" i="41" s="1"/>
  <c r="I24" i="41" s="1"/>
  <c r="I26" i="41" s="1"/>
  <c r="E35" i="39"/>
  <c r="Y364" i="4"/>
  <c r="AA364" i="4" s="1"/>
  <c r="Y484" i="4"/>
  <c r="AA484" i="4" s="1"/>
  <c r="Y356" i="4"/>
  <c r="AA356" i="4" s="1"/>
  <c r="H39" i="39"/>
  <c r="H24" i="39"/>
  <c r="N12" i="39"/>
  <c r="H16" i="39"/>
  <c r="E16" i="39"/>
  <c r="Y492" i="4"/>
  <c r="AA492" i="4" s="1"/>
  <c r="Q12" i="39"/>
  <c r="Y431" i="4"/>
  <c r="AA431" i="4" s="1"/>
  <c r="Y236" i="4"/>
  <c r="AA236" i="4" s="1"/>
  <c r="H35" i="39"/>
  <c r="Q35" i="39"/>
  <c r="Y635" i="4"/>
  <c r="AA635" i="4" s="1"/>
  <c r="Y412" i="4"/>
  <c r="AA412" i="4" s="1"/>
  <c r="Y762" i="4"/>
  <c r="AA762" i="4" s="1"/>
  <c r="E27" i="39"/>
  <c r="Y284" i="4"/>
  <c r="AA284" i="4" s="1"/>
  <c r="Y403" i="4"/>
  <c r="K40" i="39"/>
  <c r="Y235" i="4"/>
  <c r="AA235" i="4" s="1"/>
  <c r="T34" i="39"/>
  <c r="K29" i="39"/>
  <c r="Y488" i="4"/>
  <c r="AA488" i="4" s="1"/>
  <c r="U44" i="39"/>
  <c r="W44" i="39" s="1"/>
  <c r="Y575" i="4"/>
  <c r="AA575" i="4" s="1"/>
  <c r="K13" i="39"/>
  <c r="N17" i="39"/>
  <c r="Y359" i="4"/>
  <c r="AA359" i="4" s="1"/>
  <c r="Y907" i="4"/>
  <c r="AA907" i="4" s="1"/>
  <c r="Y426" i="4"/>
  <c r="AA426" i="4" s="1"/>
  <c r="N16" i="39"/>
  <c r="Z980" i="4"/>
  <c r="Z984" i="4" s="1"/>
  <c r="Q29" i="39"/>
  <c r="Y852" i="4"/>
  <c r="AA852" i="4" s="1"/>
  <c r="Y430" i="4"/>
  <c r="AA430" i="4" s="1"/>
  <c r="K39" i="39"/>
  <c r="Y217" i="4"/>
  <c r="AA217" i="4" s="1"/>
  <c r="N29" i="39"/>
  <c r="E39" i="39"/>
  <c r="T16" i="39"/>
  <c r="Q17" i="39"/>
  <c r="Y897" i="4"/>
  <c r="AA897" i="4" s="1"/>
  <c r="Q27" i="39"/>
  <c r="Y416" i="4"/>
  <c r="AA416" i="4" s="1"/>
  <c r="U33" i="39"/>
  <c r="W33" i="39" s="1"/>
  <c r="N23" i="39"/>
  <c r="Y291" i="4"/>
  <c r="AA291" i="4" s="1"/>
  <c r="H17" i="39"/>
  <c r="Y567" i="4"/>
  <c r="AA567" i="4" s="1"/>
  <c r="K21" i="39"/>
  <c r="N13" i="39"/>
  <c r="T35" i="39"/>
  <c r="AA876" i="4"/>
  <c r="Y363" i="4"/>
  <c r="AA363" i="4" s="1"/>
  <c r="Q34" i="39"/>
  <c r="Y699" i="4"/>
  <c r="AA699" i="4" s="1"/>
  <c r="T24" i="39"/>
  <c r="AA331" i="4"/>
  <c r="AA336" i="4" s="1"/>
  <c r="Y336" i="4"/>
  <c r="Q32" i="39"/>
  <c r="K35" i="39"/>
  <c r="Y641" i="4"/>
  <c r="AA641" i="4" s="1"/>
  <c r="Y893" i="4"/>
  <c r="AA893" i="4" s="1"/>
  <c r="Y294" i="4"/>
  <c r="AA294" i="4" s="1"/>
  <c r="N31" i="39"/>
  <c r="Q28" i="39"/>
  <c r="Y849" i="4"/>
  <c r="AA849" i="4" s="1"/>
  <c r="D38" i="28"/>
  <c r="D57" i="28" s="1"/>
  <c r="D68" i="28" s="1"/>
  <c r="K32" i="39"/>
  <c r="Y919" i="4"/>
  <c r="AA919" i="4" s="1"/>
  <c r="Y345" i="4"/>
  <c r="AA345" i="4" s="1"/>
  <c r="Y155" i="4"/>
  <c r="AA155" i="4" s="1"/>
  <c r="Y438" i="4"/>
  <c r="AA438" i="4" s="1"/>
  <c r="Y243" i="4"/>
  <c r="AA243" i="4" s="1"/>
  <c r="Y773" i="4"/>
  <c r="AA773" i="4" s="1"/>
  <c r="Y559" i="4"/>
  <c r="AA559" i="4" s="1"/>
  <c r="AA385" i="4"/>
  <c r="AA386" i="4" s="1"/>
  <c r="Y386" i="4"/>
  <c r="Y630" i="4"/>
  <c r="AA630" i="4" s="1"/>
  <c r="Y780" i="4"/>
  <c r="AA780" i="4" s="1"/>
  <c r="Y585" i="4"/>
  <c r="AA585" i="4" s="1"/>
  <c r="H29" i="39"/>
  <c r="Y850" i="4"/>
  <c r="AA850" i="4" s="1"/>
  <c r="Y860" i="4"/>
  <c r="AA860" i="4" s="1"/>
  <c r="Y625" i="4"/>
  <c r="AA625" i="4" s="1"/>
  <c r="Y282" i="4"/>
  <c r="AA282" i="4" s="1"/>
  <c r="J9" i="41"/>
  <c r="N24" i="39"/>
  <c r="Y784" i="4"/>
  <c r="AA784" i="4" s="1"/>
  <c r="Y614" i="4"/>
  <c r="AA614" i="4" s="1"/>
  <c r="H13" i="39"/>
  <c r="Q13" i="39"/>
  <c r="Q39" i="39"/>
  <c r="H14" i="39"/>
  <c r="Y712" i="4"/>
  <c r="AA712" i="4" s="1"/>
  <c r="Y912" i="4"/>
  <c r="AA912" i="4" s="1"/>
  <c r="Y228" i="4"/>
  <c r="AA228" i="4" s="1"/>
  <c r="Y778" i="4"/>
  <c r="AA778" i="4" s="1"/>
  <c r="Y510" i="4"/>
  <c r="AA510" i="4" s="1"/>
  <c r="T39" i="39"/>
  <c r="Y423" i="4"/>
  <c r="AA423" i="4" s="1"/>
  <c r="Y909" i="4"/>
  <c r="AA909" i="4" s="1"/>
  <c r="E24" i="39"/>
  <c r="Y171" i="4"/>
  <c r="AA171" i="4" s="1"/>
  <c r="T19" i="39"/>
  <c r="T40" i="39"/>
  <c r="Y181" i="4"/>
  <c r="AA181" i="4" s="1"/>
  <c r="N39" i="39"/>
  <c r="Y640" i="4"/>
  <c r="AA640" i="4" s="1"/>
  <c r="C21" i="28"/>
  <c r="AA106" i="4"/>
  <c r="Y166" i="4"/>
  <c r="AA166" i="4" s="1"/>
  <c r="E37" i="39"/>
  <c r="Y174" i="4"/>
  <c r="AA174" i="4" s="1"/>
  <c r="Y920" i="4"/>
  <c r="AA920" i="4" s="1"/>
  <c r="H32" i="39"/>
  <c r="Y372" i="4"/>
  <c r="AA372" i="4" s="1"/>
  <c r="AA461" i="4"/>
  <c r="AA463" i="4" s="1"/>
  <c r="Y463" i="4"/>
  <c r="Y856" i="4"/>
  <c r="AA856" i="4" s="1"/>
  <c r="N35" i="39"/>
  <c r="Y436" i="4"/>
  <c r="AA436" i="4" s="1"/>
  <c r="Y218" i="4"/>
  <c r="AA218" i="4" s="1"/>
  <c r="N32" i="39"/>
  <c r="O646" i="4"/>
  <c r="Y542" i="4"/>
  <c r="K37" i="39"/>
  <c r="Y367" i="4"/>
  <c r="AA367" i="4" s="1"/>
  <c r="Y876" i="4"/>
  <c r="H40" i="39"/>
  <c r="Q37" i="39"/>
  <c r="Y857" i="4"/>
  <c r="AA857" i="4" s="1"/>
  <c r="H36" i="39"/>
  <c r="E54" i="28"/>
  <c r="F54" i="28"/>
  <c r="H54" i="28" s="1"/>
  <c r="O925" i="4"/>
  <c r="Y277" i="4"/>
  <c r="AA277" i="4" s="1"/>
  <c r="K36" i="39"/>
  <c r="Y511" i="4"/>
  <c r="AA511" i="4" s="1"/>
  <c r="Y434" i="4"/>
  <c r="AA434" i="4" s="1"/>
  <c r="Y182" i="4"/>
  <c r="AA182" i="4" s="1"/>
  <c r="N40" i="39"/>
  <c r="Y435" i="4"/>
  <c r="AA435" i="4" s="1"/>
  <c r="Y763" i="4"/>
  <c r="AA763" i="4" s="1"/>
  <c r="E40" i="39"/>
  <c r="Y586" i="4"/>
  <c r="AA586" i="4" s="1"/>
  <c r="F49" i="28"/>
  <c r="H49" i="28" s="1"/>
  <c r="E49" i="28"/>
  <c r="Y295" i="4"/>
  <c r="AA295" i="4" s="1"/>
  <c r="Y748" i="4"/>
  <c r="K19" i="39"/>
  <c r="C20" i="28"/>
  <c r="AA101" i="4"/>
  <c r="H22" i="41"/>
  <c r="H24" i="41" s="1"/>
  <c r="H26" i="41" s="1"/>
  <c r="K28" i="39"/>
  <c r="H28" i="39"/>
  <c r="O516" i="4"/>
  <c r="Y715" i="4"/>
  <c r="AA715" i="4" s="1"/>
  <c r="Y578" i="4"/>
  <c r="AA578" i="4" s="1"/>
  <c r="Y439" i="4"/>
  <c r="AA439" i="4" s="1"/>
  <c r="AA604" i="4"/>
  <c r="AA605" i="4" s="1"/>
  <c r="Y605" i="4"/>
  <c r="Y633" i="4"/>
  <c r="AA633" i="4" s="1"/>
  <c r="Y581" i="4"/>
  <c r="AA581" i="4" s="1"/>
  <c r="AA748" i="4"/>
  <c r="Q40" i="39"/>
  <c r="Y239" i="4"/>
  <c r="AA239" i="4" s="1"/>
  <c r="H37" i="39"/>
  <c r="Y244" i="4"/>
  <c r="AA244" i="4" s="1"/>
  <c r="Y789" i="4"/>
  <c r="AA789" i="4" s="1"/>
  <c r="Y298" i="4"/>
  <c r="AA298" i="4" s="1"/>
  <c r="I720" i="4"/>
  <c r="I723" i="4"/>
  <c r="I724" i="4" s="1"/>
  <c r="O252" i="4"/>
  <c r="O253" i="4" s="1"/>
  <c r="O249" i="4"/>
  <c r="Y485" i="4"/>
  <c r="AA485" i="4" s="1"/>
  <c r="Y490" i="4"/>
  <c r="AA490" i="4" s="1"/>
  <c r="T36" i="39"/>
  <c r="R869" i="4"/>
  <c r="R866" i="4"/>
  <c r="Y832" i="4"/>
  <c r="Y274" i="4"/>
  <c r="R311" i="4"/>
  <c r="R308" i="4"/>
  <c r="D22" i="41"/>
  <c r="D24" i="41" s="1"/>
  <c r="O444" i="4"/>
  <c r="O447" i="4"/>
  <c r="O448" i="4" s="1"/>
  <c r="O591" i="4"/>
  <c r="O594" i="4"/>
  <c r="O595" i="4" s="1"/>
  <c r="Y840" i="4"/>
  <c r="AA840" i="4" s="1"/>
  <c r="O519" i="4"/>
  <c r="O520" i="4" s="1"/>
  <c r="U447" i="4"/>
  <c r="U448" i="4" s="1"/>
  <c r="U444" i="4"/>
  <c r="Q14" i="39"/>
  <c r="U190" i="4"/>
  <c r="U191" i="4" s="1"/>
  <c r="U187" i="4"/>
  <c r="E28" i="39"/>
  <c r="O187" i="4"/>
  <c r="O190" i="4"/>
  <c r="O191" i="4" s="1"/>
  <c r="Y241" i="4"/>
  <c r="AA241" i="4" s="1"/>
  <c r="Y560" i="4"/>
  <c r="AA560" i="4" s="1"/>
  <c r="Y565" i="4"/>
  <c r="AA565" i="4" s="1"/>
  <c r="U869" i="4"/>
  <c r="U870" i="4" s="1"/>
  <c r="U866" i="4"/>
  <c r="I311" i="4"/>
  <c r="I312" i="4" s="1"/>
  <c r="I308" i="4"/>
  <c r="Y858" i="4"/>
  <c r="AA858" i="4" s="1"/>
  <c r="Y240" i="4"/>
  <c r="AA240" i="4" s="1"/>
  <c r="I794" i="4"/>
  <c r="I797" i="4"/>
  <c r="I798" i="4" s="1"/>
  <c r="O377" i="4"/>
  <c r="O380" i="4"/>
  <c r="O381" i="4" s="1"/>
  <c r="I380" i="4"/>
  <c r="I381" i="4" s="1"/>
  <c r="I377" i="4"/>
  <c r="X928" i="4"/>
  <c r="X929" i="4" s="1"/>
  <c r="X925" i="4"/>
  <c r="Y786" i="4"/>
  <c r="AA786" i="4" s="1"/>
  <c r="Y170" i="4"/>
  <c r="AA170" i="4" s="1"/>
  <c r="N28" i="39"/>
  <c r="F22" i="41"/>
  <c r="F24" i="41" s="1"/>
  <c r="F26" i="41" s="1"/>
  <c r="Y768" i="4"/>
  <c r="AA768" i="4" s="1"/>
  <c r="I249" i="4"/>
  <c r="E11" i="39"/>
  <c r="I252" i="4"/>
  <c r="I253" i="4" s="1"/>
  <c r="AA891" i="4"/>
  <c r="Y482" i="4"/>
  <c r="R516" i="4"/>
  <c r="R519" i="4"/>
  <c r="E36" i="39"/>
  <c r="O869" i="4"/>
  <c r="O870" i="4" s="1"/>
  <c r="O866" i="4"/>
  <c r="O308" i="4"/>
  <c r="O311" i="4"/>
  <c r="O312" i="4" s="1"/>
  <c r="Y620" i="4"/>
  <c r="AA620" i="4" s="1"/>
  <c r="U38" i="39"/>
  <c r="W38" i="39" s="1"/>
  <c r="I925" i="4"/>
  <c r="I928" i="4"/>
  <c r="I929" i="4" s="1"/>
  <c r="N19" i="39"/>
  <c r="Y223" i="4"/>
  <c r="AA223" i="4" s="1"/>
  <c r="L720" i="4"/>
  <c r="L723" i="4"/>
  <c r="L724" i="4" s="1"/>
  <c r="O794" i="4"/>
  <c r="O797" i="4"/>
  <c r="O798" i="4" s="1"/>
  <c r="Y908" i="4"/>
  <c r="AA908" i="4" s="1"/>
  <c r="R925" i="4"/>
  <c r="R928" i="4"/>
  <c r="Y894" i="4"/>
  <c r="AA894" i="4" s="1"/>
  <c r="I649" i="4"/>
  <c r="I650" i="4" s="1"/>
  <c r="I646" i="4"/>
  <c r="Y507" i="4"/>
  <c r="AA507" i="4" s="1"/>
  <c r="U928" i="4"/>
  <c r="U929" i="4" s="1"/>
  <c r="U925" i="4"/>
  <c r="Y629" i="4"/>
  <c r="AA629" i="4" s="1"/>
  <c r="X649" i="4"/>
  <c r="X650" i="4" s="1"/>
  <c r="X646" i="4"/>
  <c r="T28" i="39"/>
  <c r="AA12" i="4"/>
  <c r="AA53" i="4" s="1"/>
  <c r="Y53" i="4"/>
  <c r="C17" i="28" s="1"/>
  <c r="Y351" i="4"/>
  <c r="AA351" i="4" s="1"/>
  <c r="Y369" i="4"/>
  <c r="AA369" i="4" s="1"/>
  <c r="Y916" i="4"/>
  <c r="AA916" i="4" s="1"/>
  <c r="L249" i="4"/>
  <c r="H11" i="39"/>
  <c r="L252" i="4"/>
  <c r="L253" i="4" s="1"/>
  <c r="R963" i="4"/>
  <c r="Y962" i="4"/>
  <c r="Y638" i="4"/>
  <c r="AA638" i="4" s="1"/>
  <c r="Y703" i="4"/>
  <c r="AA703" i="4" s="1"/>
  <c r="X516" i="4"/>
  <c r="X519" i="4"/>
  <c r="X520" i="4" s="1"/>
  <c r="Y615" i="4"/>
  <c r="AA615" i="4" s="1"/>
  <c r="Y583" i="4"/>
  <c r="AA583" i="4" s="1"/>
  <c r="Y178" i="4"/>
  <c r="AA178" i="4" s="1"/>
  <c r="N36" i="39"/>
  <c r="Y346" i="4"/>
  <c r="AA346" i="4" s="1"/>
  <c r="U311" i="4"/>
  <c r="U312" i="4" s="1"/>
  <c r="U308" i="4"/>
  <c r="AA65" i="4"/>
  <c r="AA80" i="4" s="1"/>
  <c r="Y80" i="4"/>
  <c r="C19" i="28" s="1"/>
  <c r="X444" i="4"/>
  <c r="X447" i="4"/>
  <c r="X448" i="4" s="1"/>
  <c r="Y574" i="4"/>
  <c r="AA574" i="4" s="1"/>
  <c r="L594" i="4"/>
  <c r="L595" i="4" s="1"/>
  <c r="L591" i="4"/>
  <c r="X380" i="4"/>
  <c r="X381" i="4" s="1"/>
  <c r="X377" i="4"/>
  <c r="L308" i="4"/>
  <c r="L311" i="4"/>
  <c r="L312" i="4" s="1"/>
  <c r="H19" i="39"/>
  <c r="L925" i="4"/>
  <c r="L928" i="4"/>
  <c r="L929" i="4" s="1"/>
  <c r="O723" i="4"/>
  <c r="O724" i="4" s="1"/>
  <c r="O720" i="4"/>
  <c r="AA265" i="4"/>
  <c r="AA267" i="4" s="1"/>
  <c r="Y267" i="4"/>
  <c r="Y686" i="4"/>
  <c r="R720" i="4"/>
  <c r="R723" i="4"/>
  <c r="L646" i="4"/>
  <c r="L649" i="4"/>
  <c r="L650" i="4" s="1"/>
  <c r="L794" i="4"/>
  <c r="L797" i="4"/>
  <c r="L798" i="4" s="1"/>
  <c r="L190" i="4"/>
  <c r="L191" i="4" s="1"/>
  <c r="L187" i="4"/>
  <c r="Y499" i="4"/>
  <c r="AA499" i="4" s="1"/>
  <c r="U249" i="4"/>
  <c r="U252" i="4"/>
  <c r="U253" i="4" s="1"/>
  <c r="Q11" i="39"/>
  <c r="Y974" i="4"/>
  <c r="R978" i="4"/>
  <c r="G62" i="41" s="1"/>
  <c r="G64" i="41" s="1"/>
  <c r="G66" i="41" s="1"/>
  <c r="L519" i="4"/>
  <c r="L520" i="4" s="1"/>
  <c r="L516" i="4"/>
  <c r="Q36" i="39"/>
  <c r="AA943" i="4"/>
  <c r="AA948" i="4" s="1"/>
  <c r="Y948" i="4"/>
  <c r="T37" i="39"/>
  <c r="L444" i="4"/>
  <c r="L447" i="4"/>
  <c r="L448" i="4" s="1"/>
  <c r="X591" i="4"/>
  <c r="X594" i="4"/>
  <c r="X595" i="4" s="1"/>
  <c r="U380" i="4"/>
  <c r="U381" i="4" s="1"/>
  <c r="U377" i="4"/>
  <c r="X190" i="4"/>
  <c r="X191" i="4" s="1"/>
  <c r="X187" i="4"/>
  <c r="T14" i="39"/>
  <c r="Y508" i="4"/>
  <c r="AA508" i="4" s="1"/>
  <c r="Y360" i="4"/>
  <c r="AA360" i="4" s="1"/>
  <c r="X723" i="4"/>
  <c r="X724" i="4" s="1"/>
  <c r="X720" i="4"/>
  <c r="Y612" i="4"/>
  <c r="R646" i="4"/>
  <c r="R649" i="4"/>
  <c r="X797" i="4"/>
  <c r="X798" i="4" s="1"/>
  <c r="X794" i="4"/>
  <c r="T11" i="39"/>
  <c r="X252" i="4"/>
  <c r="X253" i="4" s="1"/>
  <c r="X249" i="4"/>
  <c r="Y300" i="4"/>
  <c r="AA300" i="4" s="1"/>
  <c r="U519" i="4"/>
  <c r="U520" i="4" s="1"/>
  <c r="U516" i="4"/>
  <c r="Y427" i="4"/>
  <c r="AA427" i="4" s="1"/>
  <c r="X866" i="4"/>
  <c r="X869" i="4"/>
  <c r="X870" i="4" s="1"/>
  <c r="Y326" i="4"/>
  <c r="AA320" i="4"/>
  <c r="AA326" i="4" s="1"/>
  <c r="Y711" i="4"/>
  <c r="AA711" i="4" s="1"/>
  <c r="R444" i="4"/>
  <c r="Y413" i="4"/>
  <c r="R447" i="4"/>
  <c r="Y557" i="4"/>
  <c r="R594" i="4"/>
  <c r="R591" i="4"/>
  <c r="L380" i="4"/>
  <c r="L381" i="4" s="1"/>
  <c r="L377" i="4"/>
  <c r="O649" i="4"/>
  <c r="O650" i="4" s="1"/>
  <c r="L866" i="4"/>
  <c r="L869" i="4"/>
  <c r="L870" i="4" s="1"/>
  <c r="U591" i="4"/>
  <c r="U594" i="4"/>
  <c r="U595" i="4" s="1"/>
  <c r="U794" i="4"/>
  <c r="U797" i="4"/>
  <c r="U798" i="4" s="1"/>
  <c r="K11" i="39"/>
  <c r="N14" i="39"/>
  <c r="R190" i="4"/>
  <c r="Y156" i="4"/>
  <c r="R187" i="4"/>
  <c r="Y835" i="4"/>
  <c r="AA835" i="4" s="1"/>
  <c r="Y56" i="4"/>
  <c r="Y785" i="4"/>
  <c r="AA785" i="4" s="1"/>
  <c r="AA140" i="4"/>
  <c r="AA148" i="4" s="1"/>
  <c r="Y148" i="4"/>
  <c r="C23" i="28" s="1"/>
  <c r="E19" i="39"/>
  <c r="U723" i="4"/>
  <c r="U724" i="4" s="1"/>
  <c r="U720" i="4"/>
  <c r="U646" i="4"/>
  <c r="U649" i="4"/>
  <c r="U650" i="4" s="1"/>
  <c r="R797" i="4"/>
  <c r="R794" i="4"/>
  <c r="Y760" i="4"/>
  <c r="I190" i="4"/>
  <c r="I191" i="4" s="1"/>
  <c r="E14" i="39"/>
  <c r="I187" i="4"/>
  <c r="N11" i="39"/>
  <c r="Y215" i="4"/>
  <c r="R249" i="4"/>
  <c r="R252" i="4"/>
  <c r="I516" i="4"/>
  <c r="I519" i="4"/>
  <c r="I520" i="4" s="1"/>
  <c r="Y689" i="4"/>
  <c r="AA689" i="4" s="1"/>
  <c r="Y917" i="4"/>
  <c r="AA917" i="4" s="1"/>
  <c r="K14" i="39"/>
  <c r="I866" i="4"/>
  <c r="I869" i="4"/>
  <c r="I870" i="4" s="1"/>
  <c r="X308" i="4"/>
  <c r="X311" i="4"/>
  <c r="X312" i="4" s="1"/>
  <c r="D66" i="41"/>
  <c r="Y179" i="4"/>
  <c r="AA179" i="4" s="1"/>
  <c r="N37" i="39"/>
  <c r="I447" i="4"/>
  <c r="I448" i="4" s="1"/>
  <c r="I444" i="4"/>
  <c r="I591" i="4"/>
  <c r="I594" i="4"/>
  <c r="I595" i="4" s="1"/>
  <c r="R380" i="4"/>
  <c r="Y343" i="4"/>
  <c r="R377" i="4"/>
  <c r="U30" i="39" l="1"/>
  <c r="W30" i="39" s="1"/>
  <c r="U18" i="39"/>
  <c r="W18" i="39" s="1"/>
  <c r="U42" i="39"/>
  <c r="W42" i="39" s="1"/>
  <c r="U41" i="39"/>
  <c r="W41" i="39" s="1"/>
  <c r="U14" i="39"/>
  <c r="W14" i="39" s="1"/>
  <c r="U25" i="39"/>
  <c r="W25" i="39" s="1"/>
  <c r="U21" i="39"/>
  <c r="W21" i="39" s="1"/>
  <c r="U24" i="39"/>
  <c r="W24" i="39" s="1"/>
  <c r="O681" i="4"/>
  <c r="F43" i="41" s="1"/>
  <c r="U34" i="39"/>
  <c r="W34" i="39" s="1"/>
  <c r="O969" i="4"/>
  <c r="F56" i="41" s="1"/>
  <c r="F58" i="41" s="1"/>
  <c r="F60" i="41" s="1"/>
  <c r="U12" i="39"/>
  <c r="W12" i="39" s="1"/>
  <c r="U23" i="39"/>
  <c r="W23" i="39" s="1"/>
  <c r="U27" i="39"/>
  <c r="W27" i="39" s="1"/>
  <c r="U35" i="39"/>
  <c r="W35" i="39" s="1"/>
  <c r="U13" i="39"/>
  <c r="W13" i="39" s="1"/>
  <c r="U16" i="39"/>
  <c r="W16" i="39" s="1"/>
  <c r="U31" i="39"/>
  <c r="W31" i="39" s="1"/>
  <c r="U17" i="39"/>
  <c r="W17" i="39" s="1"/>
  <c r="U755" i="4"/>
  <c r="H45" i="41" s="1"/>
  <c r="I405" i="4"/>
  <c r="D35" i="41" s="1"/>
  <c r="O607" i="4"/>
  <c r="F41" i="41" s="1"/>
  <c r="J11" i="41"/>
  <c r="J22" i="41" s="1"/>
  <c r="U29" i="39"/>
  <c r="W29" i="39" s="1"/>
  <c r="L969" i="4"/>
  <c r="O827" i="4"/>
  <c r="F47" i="41" s="1"/>
  <c r="J64" i="41"/>
  <c r="J66" i="41" s="1"/>
  <c r="I210" i="4"/>
  <c r="D29" i="41" s="1"/>
  <c r="U607" i="4"/>
  <c r="H41" i="41" s="1"/>
  <c r="O210" i="4"/>
  <c r="F29" i="41" s="1"/>
  <c r="U39" i="39"/>
  <c r="W39" i="39" s="1"/>
  <c r="U338" i="4"/>
  <c r="H33" i="41" s="1"/>
  <c r="O405" i="4"/>
  <c r="F35" i="41" s="1"/>
  <c r="U40" i="39"/>
  <c r="W40" i="39" s="1"/>
  <c r="U681" i="4"/>
  <c r="H43" i="41" s="1"/>
  <c r="X607" i="4"/>
  <c r="I41" i="41" s="1"/>
  <c r="F21" i="28"/>
  <c r="H21" i="28" s="1"/>
  <c r="E21" i="28"/>
  <c r="O552" i="4"/>
  <c r="F39" i="41" s="1"/>
  <c r="X552" i="4"/>
  <c r="I39" i="41" s="1"/>
  <c r="X681" i="4"/>
  <c r="I43" i="41" s="1"/>
  <c r="O886" i="4"/>
  <c r="F49" i="41" s="1"/>
  <c r="I607" i="4"/>
  <c r="D41" i="41" s="1"/>
  <c r="X338" i="4"/>
  <c r="I33" i="41" s="1"/>
  <c r="Q51" i="39"/>
  <c r="L681" i="4"/>
  <c r="E43" i="41" s="1"/>
  <c r="I969" i="4"/>
  <c r="D56" i="41" s="1"/>
  <c r="E20" i="28"/>
  <c r="F20" i="28"/>
  <c r="H20" i="28" s="1"/>
  <c r="U405" i="4"/>
  <c r="H35" i="41" s="1"/>
  <c r="L607" i="4"/>
  <c r="E41" i="41" s="1"/>
  <c r="U969" i="4"/>
  <c r="H56" i="41" s="1"/>
  <c r="H58" i="41" s="1"/>
  <c r="H60" i="41" s="1"/>
  <c r="I755" i="4"/>
  <c r="D45" i="41" s="1"/>
  <c r="Y925" i="4"/>
  <c r="C47" i="28" s="1"/>
  <c r="E47" i="28" s="1"/>
  <c r="I477" i="4"/>
  <c r="D37" i="41" s="1"/>
  <c r="U37" i="39"/>
  <c r="W37" i="39" s="1"/>
  <c r="L477" i="4"/>
  <c r="E37" i="41" s="1"/>
  <c r="L552" i="4"/>
  <c r="E39" i="41" s="1"/>
  <c r="L210" i="4"/>
  <c r="E29" i="41" s="1"/>
  <c r="L338" i="4"/>
  <c r="E33" i="41" s="1"/>
  <c r="L269" i="4"/>
  <c r="E31" i="41" s="1"/>
  <c r="I681" i="4"/>
  <c r="D43" i="41" s="1"/>
  <c r="B4" i="47"/>
  <c r="B5" i="47" s="1"/>
  <c r="B10" i="47" s="1"/>
  <c r="L886" i="4"/>
  <c r="E49" i="41" s="1"/>
  <c r="I269" i="4"/>
  <c r="D31" i="41" s="1"/>
  <c r="U32" i="39"/>
  <c r="W32" i="39" s="1"/>
  <c r="R381" i="4"/>
  <c r="R405" i="4" s="1"/>
  <c r="G35" i="41" s="1"/>
  <c r="Y380" i="4"/>
  <c r="I552" i="4"/>
  <c r="D39" i="41" s="1"/>
  <c r="U19" i="39"/>
  <c r="W19" i="39" s="1"/>
  <c r="R191" i="4"/>
  <c r="R210" i="4" s="1"/>
  <c r="G29" i="41" s="1"/>
  <c r="Y190" i="4"/>
  <c r="AA413" i="4"/>
  <c r="AA444" i="4" s="1"/>
  <c r="Y444" i="4"/>
  <c r="X827" i="4"/>
  <c r="I47" i="41" s="1"/>
  <c r="L827" i="4"/>
  <c r="E47" i="41" s="1"/>
  <c r="E19" i="28"/>
  <c r="F19" i="28"/>
  <c r="H19" i="28" s="1"/>
  <c r="H51" i="39"/>
  <c r="AA925" i="4"/>
  <c r="I827" i="4"/>
  <c r="D47" i="41" s="1"/>
  <c r="U886" i="4"/>
  <c r="H49" i="41" s="1"/>
  <c r="R312" i="4"/>
  <c r="R338" i="4" s="1"/>
  <c r="G33" i="41" s="1"/>
  <c r="Y311" i="4"/>
  <c r="AA343" i="4"/>
  <c r="AA377" i="4" s="1"/>
  <c r="Y377" i="4"/>
  <c r="E23" i="28"/>
  <c r="F23" i="28"/>
  <c r="H23" i="28" s="1"/>
  <c r="R929" i="4"/>
  <c r="R969" i="4" s="1"/>
  <c r="Y928" i="4"/>
  <c r="U28" i="39"/>
  <c r="W28" i="39" s="1"/>
  <c r="AA274" i="4"/>
  <c r="AA308" i="4" s="1"/>
  <c r="Y308" i="4"/>
  <c r="R448" i="4"/>
  <c r="R477" i="4" s="1"/>
  <c r="G37" i="41" s="1"/>
  <c r="Y447" i="4"/>
  <c r="Y252" i="4"/>
  <c r="R253" i="4"/>
  <c r="R269" i="4" s="1"/>
  <c r="G31" i="41" s="1"/>
  <c r="X405" i="4"/>
  <c r="I35" i="41" s="1"/>
  <c r="U36" i="39"/>
  <c r="W36" i="39" s="1"/>
  <c r="U11" i="39"/>
  <c r="E51" i="39"/>
  <c r="X969" i="4"/>
  <c r="AA832" i="4"/>
  <c r="AA866" i="4" s="1"/>
  <c r="Y866" i="4"/>
  <c r="K51" i="39"/>
  <c r="U552" i="4"/>
  <c r="H39" i="41" s="1"/>
  <c r="X210" i="4"/>
  <c r="I29" i="41" s="1"/>
  <c r="I886" i="4"/>
  <c r="D49" i="41" s="1"/>
  <c r="R798" i="4"/>
  <c r="R827" i="4" s="1"/>
  <c r="G47" i="41" s="1"/>
  <c r="Y797" i="4"/>
  <c r="U827" i="4"/>
  <c r="H47" i="41" s="1"/>
  <c r="L405" i="4"/>
  <c r="E35" i="41" s="1"/>
  <c r="J62" i="41"/>
  <c r="AA612" i="4"/>
  <c r="AA646" i="4" s="1"/>
  <c r="Y646" i="4"/>
  <c r="C52" i="28"/>
  <c r="U269" i="4"/>
  <c r="H31" i="41" s="1"/>
  <c r="O755" i="4"/>
  <c r="F45" i="41" s="1"/>
  <c r="U210" i="4"/>
  <c r="H29" i="41" s="1"/>
  <c r="O477" i="4"/>
  <c r="F37" i="41" s="1"/>
  <c r="O269" i="4"/>
  <c r="F31" i="41" s="1"/>
  <c r="AA974" i="4"/>
  <c r="AA978" i="4" s="1"/>
  <c r="B8" i="47"/>
  <c r="B11" i="47" s="1"/>
  <c r="Y978" i="4"/>
  <c r="C41" i="28" s="1"/>
  <c r="AA56" i="4"/>
  <c r="AA59" i="4" s="1"/>
  <c r="Y59" i="4"/>
  <c r="C18" i="28" s="1"/>
  <c r="C24" i="28" s="1"/>
  <c r="R724" i="4"/>
  <c r="R755" i="4" s="1"/>
  <c r="G45" i="41" s="1"/>
  <c r="Y723" i="4"/>
  <c r="E56" i="41"/>
  <c r="E58" i="41" s="1"/>
  <c r="E60" i="41" s="1"/>
  <c r="R520" i="4"/>
  <c r="R552" i="4" s="1"/>
  <c r="G39" i="41" s="1"/>
  <c r="Y519" i="4"/>
  <c r="R870" i="4"/>
  <c r="R886" i="4" s="1"/>
  <c r="G49" i="41" s="1"/>
  <c r="Y869" i="4"/>
  <c r="AA760" i="4"/>
  <c r="AA794" i="4" s="1"/>
  <c r="Y794" i="4"/>
  <c r="AA215" i="4"/>
  <c r="AA249" i="4" s="1"/>
  <c r="Y249" i="4"/>
  <c r="X269" i="4"/>
  <c r="I31" i="41" s="1"/>
  <c r="Y963" i="4"/>
  <c r="C50" i="28" s="1"/>
  <c r="AA962" i="4"/>
  <c r="AA963" i="4" s="1"/>
  <c r="E17" i="28"/>
  <c r="F17" i="28"/>
  <c r="AA156" i="4"/>
  <c r="AA187" i="4" s="1"/>
  <c r="Y187" i="4"/>
  <c r="R650" i="4"/>
  <c r="R681" i="4" s="1"/>
  <c r="G43" i="41" s="1"/>
  <c r="Y649" i="4"/>
  <c r="N51" i="39"/>
  <c r="R595" i="4"/>
  <c r="R607" i="4" s="1"/>
  <c r="G41" i="41" s="1"/>
  <c r="Y594" i="4"/>
  <c r="X755" i="4"/>
  <c r="I45" i="41" s="1"/>
  <c r="AA557" i="4"/>
  <c r="AA591" i="4" s="1"/>
  <c r="Y591" i="4"/>
  <c r="X886" i="4"/>
  <c r="I49" i="41" s="1"/>
  <c r="T51" i="39"/>
  <c r="AA686" i="4"/>
  <c r="AA720" i="4" s="1"/>
  <c r="Y720" i="4"/>
  <c r="X477" i="4"/>
  <c r="I37" i="41" s="1"/>
  <c r="L755" i="4"/>
  <c r="E45" i="41" s="1"/>
  <c r="O338" i="4"/>
  <c r="F33" i="41" s="1"/>
  <c r="AA482" i="4"/>
  <c r="AA516" i="4" s="1"/>
  <c r="Y516" i="4"/>
  <c r="I338" i="4"/>
  <c r="D33" i="41" s="1"/>
  <c r="U477" i="4"/>
  <c r="H37" i="41" s="1"/>
  <c r="J24" i="41"/>
  <c r="J26" i="41" s="1"/>
  <c r="D26" i="41"/>
  <c r="J41" i="41" l="1"/>
  <c r="K41" i="41" s="1"/>
  <c r="F47" i="28"/>
  <c r="H47" i="28" s="1"/>
  <c r="B12" i="47"/>
  <c r="B13" i="47" s="1"/>
  <c r="J35" i="41"/>
  <c r="K35" i="41" s="1"/>
  <c r="J45" i="41"/>
  <c r="K45" i="41" s="1"/>
  <c r="J43" i="41"/>
  <c r="K43" i="41" s="1"/>
  <c r="E50" i="41"/>
  <c r="E52" i="41" s="1"/>
  <c r="E54" i="41" s="1"/>
  <c r="E68" i="41" s="1"/>
  <c r="J49" i="41"/>
  <c r="K49" i="41" s="1"/>
  <c r="L980" i="4"/>
  <c r="J37" i="41"/>
  <c r="K37" i="41" s="1"/>
  <c r="F50" i="41"/>
  <c r="F52" i="41" s="1"/>
  <c r="F54" i="41" s="1"/>
  <c r="F68" i="41" s="1"/>
  <c r="J33" i="41"/>
  <c r="K33" i="41" s="1"/>
  <c r="AA594" i="4"/>
  <c r="AA595" i="4" s="1"/>
  <c r="AA607" i="4" s="1"/>
  <c r="Y595" i="4"/>
  <c r="Y607" i="4" s="1"/>
  <c r="C33" i="28" s="1"/>
  <c r="E50" i="28"/>
  <c r="F50" i="28"/>
  <c r="H50" i="28" s="1"/>
  <c r="E41" i="28"/>
  <c r="E44" i="28" s="1"/>
  <c r="C44" i="28"/>
  <c r="C62" i="28" s="1"/>
  <c r="E62" i="28" s="1"/>
  <c r="H62" i="28" s="1"/>
  <c r="F41" i="28"/>
  <c r="F44" i="28" s="1"/>
  <c r="H44" i="28" s="1"/>
  <c r="D58" i="41"/>
  <c r="G50" i="41"/>
  <c r="G52" i="41" s="1"/>
  <c r="G54" i="41" s="1"/>
  <c r="AA723" i="4"/>
  <c r="AA724" i="4" s="1"/>
  <c r="AA755" i="4" s="1"/>
  <c r="Y724" i="4"/>
  <c r="Y755" i="4" s="1"/>
  <c r="C35" i="28" s="1"/>
  <c r="I50" i="41"/>
  <c r="I52" i="41" s="1"/>
  <c r="I54" i="41" s="1"/>
  <c r="AA311" i="4"/>
  <c r="AA312" i="4" s="1"/>
  <c r="AA338" i="4" s="1"/>
  <c r="Y312" i="4"/>
  <c r="Y338" i="4" s="1"/>
  <c r="C29" i="28" s="1"/>
  <c r="J29" i="41"/>
  <c r="I56" i="41"/>
  <c r="I58" i="41" s="1"/>
  <c r="I60" i="41" s="1"/>
  <c r="X980" i="4"/>
  <c r="AA252" i="4"/>
  <c r="AA253" i="4" s="1"/>
  <c r="AA269" i="4" s="1"/>
  <c r="Y253" i="4"/>
  <c r="Y269" i="4" s="1"/>
  <c r="C28" i="28" s="1"/>
  <c r="D50" i="41"/>
  <c r="D52" i="41" s="1"/>
  <c r="AA649" i="4"/>
  <c r="AA650" i="4" s="1"/>
  <c r="AA681" i="4" s="1"/>
  <c r="Y650" i="4"/>
  <c r="Y681" i="4" s="1"/>
  <c r="C34" i="28" s="1"/>
  <c r="J31" i="41"/>
  <c r="K31" i="41" s="1"/>
  <c r="AA928" i="4"/>
  <c r="AA929" i="4" s="1"/>
  <c r="AA969" i="4" s="1"/>
  <c r="Y929" i="4"/>
  <c r="J39" i="41"/>
  <c r="K39" i="41" s="1"/>
  <c r="AA869" i="4"/>
  <c r="AA870" i="4" s="1"/>
  <c r="AA886" i="4" s="1"/>
  <c r="Y870" i="4"/>
  <c r="Y886" i="4" s="1"/>
  <c r="C37" i="28" s="1"/>
  <c r="F52" i="28"/>
  <c r="H52" i="28" s="1"/>
  <c r="E52" i="28"/>
  <c r="H17" i="28"/>
  <c r="Y520" i="4"/>
  <c r="Y552" i="4" s="1"/>
  <c r="C32" i="28" s="1"/>
  <c r="AA519" i="4"/>
  <c r="AA520" i="4" s="1"/>
  <c r="AA552" i="4" s="1"/>
  <c r="H50" i="41"/>
  <c r="H52" i="41" s="1"/>
  <c r="H54" i="41" s="1"/>
  <c r="H68" i="41" s="1"/>
  <c r="U51" i="39"/>
  <c r="W11" i="39"/>
  <c r="R980" i="4"/>
  <c r="G56" i="41"/>
  <c r="G58" i="41" s="1"/>
  <c r="G60" i="41" s="1"/>
  <c r="J47" i="41"/>
  <c r="K47" i="41" s="1"/>
  <c r="Y381" i="4"/>
  <c r="Y405" i="4" s="1"/>
  <c r="C30" i="28" s="1"/>
  <c r="AA380" i="4"/>
  <c r="AA381" i="4" s="1"/>
  <c r="AA405" i="4" s="1"/>
  <c r="C60" i="28"/>
  <c r="U980" i="4"/>
  <c r="F18" i="28"/>
  <c r="H18" i="28" s="1"/>
  <c r="E18" i="28"/>
  <c r="E24" i="28" s="1"/>
  <c r="O980" i="4"/>
  <c r="AA797" i="4"/>
  <c r="AA798" i="4" s="1"/>
  <c r="AA827" i="4" s="1"/>
  <c r="Y798" i="4"/>
  <c r="Y827" i="4" s="1"/>
  <c r="C36" i="28" s="1"/>
  <c r="I980" i="4"/>
  <c r="Y448" i="4"/>
  <c r="Y477" i="4" s="1"/>
  <c r="C31" i="28" s="1"/>
  <c r="AA447" i="4"/>
  <c r="AA448" i="4" s="1"/>
  <c r="AA477" i="4" s="1"/>
  <c r="Y191" i="4"/>
  <c r="Y210" i="4" s="1"/>
  <c r="C27" i="28" s="1"/>
  <c r="AA190" i="4"/>
  <c r="AA191" i="4" s="1"/>
  <c r="AA210" i="4" s="1"/>
  <c r="L982" i="4" l="1"/>
  <c r="L984" i="4" s="1"/>
  <c r="I68" i="41"/>
  <c r="F24" i="28"/>
  <c r="H24" i="28" s="1"/>
  <c r="O982" i="4"/>
  <c r="O984" i="4" s="1"/>
  <c r="F30" i="28"/>
  <c r="H30" i="28" s="1"/>
  <c r="E30" i="28"/>
  <c r="J52" i="41"/>
  <c r="J54" i="41" s="1"/>
  <c r="D54" i="41"/>
  <c r="F32" i="28"/>
  <c r="H32" i="28" s="1"/>
  <c r="E32" i="28"/>
  <c r="E27" i="28"/>
  <c r="F27" i="28"/>
  <c r="C38" i="28"/>
  <c r="U982" i="4"/>
  <c r="R982" i="4"/>
  <c r="R984" i="4" s="1"/>
  <c r="C48" i="28"/>
  <c r="Y969" i="4"/>
  <c r="Y980" i="4" s="1"/>
  <c r="X982" i="4"/>
  <c r="X984" i="4" s="1"/>
  <c r="G68" i="41"/>
  <c r="E35" i="28"/>
  <c r="F35" i="28"/>
  <c r="H35" i="28" s="1"/>
  <c r="F31" i="28"/>
  <c r="H31" i="28" s="1"/>
  <c r="E31" i="28"/>
  <c r="AA980" i="4"/>
  <c r="J56" i="41"/>
  <c r="I982" i="4"/>
  <c r="I984" i="4" s="1"/>
  <c r="E60" i="28"/>
  <c r="J50" i="41"/>
  <c r="K29" i="41"/>
  <c r="D60" i="41"/>
  <c r="J58" i="41"/>
  <c r="J60" i="41" s="1"/>
  <c r="E33" i="28"/>
  <c r="F33" i="28"/>
  <c r="H33" i="28" s="1"/>
  <c r="E28" i="28"/>
  <c r="F28" i="28"/>
  <c r="H28" i="28" s="1"/>
  <c r="E36" i="28"/>
  <c r="F36" i="28"/>
  <c r="H36" i="28" s="1"/>
  <c r="E37" i="28"/>
  <c r="F37" i="28"/>
  <c r="H37" i="28" s="1"/>
  <c r="F34" i="28"/>
  <c r="H34" i="28" s="1"/>
  <c r="E34" i="28"/>
  <c r="E29" i="28"/>
  <c r="F29" i="28"/>
  <c r="H29" i="28" s="1"/>
  <c r="K24" i="28" l="1"/>
  <c r="D68" i="41"/>
  <c r="J68" i="41"/>
  <c r="C61" i="28"/>
  <c r="H27" i="28"/>
  <c r="F38" i="28"/>
  <c r="Y982" i="4"/>
  <c r="AA982" i="4" s="1"/>
  <c r="AA984" i="4" s="1"/>
  <c r="U984" i="4"/>
  <c r="H60" i="28"/>
  <c r="E38" i="28"/>
  <c r="F48" i="28"/>
  <c r="E48" i="28"/>
  <c r="E55" i="28" s="1"/>
  <c r="C55" i="28"/>
  <c r="C63" i="28" s="1"/>
  <c r="E63" i="28" s="1"/>
  <c r="H63" i="28" s="1"/>
  <c r="E57" i="28" l="1"/>
  <c r="H48" i="28"/>
  <c r="F55" i="28"/>
  <c r="H55" i="28" s="1"/>
  <c r="Y984" i="4"/>
  <c r="H38" i="28"/>
  <c r="C57" i="28"/>
  <c r="E61" i="28"/>
  <c r="C64" i="28"/>
  <c r="F57" i="28" l="1"/>
  <c r="H57" i="28" s="1"/>
  <c r="C68" i="28"/>
  <c r="H61" i="28"/>
  <c r="E64" i="28"/>
  <c r="F68" i="28" l="1"/>
  <c r="H68" i="28" s="1"/>
  <c r="E68" i="28"/>
  <c r="E12" i="28" s="1"/>
  <c r="H64" i="28"/>
  <c r="AB99" i="4" l="1"/>
  <c r="F12" i="28"/>
  <c r="F70" i="28" s="1"/>
  <c r="H70" i="28" s="1"/>
</calcChain>
</file>

<file path=xl/sharedStrings.xml><?xml version="1.0" encoding="utf-8"?>
<sst xmlns="http://schemas.openxmlformats.org/spreadsheetml/2006/main" count="3279" uniqueCount="1387">
  <si>
    <t>Attachment C-1</t>
  </si>
  <si>
    <t>Budget Summary</t>
  </si>
  <si>
    <t>Program (FFPr or MGD):</t>
  </si>
  <si>
    <t>MGD</t>
  </si>
  <si>
    <t xml:space="preserve">Country of Operation: </t>
  </si>
  <si>
    <t>Honduras</t>
  </si>
  <si>
    <t>Implementing Organization:</t>
  </si>
  <si>
    <t>Partners of the Americas Inc.</t>
  </si>
  <si>
    <t xml:space="preserve">Fiscal Year:  </t>
  </si>
  <si>
    <t>2025</t>
  </si>
  <si>
    <t xml:space="preserve">Agreement Number: </t>
  </si>
  <si>
    <t>USDA-FAS-10.608-0700-25-(522)</t>
  </si>
  <si>
    <t>Total Amount of Federal Funds Requested</t>
  </si>
  <si>
    <t>Funding Source
(FAS for MGD)
(CCC for FFPr)</t>
  </si>
  <si>
    <t>Funding Year</t>
  </si>
  <si>
    <t>Commodity Cost</t>
  </si>
  <si>
    <t>Freight Cost</t>
  </si>
  <si>
    <t>Project Operating  Cost</t>
  </si>
  <si>
    <t>Total Federal Funding Obligated</t>
  </si>
  <si>
    <t>Original Agreement Total</t>
  </si>
  <si>
    <t>Difference</t>
  </si>
  <si>
    <t>Project Operating Budget</t>
  </si>
  <si>
    <t>Expense Type</t>
  </si>
  <si>
    <t>Monetization Proceeds (FFPr Only)</t>
  </si>
  <si>
    <t>FAS or CCC Funds (CCC is Admin Only)</t>
  </si>
  <si>
    <t>Cost Share</t>
  </si>
  <si>
    <t>Total w/out Cost Share</t>
  </si>
  <si>
    <t>Total w/Cost Share</t>
  </si>
  <si>
    <t xml:space="preserve">Administration </t>
  </si>
  <si>
    <t>Salaries/Personnel</t>
  </si>
  <si>
    <t>Benefits</t>
  </si>
  <si>
    <t>Travel</t>
  </si>
  <si>
    <t>Professional Services/Contractual</t>
  </si>
  <si>
    <t>Equipment</t>
  </si>
  <si>
    <t>Supplies</t>
  </si>
  <si>
    <t>Other</t>
  </si>
  <si>
    <t>Total Administration</t>
  </si>
  <si>
    <t xml:space="preserve">Activities </t>
  </si>
  <si>
    <t>Activity 1: Provide School Meals</t>
  </si>
  <si>
    <t>Activity 2: Distribution: School Supplies and Materials</t>
  </si>
  <si>
    <t>Activity 3: Training: Teacher and Administrators</t>
  </si>
  <si>
    <t>Activity 4: Enrollment Campaigns</t>
  </si>
  <si>
    <t>Activity 5: Building/Rehabilitation: Wells and Water Stations/Systems</t>
  </si>
  <si>
    <t>Activity 6: Training: Good Health and Nutrition Practices</t>
  </si>
  <si>
    <t>Activity 7: Training: Commodity Management</t>
  </si>
  <si>
    <t>Activity 8: Capacity Building: Local and Regional Level</t>
  </si>
  <si>
    <t>Activity 9: Capacity Building: National Level</t>
  </si>
  <si>
    <t>Activity 10: Develop Public-Private Partnerships to Support School Feeding Sustainability</t>
  </si>
  <si>
    <t xml:space="preserve">Activity 11: Expand Use of US Commodities in Honduras School Feeding Program </t>
  </si>
  <si>
    <t>Total Activities</t>
  </si>
  <si>
    <t>Commodity and Food Purchases (N/A to FFPr)</t>
  </si>
  <si>
    <t>Commodity Procurement</t>
  </si>
  <si>
    <t>Food Vouchers (N/A to MGD)</t>
  </si>
  <si>
    <t>Cash Transfers (N/A to MGD)</t>
  </si>
  <si>
    <t>Total Commodity Procurement</t>
  </si>
  <si>
    <t>ITSH (N/A to FFPr)</t>
  </si>
  <si>
    <t>Salaries</t>
  </si>
  <si>
    <t>Internal Transportation</t>
  </si>
  <si>
    <t>Professional Services</t>
  </si>
  <si>
    <t>Warehouse</t>
  </si>
  <si>
    <t>Total ITSH</t>
  </si>
  <si>
    <t>Total Direct Costs</t>
  </si>
  <si>
    <t>Indirect Costs</t>
  </si>
  <si>
    <t>ICR on Administration</t>
  </si>
  <si>
    <t>ICR on Activities</t>
  </si>
  <si>
    <t>ICR on Commodity and Food Purchases (N/A to FFPr)</t>
  </si>
  <si>
    <t>ICR on ITSH (N/A to FFPr)</t>
  </si>
  <si>
    <t>Total Indirect Costs</t>
  </si>
  <si>
    <t>Anticipated Program Income</t>
  </si>
  <si>
    <t>Total Project Operating Costs</t>
  </si>
  <si>
    <t>Total Amount of Federal Award (Total Federal Funds Requested Plus Cost Share):</t>
  </si>
  <si>
    <t>Partners of the Americas – FY 2025 McGovern-Dole Honduras</t>
  </si>
  <si>
    <t>NOFO: USDA-FAS-10.608-0700-25-(522)</t>
  </si>
  <si>
    <t>Duration: 6 Years</t>
  </si>
  <si>
    <t>Country: Honduras</t>
  </si>
  <si>
    <t>Budget Assumptions:</t>
  </si>
  <si>
    <t>Inflation Increases- 5%</t>
  </si>
  <si>
    <t>Merit Based Increases for HQ &amp; Field Staff</t>
  </si>
  <si>
    <t>BUDGET ITEM</t>
  </si>
  <si>
    <t>Level of Effort (LOE) Year 1</t>
  </si>
  <si>
    <t>UNIT</t>
  </si>
  <si>
    <t># of Units</t>
  </si>
  <si>
    <t>RATE/ UNIT</t>
  </si>
  <si>
    <t>YEAR 1</t>
  </si>
  <si>
    <t>Level of Effort (LOE) Year 2</t>
  </si>
  <si>
    <t>YEAR 2</t>
  </si>
  <si>
    <t>Level of Effort (LOE) Year 3</t>
  </si>
  <si>
    <t>YEAR 3</t>
  </si>
  <si>
    <t>Level of Effort (LOE) Year 4</t>
  </si>
  <si>
    <t>YEAR 4</t>
  </si>
  <si>
    <t>Level of Effort (LOE) Year 5</t>
  </si>
  <si>
    <t>YEAR 5</t>
  </si>
  <si>
    <t>Level of Effort (LOE) Year 6</t>
  </si>
  <si>
    <t>YEAR 6</t>
  </si>
  <si>
    <t>TOTAL USDA</t>
  </si>
  <si>
    <t>TOTAL COST SHARE</t>
  </si>
  <si>
    <t>PROJECT GRAND TOTAL</t>
  </si>
  <si>
    <t>Salaries/Personnel (Administration)</t>
  </si>
  <si>
    <t>CCN Honduran Field Staff (LOE)</t>
  </si>
  <si>
    <t xml:space="preserve">Key Personnel: Chief of Party - Roger Sanchez O’Neill </t>
  </si>
  <si>
    <t>Month</t>
  </si>
  <si>
    <t>Key Personnel: Deputy Chief of Party - David Medina Mayo</t>
  </si>
  <si>
    <t>Policy &amp; Sustainability Specialist</t>
  </si>
  <si>
    <t xml:space="preserve">Education Director </t>
  </si>
  <si>
    <t>Education Specialist</t>
  </si>
  <si>
    <t>Education Officer</t>
  </si>
  <si>
    <t>Nutrition and Health Specialist</t>
  </si>
  <si>
    <t>Nutrition Officer - (2 Individuals)</t>
  </si>
  <si>
    <t>School Feeding Specialist</t>
  </si>
  <si>
    <t>Food Aid Monitors - (2 Individuals)</t>
  </si>
  <si>
    <t>WASH Officer</t>
  </si>
  <si>
    <t>Communications Specialist</t>
  </si>
  <si>
    <t>Communications Officer</t>
  </si>
  <si>
    <t>Education &amp; Community Engagement Specialist</t>
  </si>
  <si>
    <t>Education &amp; Community Engagement Officer</t>
  </si>
  <si>
    <t>Private Sector Specialist</t>
  </si>
  <si>
    <t xml:space="preserve">Key Personnel: M&amp;E Director </t>
  </si>
  <si>
    <t>M&amp;E Specialist</t>
  </si>
  <si>
    <t>M&amp;E Officer</t>
  </si>
  <si>
    <t>Supply Chain Manager</t>
  </si>
  <si>
    <t>In-Country Logistics Specialist</t>
  </si>
  <si>
    <t>US Commodity Logistics Specialist</t>
  </si>
  <si>
    <t>Warehouse Manager</t>
  </si>
  <si>
    <t>Warehouse Officer - (2 Individuals)</t>
  </si>
  <si>
    <t xml:space="preserve">LRP Technical Specialist </t>
  </si>
  <si>
    <t>Finance &amp; Administration Director</t>
  </si>
  <si>
    <t>Contracts &amp; Compliance Manager</t>
  </si>
  <si>
    <t>Grants &amp; Procurement Specialist</t>
  </si>
  <si>
    <t>Grants &amp; Procurement Officer</t>
  </si>
  <si>
    <t>Finance Officer</t>
  </si>
  <si>
    <t>Accountant</t>
  </si>
  <si>
    <t>Operation &amp; HR Manager</t>
  </si>
  <si>
    <t>Administrative Assistant - (2 Individuals)</t>
  </si>
  <si>
    <t>Driver - (2 Individuals)</t>
  </si>
  <si>
    <t>Headquarters (HQ) Support (LOE)</t>
  </si>
  <si>
    <t>Senior Vice President of Programs</t>
  </si>
  <si>
    <t xml:space="preserve">Program Director </t>
  </si>
  <si>
    <t>Compliance &amp; Contracts Director</t>
  </si>
  <si>
    <t>Associate Director</t>
  </si>
  <si>
    <t xml:space="preserve">Senior Program Officer </t>
  </si>
  <si>
    <t>Total Personnel</t>
  </si>
  <si>
    <t>Fringe Benefits</t>
  </si>
  <si>
    <t>Fringe Benefits CCN - Honduras</t>
  </si>
  <si>
    <t>%</t>
  </si>
  <si>
    <t xml:space="preserve">Fringe Benefits - HQ </t>
  </si>
  <si>
    <t>Total Fringe Benefits</t>
  </si>
  <si>
    <t>HQ Staff Travel - International</t>
  </si>
  <si>
    <t>Airfare - DC-Honduras - HQ Project Management Trip</t>
  </si>
  <si>
    <t>Trip</t>
  </si>
  <si>
    <t>-</t>
  </si>
  <si>
    <t>Lodging and M&amp;IE - HQ Project Management Trip</t>
  </si>
  <si>
    <t>Day</t>
  </si>
  <si>
    <t>Local Transportation – HQ Project Management Trip</t>
  </si>
  <si>
    <t>Other Travel Related Expenses – HQ Project Management Trip</t>
  </si>
  <si>
    <t xml:space="preserve">Honduras Staff Travel - International </t>
  </si>
  <si>
    <t>Airfare - Roundtrip - Honduras to USA</t>
  </si>
  <si>
    <t>Lodging and M&amp;IE for Honduras Staff Travel</t>
  </si>
  <si>
    <t>Local Transportation for Honduras Staff Travel</t>
  </si>
  <si>
    <t>Other Travel Related Expenses for Honduras Staff Travel</t>
  </si>
  <si>
    <t>Honduras Staff Travel - Domestic  (Tegucigalpa-Intibucá)</t>
  </si>
  <si>
    <t>Vehicle Fuel Expense</t>
  </si>
  <si>
    <t>Local Transportation – Training, M&amp;E, &amp; Data Collection</t>
  </si>
  <si>
    <t>Lodging and M&amp;IE - Training, M&amp;E, &amp; Data Collection</t>
  </si>
  <si>
    <t>Honduras Staff Travel - Domestic (Tegucigalpa-La Paz)</t>
  </si>
  <si>
    <t>Total Travel</t>
  </si>
  <si>
    <t>Audit Costs - (Program Specific Audits)</t>
  </si>
  <si>
    <t>Year</t>
  </si>
  <si>
    <t>Legal &amp; Representation Fees</t>
  </si>
  <si>
    <t>Security Services, Risk Assessments, &amp; Security Assessment</t>
  </si>
  <si>
    <t>Start-up Consultant</t>
  </si>
  <si>
    <t>Market Study</t>
  </si>
  <si>
    <t>Evaluations</t>
  </si>
  <si>
    <t>Baseline Evaluation</t>
  </si>
  <si>
    <t>Unit</t>
  </si>
  <si>
    <t>Midterm Evaluation</t>
  </si>
  <si>
    <t>Final Evaluation</t>
  </si>
  <si>
    <t xml:space="preserve">2 Special Studies: (1) Feasibility of Integrating CSB+ into the National Feeding Program  Study &amp; (2) Sustainability &amp; Institutional Readiness Study </t>
  </si>
  <si>
    <t>Monitoring Guidelines Development</t>
  </si>
  <si>
    <t>Monitoring Guidelines Creation, Translation &amp; Printing</t>
  </si>
  <si>
    <t>Document</t>
  </si>
  <si>
    <t>Monitoring Guidelines Revision, Translation &amp; Printing</t>
  </si>
  <si>
    <t>Monitoring Guidelines Staff Training on Indicators and Data Collection/Analysis</t>
  </si>
  <si>
    <t xml:space="preserve">Workshop </t>
  </si>
  <si>
    <t>M&amp;E Database</t>
  </si>
  <si>
    <t>M&amp;E Database Platform Subscription (includes training)</t>
  </si>
  <si>
    <t>M&amp;E Budget</t>
  </si>
  <si>
    <t>Monitoring, Evaluation, and Collection of Reliable Data Subtotal</t>
  </si>
  <si>
    <t>Total Professional Services/Contractual</t>
  </si>
  <si>
    <t>Vehicles for Field Office</t>
  </si>
  <si>
    <t>Total Equipment</t>
  </si>
  <si>
    <t>Office Supplies</t>
  </si>
  <si>
    <t xml:space="preserve">Desktop/Laptop Computers </t>
  </si>
  <si>
    <t>All in One: Printer, Photocopier &amp; Scanner</t>
  </si>
  <si>
    <t>Projector</t>
  </si>
  <si>
    <t>Desks for Office</t>
  </si>
  <si>
    <t>Chairs for Office</t>
  </si>
  <si>
    <t>Meeting Table for Office</t>
  </si>
  <si>
    <t>Shelves for Office Storage</t>
  </si>
  <si>
    <t>Filing Cabinets</t>
  </si>
  <si>
    <t>Fireproof Safe</t>
  </si>
  <si>
    <t>A/C Unit for Office</t>
  </si>
  <si>
    <t>Total Office Supplies</t>
  </si>
  <si>
    <t xml:space="preserve">Office in Tegucigalpa </t>
  </si>
  <si>
    <t>Communications Costs (Internet, Phone, Data) (Tegucigalpa)</t>
  </si>
  <si>
    <t>Office Rent (Tegucigalpa)</t>
  </si>
  <si>
    <t>Office Utilities (Electricity and Water)</t>
  </si>
  <si>
    <t>Office Cleaning</t>
  </si>
  <si>
    <t>Security Services</t>
  </si>
  <si>
    <t>Satellite Office in Intibucá</t>
  </si>
  <si>
    <t>Communications Costs (Internet, Phone, Data)</t>
  </si>
  <si>
    <t>Satellite Office in La Paz</t>
  </si>
  <si>
    <t>General Local Office Costs</t>
  </si>
  <si>
    <t>Banking and Cash Handling Fees</t>
  </si>
  <si>
    <t>Courier fees/services/Postage</t>
  </si>
  <si>
    <t xml:space="preserve">Recruitment/Procurement Advertising </t>
  </si>
  <si>
    <t>Meeting Expenses</t>
  </si>
  <si>
    <t>Payroll Processing and Local Accounting Books Preparation</t>
  </si>
  <si>
    <t>Licenses &amp; Subscriptions (Microsoft 365, Adobe, Replicon, &amp; PandaDoc)</t>
  </si>
  <si>
    <t xml:space="preserve">Training, Workshops, Conference and Registration Fees </t>
  </si>
  <si>
    <t>Repair &amp; Maintenance</t>
  </si>
  <si>
    <t>Equipment and Office Repairs and Maintenance</t>
  </si>
  <si>
    <t>Vehicle Maintenance/repairs/spare parts</t>
  </si>
  <si>
    <t>Insurance</t>
  </si>
  <si>
    <t>Vehicle Registration Fee</t>
  </si>
  <si>
    <t>Vehicle</t>
  </si>
  <si>
    <t>Vehicle Insurance</t>
  </si>
  <si>
    <t>Total Other</t>
  </si>
  <si>
    <t>Activities/Costs</t>
  </si>
  <si>
    <t>Personnel Costs for Activity 1</t>
  </si>
  <si>
    <t>Total Personnel Costs for Activity 1</t>
  </si>
  <si>
    <t>Fringe Benefit Costs for Activity 1</t>
  </si>
  <si>
    <t>Total Fringe Benefit Costs for Activity 1</t>
  </si>
  <si>
    <t>Professional Services/Contractual for Activity 1</t>
  </si>
  <si>
    <t>Contract for Mancomunidad Assistance Support</t>
  </si>
  <si>
    <t>Contract</t>
  </si>
  <si>
    <t>Total Professional Services/Contractual for Activity 1</t>
  </si>
  <si>
    <t>Travel for Activity 1</t>
  </si>
  <si>
    <t>Local Transportation for Implementation of Activity 1</t>
  </si>
  <si>
    <t>Lodging and M&amp;IE for Implementation of Activity 1</t>
  </si>
  <si>
    <t>Local Transportation for School Feeding Manager to check Storerooms and Trainings</t>
  </si>
  <si>
    <t>Lodging and M&amp;IE  for School Feeding Manager to check Storerooms and Trainings</t>
  </si>
  <si>
    <t>Total Travel for Activity 1</t>
  </si>
  <si>
    <t>Cost Share for Activity 1</t>
  </si>
  <si>
    <t>Warehouse Fees</t>
  </si>
  <si>
    <t xml:space="preserve">Municipality </t>
  </si>
  <si>
    <t>Receive &amp; Transport Commodities - Parents’ Time on Transportation and Food Preparation</t>
  </si>
  <si>
    <t>Parent</t>
  </si>
  <si>
    <t>Total Cost Share for Activity 1</t>
  </si>
  <si>
    <t>Total Activity 1</t>
  </si>
  <si>
    <t>Personnel Costs for Activity 2</t>
  </si>
  <si>
    <t>Total Personnel Costs for Activity 2</t>
  </si>
  <si>
    <t>Fringe Benefit Costs for Activity 2</t>
  </si>
  <si>
    <t>Total Fringe Benefit Costs for Activity 2</t>
  </si>
  <si>
    <t>Supplies for Activity 2</t>
  </si>
  <si>
    <t>Grades 1-3 (Activity Book)</t>
  </si>
  <si>
    <t>Book</t>
  </si>
  <si>
    <t>Grades 4-6 (Activity Book)</t>
  </si>
  <si>
    <t>Grades 7-9 (Activity Book)</t>
  </si>
  <si>
    <t>Grades 3-6 (Game-Based Guides)</t>
  </si>
  <si>
    <t>Guides</t>
  </si>
  <si>
    <t>Total Supplies for Activity 2</t>
  </si>
  <si>
    <t>Travel for Activity 2</t>
  </si>
  <si>
    <t>Local Transportation for Implementation of Activity 2</t>
  </si>
  <si>
    <t>Lodging and M&amp;IE for Implementation of Activity 2</t>
  </si>
  <si>
    <t>Local Transportation for Overseeing Distribution of Materials</t>
  </si>
  <si>
    <t>Total Travel for Activity 2</t>
  </si>
  <si>
    <t>Total Activity 2</t>
  </si>
  <si>
    <t>Personnel Costs for Activity 3</t>
  </si>
  <si>
    <t>Total Personnel Costs for Activity 3</t>
  </si>
  <si>
    <t>Fringe Benefit Costs for Activity 3</t>
  </si>
  <si>
    <t>Total Fringe Benefit Costs for Activity 3</t>
  </si>
  <si>
    <t>Travel for Activity 3</t>
  </si>
  <si>
    <t>Local Transportation for Implementation of Activity 3</t>
  </si>
  <si>
    <t>Lodging and M&amp;IE for Implementation of Activity 3</t>
  </si>
  <si>
    <t>Local Transportation for Master Trainings</t>
  </si>
  <si>
    <t>Lodging and M&amp;IE for Masters Trainings</t>
  </si>
  <si>
    <t xml:space="preserve">Local Transportation for Teacher Coaches Curriculum Based Training </t>
  </si>
  <si>
    <t xml:space="preserve">Lodging and M&amp;IE for Teacher Coaches Curriculum Based Training </t>
  </si>
  <si>
    <t xml:space="preserve">Local Transportation for Teacher Curriculum Based Training </t>
  </si>
  <si>
    <t xml:space="preserve">Lodging and M&amp;IE for Teacher Curriculum Based Training </t>
  </si>
  <si>
    <t xml:space="preserve">Local Transportation for Administrator Training </t>
  </si>
  <si>
    <t xml:space="preserve">Lodging and M&amp;IE for Administrator Training </t>
  </si>
  <si>
    <t>Total Travel for Activity 3</t>
  </si>
  <si>
    <t>Other for Activity 3</t>
  </si>
  <si>
    <t>Training</t>
  </si>
  <si>
    <t xml:space="preserve">Master Level Training </t>
  </si>
  <si>
    <t xml:space="preserve">Teacher Coaches Curriculum Based Training </t>
  </si>
  <si>
    <t xml:space="preserve">Teacher Curriculum Based Training </t>
  </si>
  <si>
    <t>Administrator Training</t>
  </si>
  <si>
    <t>Subrecipient</t>
  </si>
  <si>
    <t>Subrecipient: FEREMA</t>
  </si>
  <si>
    <t>Total Other Expenses for Activity 3</t>
  </si>
  <si>
    <t>Total Activity 3</t>
  </si>
  <si>
    <t>Personnel Costs for Activity 4</t>
  </si>
  <si>
    <t>Total Personnel Costs for Activity 4</t>
  </si>
  <si>
    <t>Fringe Benefit Costs for Activity 4</t>
  </si>
  <si>
    <t>Total Fringe Benefit Costs for Activity 4</t>
  </si>
  <si>
    <t>Professional Services/Contractual for Activity 4</t>
  </si>
  <si>
    <t>Early Warning Systems Consultant</t>
  </si>
  <si>
    <t>Contract for Social Behavior Campaign</t>
  </si>
  <si>
    <t>Total Professional Services/Contractual for Activity 4</t>
  </si>
  <si>
    <t>Supplies for Activity 4</t>
  </si>
  <si>
    <t>Printing, Signage, and Awareness Materials for Early Warning Systems</t>
  </si>
  <si>
    <t>Alternative Education Kits</t>
  </si>
  <si>
    <t>Kit</t>
  </si>
  <si>
    <t>Total Supplies for Activity 4</t>
  </si>
  <si>
    <t>Travel for Activity 4</t>
  </si>
  <si>
    <t>Local Transportation for Community Engagement</t>
  </si>
  <si>
    <t>Lodging and M&amp;IE for Community Engagement</t>
  </si>
  <si>
    <t>Total Travel for Activity 4</t>
  </si>
  <si>
    <t>Other for Activity 4</t>
  </si>
  <si>
    <t>Training for Principals on Early Warning Systems - 2 Day</t>
  </si>
  <si>
    <t>Total Other for Activity 4</t>
  </si>
  <si>
    <t>Total Activity 4</t>
  </si>
  <si>
    <t>Personnel Costs for Activity 5</t>
  </si>
  <si>
    <t>Total Personnel Costs for Activity 5</t>
  </si>
  <si>
    <t>Fringe Benefit Costs for Activity 5</t>
  </si>
  <si>
    <t>Total Fringe Benefit Costs for Activity 5</t>
  </si>
  <si>
    <t>Supplies for Activity 5</t>
  </si>
  <si>
    <t>Food Preparation and Storage Items for Schools</t>
  </si>
  <si>
    <t>School</t>
  </si>
  <si>
    <t xml:space="preserve">Behavior-Centered Design Handwashing Stations </t>
  </si>
  <si>
    <t>Rainwater Harvesting Systems (Tanks, Filters, etc.)</t>
  </si>
  <si>
    <t>Maintenance for Existing Handwashing Stations</t>
  </si>
  <si>
    <t>Total Supplies for Activity 5</t>
  </si>
  <si>
    <t>Travel for Activity 5</t>
  </si>
  <si>
    <t>Local Transportation for Implementation of Activity 5</t>
  </si>
  <si>
    <t>Lodging and M&amp;IE for Implementation of Activity 5</t>
  </si>
  <si>
    <t xml:space="preserve">Local Transportation for Capacity Building Session on Water Systems Maintenance </t>
  </si>
  <si>
    <t xml:space="preserve">Lodging and M&amp;IE for Capacity Building Session on Water Systems Maintenance </t>
  </si>
  <si>
    <t>Total Travel for Activity 5</t>
  </si>
  <si>
    <t>Other for Activity 5</t>
  </si>
  <si>
    <t xml:space="preserve">Capacity Building Session on Water Systems Maintenance </t>
  </si>
  <si>
    <t>Small Grants</t>
  </si>
  <si>
    <t>Small Grants to School Meals Committees for Initial Soap Provision</t>
  </si>
  <si>
    <t>Grant</t>
  </si>
  <si>
    <t>Total Other Expenses for Activity 5</t>
  </si>
  <si>
    <t>Cost Share for Activity 5</t>
  </si>
  <si>
    <t>Public &amp; Private Sector Material Contributions for WASH Stations</t>
  </si>
  <si>
    <t>Volunteer Time for Maintenance of WASH Stations</t>
  </si>
  <si>
    <t>Hour</t>
  </si>
  <si>
    <t>Total Cost Share for Activity 5</t>
  </si>
  <si>
    <t>Total Activity 5</t>
  </si>
  <si>
    <t>Personnel Costs for Activity 6</t>
  </si>
  <si>
    <t>Total Personnel Costs for Activity 6</t>
  </si>
  <si>
    <t>Fringe Benefit Costs for Activity 6</t>
  </si>
  <si>
    <t>Total Fringe Benefit Costs for Activity 6</t>
  </si>
  <si>
    <t>Professional Services/Contractual for Activity 6</t>
  </si>
  <si>
    <t>SBC Campaign Consultant</t>
  </si>
  <si>
    <t>SBC Messaging and Content Production Contract</t>
  </si>
  <si>
    <t>School Based Environmental Nudges</t>
  </si>
  <si>
    <t>Enumerators &amp; Behavior Monitors</t>
  </si>
  <si>
    <t>Municipality</t>
  </si>
  <si>
    <t>Total Professional Services/Contractual for Activity 6</t>
  </si>
  <si>
    <t>Supplies for Activity 6</t>
  </si>
  <si>
    <t>Development &amp; Printing of Guidance for Scaling</t>
  </si>
  <si>
    <t>School Based Environmental Nudges Materials</t>
  </si>
  <si>
    <t>Total Supplies for Activity 6</t>
  </si>
  <si>
    <t>Travel for Activity 6</t>
  </si>
  <si>
    <t>Local Transportation for Implementation of Activity 6</t>
  </si>
  <si>
    <t>Lodging and M&amp;IE for Implementation of Activity 6</t>
  </si>
  <si>
    <t>Local Transportation for Sustaining Messaging</t>
  </si>
  <si>
    <t>Lodging and M&amp;IE for Sustaining Messaging</t>
  </si>
  <si>
    <t>Local Transportation for Community Mobilization and Outreach</t>
  </si>
  <si>
    <t>Lodging and M&amp;IE for Community Mobilization and Outreach</t>
  </si>
  <si>
    <t>Total Travel for Activity 6</t>
  </si>
  <si>
    <t>Other for Activity 6</t>
  </si>
  <si>
    <t xml:space="preserve">Training on Sustaining Messaging </t>
  </si>
  <si>
    <t>Community Mobilization and Outreach Events</t>
  </si>
  <si>
    <t>Event</t>
  </si>
  <si>
    <t>Total Other Expenses for Activity 6</t>
  </si>
  <si>
    <t>Total Activity 6</t>
  </si>
  <si>
    <t>Personnel Costs for Activity 7</t>
  </si>
  <si>
    <t>Total Personnel Costs for Activity 7</t>
  </si>
  <si>
    <t>Fringe Benefit Costs for Activity 7</t>
  </si>
  <si>
    <t>Total Fringe Benefit Costs for Activity 7</t>
  </si>
  <si>
    <t>Professional Services/Contractual for Activity 7</t>
  </si>
  <si>
    <t>Contract to Certify School Food Handlers &amp; Training to Transfer Knowledge</t>
  </si>
  <si>
    <t>Total Professional Services/Contractual for Activity 7</t>
  </si>
  <si>
    <t>Travel for Activity 7</t>
  </si>
  <si>
    <t>Local Transportation for Implementation of Activity 7</t>
  </si>
  <si>
    <t>Lodging and M&amp;IE for Implementation of Activity 7</t>
  </si>
  <si>
    <t>Total Travel for Activity 7</t>
  </si>
  <si>
    <t>Total Activity 7</t>
  </si>
  <si>
    <t>Personnel Costs for Activity 8</t>
  </si>
  <si>
    <t>Total Personnel Costs for Activity 8</t>
  </si>
  <si>
    <t>Fringe Benefit Costs for Activity 8</t>
  </si>
  <si>
    <t>Total Fringe Benefit Costs for Activity 8</t>
  </si>
  <si>
    <t>Professional Services/Contractual for Activity 8</t>
  </si>
  <si>
    <t>Consultant to Develop Step-by-Step Guides</t>
  </si>
  <si>
    <t xml:space="preserve">Video Editing &amp; Designer Consultant for Recipe Demos, etc. </t>
  </si>
  <si>
    <t>IT Consultant to Design Modules for Digital School Meal Monitoring System</t>
  </si>
  <si>
    <t>Develop a Platform to Monitor the Delivery of Rations</t>
  </si>
  <si>
    <t>Total Professional Services/Contractual for Activity 8</t>
  </si>
  <si>
    <t>Supplies for Activity 8</t>
  </si>
  <si>
    <t>Basic Package of Materials (Printable recipe cards, demo videos)</t>
  </si>
  <si>
    <t>Total Supplies for Activity 8</t>
  </si>
  <si>
    <t>Travel for Activity 8</t>
  </si>
  <si>
    <t>Local Transportation for Implementation of Activity 8</t>
  </si>
  <si>
    <t>Lodging and M&amp;IE for Implementation of Activity 8</t>
  </si>
  <si>
    <t>Stipend for Local Travel to Annual Volunteer Recognition Event</t>
  </si>
  <si>
    <t>Local Transportation for Digital School Meal Monitoring System Training</t>
  </si>
  <si>
    <t>Lodging and M&amp;IE for Digital School Meal Monitoring System Training</t>
  </si>
  <si>
    <t>Total Travel for Activity 8</t>
  </si>
  <si>
    <t>Other for Activity 8</t>
  </si>
  <si>
    <t>Digital School Meal Monitoring System Training</t>
  </si>
  <si>
    <t>Annual Volunteer Recognition Event</t>
  </si>
  <si>
    <t>Total Other Expenses for Activity 8</t>
  </si>
  <si>
    <t>Cost Share for Activity 8</t>
  </si>
  <si>
    <t>Total Cost Share for Activity 8</t>
  </si>
  <si>
    <t>Total Activity 8</t>
  </si>
  <si>
    <t>Personnel Costs for Activity 9</t>
  </si>
  <si>
    <t>Total Personnel Costs for Activity 9</t>
  </si>
  <si>
    <t>Fringe Benefit Costs for Activity 9</t>
  </si>
  <si>
    <t>Total Fringe Benefit Costs for Activity 9</t>
  </si>
  <si>
    <t>Professional Services/Contractual for Activity 9</t>
  </si>
  <si>
    <t>Contract for Certification in Local Procurement for School Feeding</t>
  </si>
  <si>
    <t>International Consultant to Conduct Cost Analysis to Inform PNAE Scaling</t>
  </si>
  <si>
    <t xml:space="preserve">Consultant to Review Legal Framework and Advocacy </t>
  </si>
  <si>
    <t>Graphic Design of Roadmap for Decentralized PNAE Operations</t>
  </si>
  <si>
    <t>Contract to Document and Replicate Best Practices for National Scale-Up</t>
  </si>
  <si>
    <t>Total Professional Services/Contractual for Activity 9</t>
  </si>
  <si>
    <t>Supplies for Activity 9</t>
  </si>
  <si>
    <t xml:space="preserve">Development &amp; Printing of Practical Knowledge Toolkits </t>
  </si>
  <si>
    <t>Total Supplies for Activity 9</t>
  </si>
  <si>
    <t>Travel for Activity 9</t>
  </si>
  <si>
    <t>Local Transportation for Implementation of Activity 9</t>
  </si>
  <si>
    <t>Lodging and M&amp;IE for Implementation of Activity 9</t>
  </si>
  <si>
    <t>Local Transportation to Support the Decentralization of PNAE</t>
  </si>
  <si>
    <t>Lodging and M&amp;IE to Support the Decentralization of PNAE</t>
  </si>
  <si>
    <t>Airfare - USA -Honduras - International Consultant to Conduct Cost Analysis to Inform PNAE Scaling</t>
  </si>
  <si>
    <t>Local Transportation for International Consultant</t>
  </si>
  <si>
    <t>Lodging and M&amp;IE for International Consultant - Tegucigalpa</t>
  </si>
  <si>
    <t>Lodging and M&amp;IE for International Consultant - Intibucá</t>
  </si>
  <si>
    <t>Total Travel for Activity 9</t>
  </si>
  <si>
    <t>Other for Activity 9</t>
  </si>
  <si>
    <t>Validation Meetings</t>
  </si>
  <si>
    <t>Meeting</t>
  </si>
  <si>
    <t>Two-Day Workshop on Proposed Graduation Strategy</t>
  </si>
  <si>
    <t>Workshop</t>
  </si>
  <si>
    <t>Total Other Expenses for Activity 9</t>
  </si>
  <si>
    <t>Total Activity 9</t>
  </si>
  <si>
    <t>Personnel Costs for Activity 10</t>
  </si>
  <si>
    <t>Total Personnel Costs for Activity 10</t>
  </si>
  <si>
    <t>Fringe Benefit Costs for Activity 10</t>
  </si>
  <si>
    <t>Total Fringe Benefit Costs for Activity 10</t>
  </si>
  <si>
    <t>Professional Services/Contractual for Activity 10</t>
  </si>
  <si>
    <t>Consultant to develop a strategy for Public-Private Partnerships (PPP) to Strengthen School Feeding Services</t>
  </si>
  <si>
    <t>Legal Advisor for Review of MOUs, Templates, etc.</t>
  </si>
  <si>
    <t>IT Consultant to Support CSR Activation Platform</t>
  </si>
  <si>
    <t>Graphic Designer for Developing Campaign Content for CSR Platform</t>
  </si>
  <si>
    <t>Creative Content Production for Engage the Honduran Diaspora in School Feeding Support</t>
  </si>
  <si>
    <t>Total Professional Services/Contractual for Activity 10</t>
  </si>
  <si>
    <t>Travel for Activity 10</t>
  </si>
  <si>
    <t>Local Transportation for Implementation of Activity 10</t>
  </si>
  <si>
    <t>Lodging and M&amp;IE for Implementation of Activity 10</t>
  </si>
  <si>
    <t xml:space="preserve">Local Transportation for Capacity Building  Meetings for Municipal Staff and Business Leaders </t>
  </si>
  <si>
    <t xml:space="preserve">Lodging and M&amp;IE for Capacity Building  Meetings for Municipal Staff and Business Leaders </t>
  </si>
  <si>
    <t>Total Travel for Activity 10</t>
  </si>
  <si>
    <t>Other for Activity 10</t>
  </si>
  <si>
    <t>Validation Workshops</t>
  </si>
  <si>
    <t xml:space="preserve">Capacity Building  Meetings for Municipal Staff and Business Leaders </t>
  </si>
  <si>
    <t>Meetings on CSR Activation Platform</t>
  </si>
  <si>
    <t>Total Other Expenses for Activity 10</t>
  </si>
  <si>
    <t>Cost Share for Activity 10</t>
  </si>
  <si>
    <t>Venue &amp; A/V Equipment for Validation Workshops</t>
  </si>
  <si>
    <t>Venue &amp; A/V Equipment Meetings on CSR Activation Platform</t>
  </si>
  <si>
    <t>Total Cost Share for Activity 10</t>
  </si>
  <si>
    <t>Total Activity 10</t>
  </si>
  <si>
    <t>Personnel Costs for Activity 11</t>
  </si>
  <si>
    <t>Total Personnel Costs for Activity 11</t>
  </si>
  <si>
    <t>Fringe Benefit Costs for Activity 11</t>
  </si>
  <si>
    <t>Total Fringe Benefit Costs for Activity 11</t>
  </si>
  <si>
    <t>Travel for Activity 11</t>
  </si>
  <si>
    <t>Local Transportation for Implementation of Activity 11</t>
  </si>
  <si>
    <t>Lodging and M&amp;IE for Implementation of Activity 11</t>
  </si>
  <si>
    <t>Total Travel for Activity 11</t>
  </si>
  <si>
    <t>Other for Activity 11</t>
  </si>
  <si>
    <t>Workshop to Present Study Findings</t>
  </si>
  <si>
    <t>Total Other Expenses for Activity 11</t>
  </si>
  <si>
    <t>Cost Share for Activity 11</t>
  </si>
  <si>
    <t>Total Cost Share for Activity 11</t>
  </si>
  <si>
    <t>Total Activity 11</t>
  </si>
  <si>
    <t>Internal Transportation Storage and Handling (ITSH)</t>
  </si>
  <si>
    <t>Personnel Costs for ITSH</t>
  </si>
  <si>
    <t>Total Personnel Costs for ITSH</t>
  </si>
  <si>
    <t>Fringe Benefit Costs for ITSH</t>
  </si>
  <si>
    <t>Total Fringe Benefit Costs for ITSH</t>
  </si>
  <si>
    <t>Professional Services/Contractual for ITSH</t>
  </si>
  <si>
    <t>Warehouse Cleaning &amp; Repairs</t>
  </si>
  <si>
    <t>Phytosanitary and Other Permits</t>
  </si>
  <si>
    <t>Yearly</t>
  </si>
  <si>
    <t>Clearing Agent for Customs/Customs Clearance Services</t>
  </si>
  <si>
    <t>Commodity Management, Warehouse, &amp; Logistics Consultant</t>
  </si>
  <si>
    <t>Call Forward Consultant</t>
  </si>
  <si>
    <t>Total Professional Services/Contractual for ITSH</t>
  </si>
  <si>
    <t>Warehouse for ITSH</t>
  </si>
  <si>
    <t>Warehouse Rental and Security Costs</t>
  </si>
  <si>
    <t>Preventative Fumigation (Main &amp; Secondary Warehouse)</t>
  </si>
  <si>
    <t>Regular Fumigation (Main &amp; Secondary Warehouse)</t>
  </si>
  <si>
    <t>Municipality Fumigation Kits</t>
  </si>
  <si>
    <t>Unloading and Stowage</t>
  </si>
  <si>
    <t>Repacking of Commodities for Schools</t>
  </si>
  <si>
    <t>Take Home Ration Packaging</t>
  </si>
  <si>
    <t xml:space="preserve">Printing Material for Warehouse Safety Signs </t>
  </si>
  <si>
    <t>Total Warehouse for ITSH</t>
  </si>
  <si>
    <t>Supplies for ITSH</t>
  </si>
  <si>
    <t>Tablets for Warehouse</t>
  </si>
  <si>
    <t>Total Supplies for ITSH</t>
  </si>
  <si>
    <t>Travel for ITSH</t>
  </si>
  <si>
    <t>Local Transportation for Staff</t>
  </si>
  <si>
    <t>Lodging and M&amp;IE for Staff</t>
  </si>
  <si>
    <t>Total Travel for ITSH</t>
  </si>
  <si>
    <t>Internal Transportation for ITSH</t>
  </si>
  <si>
    <t xml:space="preserve">Internal Transportation - US Commodities  </t>
  </si>
  <si>
    <t>Internal Transportation - Eggs</t>
  </si>
  <si>
    <t>Total Internal Transportation for ITSH</t>
  </si>
  <si>
    <t>Other for ITSH</t>
  </si>
  <si>
    <t>None</t>
  </si>
  <si>
    <t>Total Other Expenses for ITSH</t>
  </si>
  <si>
    <t>Total Internal Transportation Storage and Handling (ITSH)</t>
  </si>
  <si>
    <t>Eggs</t>
  </si>
  <si>
    <t>Metric Ton</t>
  </si>
  <si>
    <t>Fruits</t>
  </si>
  <si>
    <t>Vegetables</t>
  </si>
  <si>
    <t xml:space="preserve">Total Indirect Costs (NICRA) </t>
  </si>
  <si>
    <t>TOTAL COSTS</t>
  </si>
  <si>
    <t>Subrecipient Budget MGD</t>
  </si>
  <si>
    <t>Country of Operation: HONDURAS</t>
  </si>
  <si>
    <t>Implementing Organization: FEREMA</t>
  </si>
  <si>
    <t>Budget Assumptions</t>
  </si>
  <si>
    <t>Merit Based Increases for Staff - 5%</t>
  </si>
  <si>
    <t>Inflation rate - 5%</t>
  </si>
  <si>
    <t>Item</t>
  </si>
  <si>
    <t>Type of Unit</t>
  </si>
  <si>
    <t>Year 1</t>
  </si>
  <si>
    <t>Year 2</t>
  </si>
  <si>
    <t>Year 3</t>
  </si>
  <si>
    <t>Year 4</t>
  </si>
  <si>
    <t>Year 5</t>
  </si>
  <si>
    <t>Total</t>
  </si>
  <si>
    <t>Activity 3</t>
  </si>
  <si>
    <t>Activity 4</t>
  </si>
  <si>
    <t>Activity 6</t>
  </si>
  <si>
    <t>Cost</t>
  </si>
  <si>
    <t>Quantity</t>
  </si>
  <si>
    <t>Percent Allocated</t>
  </si>
  <si>
    <t xml:space="preserve">Direct Costs </t>
  </si>
  <si>
    <t>A3</t>
  </si>
  <si>
    <t>A4</t>
  </si>
  <si>
    <t>A6</t>
  </si>
  <si>
    <t>CCN Staff</t>
  </si>
  <si>
    <t xml:space="preserve">Project Coordinator </t>
  </si>
  <si>
    <t>Education Officer (3 officers)</t>
  </si>
  <si>
    <t>Preschool Specialist</t>
  </si>
  <si>
    <t xml:space="preserve">Logistics Officer </t>
  </si>
  <si>
    <t>Financial Specialist</t>
  </si>
  <si>
    <t>Financial, Accounting, and Logistics Assistant</t>
  </si>
  <si>
    <t>Subtotal: Salaries &amp; Wages</t>
  </si>
  <si>
    <t xml:space="preserve"> Fringe</t>
  </si>
  <si>
    <t>Subtotal: Benefits</t>
  </si>
  <si>
    <t>Local Travel</t>
  </si>
  <si>
    <t>Local Transportation for Trainings and Field Activities - Staff</t>
  </si>
  <si>
    <t>Daily</t>
  </si>
  <si>
    <t>Local Transportation for Trainings and Field Activities - Consultants Activity 3.1 (Strengthen Teaching Using Targeted Instruction and GANE Guides)</t>
  </si>
  <si>
    <t>Local Transportation for Trainings and Field Activities - Consultants Activity 6.2 Deliver Nutrition for Early Learners and Caregivers</t>
  </si>
  <si>
    <t>Per Diem</t>
  </si>
  <si>
    <t>Per Diem - Staff</t>
  </si>
  <si>
    <t>Per Diem - - Consultants Activity 3.1 (Strengthen Teaching Using Targeted Instruction and GANE Guides)</t>
  </si>
  <si>
    <t>Per Diem -Consultants Activity 6.2 Deliver Nutrition for Early Learners and Caregivers</t>
  </si>
  <si>
    <t>Lodging and M&amp;IE for Trainings</t>
  </si>
  <si>
    <t>Lodging and M&amp;IE for Trainings - Staff</t>
  </si>
  <si>
    <t>Lodging and M&amp;IE for Trainings - Consultants Activity 3.1 (Strengthen Teaching Using Targeted Instruction and GANE Guides)</t>
  </si>
  <si>
    <t>Lodging and M&amp;IE for Trainings - Consultants Activity 6.2 Deliver Nutrition for Early Learners and Caregivers</t>
  </si>
  <si>
    <t>Rent and Full transportation</t>
  </si>
  <si>
    <t>Subtotal: Travel</t>
  </si>
  <si>
    <t>Master Trainers</t>
  </si>
  <si>
    <t>Teacher Coaches</t>
  </si>
  <si>
    <t>Literacy Specialist</t>
  </si>
  <si>
    <t>Math Specialist</t>
  </si>
  <si>
    <t>Nutrition technicians / mobilizers</t>
  </si>
  <si>
    <t>Print materials designer and layout specialist</t>
  </si>
  <si>
    <t>Subtotal: Professional Services/Contractual</t>
  </si>
  <si>
    <t>unit</t>
  </si>
  <si>
    <t>Subtotal: Equipment</t>
  </si>
  <si>
    <t>Office</t>
  </si>
  <si>
    <t>Subtotal: Office</t>
  </si>
  <si>
    <t>Laptop</t>
  </si>
  <si>
    <t>Multifunction printer</t>
  </si>
  <si>
    <t>Tablets</t>
  </si>
  <si>
    <t>Monthly</t>
  </si>
  <si>
    <t>Subtotal: Supplies</t>
  </si>
  <si>
    <t>Other Direct Cost</t>
  </si>
  <si>
    <t>Workshops and training</t>
  </si>
  <si>
    <t xml:space="preserve">3.1.1 Strengthen Teacher Using Targeted Instruction and GANE Guides - Master Trainers Training </t>
  </si>
  <si>
    <t>Materials and supplies</t>
  </si>
  <si>
    <t>Participant</t>
  </si>
  <si>
    <t>Meals</t>
  </si>
  <si>
    <t>Participant/day</t>
  </si>
  <si>
    <t>Lodging</t>
  </si>
  <si>
    <t>Participant transportation</t>
  </si>
  <si>
    <t>Trips/participant</t>
  </si>
  <si>
    <t>3.1.2 Strengthen Teacher Using Targeted Instruction and GANE Guides - Teacher Coaches Training</t>
  </si>
  <si>
    <t>3.1.3 Strengthen Teacher Using Targeted Instruction and GANE Guides - Teachers Training</t>
  </si>
  <si>
    <t>3.1.4 School Administrators Training</t>
  </si>
  <si>
    <t>4.4. Expand Pre-Primary Access through Educator Training - Preschool teachers Training</t>
  </si>
  <si>
    <t>Play-based kits</t>
  </si>
  <si>
    <t>6.2.1 Deliver Nutrition Education for Early Learners and Caregivers - Mobilizers</t>
  </si>
  <si>
    <t>6.2.2 Deliver Nutrition Education for Early Learners and Caregivers - Teachers, Parents and Caregivers</t>
  </si>
  <si>
    <t>Microsoft 365 license</t>
  </si>
  <si>
    <t>Kobotoolbox-Power Bi license</t>
  </si>
  <si>
    <t>Antivirus-firewall license</t>
  </si>
  <si>
    <t>Office communications</t>
  </si>
  <si>
    <t>Cellular communications services for staff</t>
  </si>
  <si>
    <t>Cellular communications services for field team</t>
  </si>
  <si>
    <t>Local currier</t>
  </si>
  <si>
    <t>Legal fees</t>
  </si>
  <si>
    <t>Banking fees</t>
  </si>
  <si>
    <t>Subtotal: Other Direct Cost</t>
  </si>
  <si>
    <t>Total Direct Cost</t>
  </si>
  <si>
    <t>Subtotal Indirect Cost</t>
  </si>
  <si>
    <t>Total Estimated Cost (Direct Cost + Indirect Cost)</t>
  </si>
  <si>
    <t>Total Cost Share (for reference)</t>
  </si>
  <si>
    <t>Total Estimated Cost (Direct Cost + Indirect Cost+ Cost Share)</t>
  </si>
  <si>
    <t>Anticipated Program Income (baked in costs and this is for reference)</t>
  </si>
  <si>
    <t>Level of Effort (LOE) Breakdown by Activity</t>
  </si>
  <si>
    <t>Months in Year 1</t>
  </si>
  <si>
    <t>Year 1 LOE</t>
  </si>
  <si>
    <t>Total Salary Amount Year 1</t>
  </si>
  <si>
    <t>Months in Year 2</t>
  </si>
  <si>
    <t>Year 2 LOE</t>
  </si>
  <si>
    <t>Total Salary Amount Year 2</t>
  </si>
  <si>
    <t>Months in Year 3</t>
  </si>
  <si>
    <t>Year 3 LOE</t>
  </si>
  <si>
    <t>Total Salary Amount Year 3</t>
  </si>
  <si>
    <t>Months in Year 4</t>
  </si>
  <si>
    <t>Year 4 LOE</t>
  </si>
  <si>
    <t>Total Salary Amount Year 4</t>
  </si>
  <si>
    <t>Months in Year 5</t>
  </si>
  <si>
    <t>Year 5 LOE</t>
  </si>
  <si>
    <t>Total Salary Amount Year 5</t>
  </si>
  <si>
    <t>Months in Year 6</t>
  </si>
  <si>
    <t>Year 6 LOE</t>
  </si>
  <si>
    <t>Total Salary Amount Year 6</t>
  </si>
  <si>
    <t>Total Amount LOP</t>
  </si>
  <si>
    <t>Total Months Worked</t>
  </si>
  <si>
    <t>Average Salary</t>
  </si>
  <si>
    <t xml:space="preserve">LOE </t>
  </si>
  <si>
    <t>LOE</t>
  </si>
  <si>
    <t>Personnel (Administration)</t>
  </si>
  <si>
    <t xml:space="preserve">Honduran National Staff </t>
  </si>
  <si>
    <t xml:space="preserve">Home Office Support </t>
  </si>
  <si>
    <t>Average Monthly</t>
  </si>
  <si>
    <t>Summary of Local and Regional Procurement Budget</t>
  </si>
  <si>
    <t>Salaries/Personnel (from Administration)</t>
  </si>
  <si>
    <t>Benefits (from Administration)</t>
  </si>
  <si>
    <t>Salaries/Personnel (from ITSH)</t>
  </si>
  <si>
    <t>Benefits (from ITSH)</t>
  </si>
  <si>
    <t>ICR on ITSH</t>
  </si>
  <si>
    <t>ICR on Commodity and Food Purchases</t>
  </si>
  <si>
    <t>Percentage of Budget</t>
  </si>
  <si>
    <t>Administration</t>
  </si>
  <si>
    <t>Total LOE</t>
  </si>
  <si>
    <t>Year 6</t>
  </si>
  <si>
    <t>Summary of Indirect Cost Rates Applied</t>
  </si>
  <si>
    <t>Administration Salaries/Personnel</t>
  </si>
  <si>
    <t>Administration Fringe Benefits</t>
  </si>
  <si>
    <t>Administration Travel</t>
  </si>
  <si>
    <t>Administration Professional Services/Contractual</t>
  </si>
  <si>
    <t>Administration Equipment</t>
  </si>
  <si>
    <t>Administration Office Supplies</t>
  </si>
  <si>
    <t>Administration Other</t>
  </si>
  <si>
    <t>Total Administration Direct Costs</t>
  </si>
  <si>
    <t>Total Indirect Costs (NICRA) on Administration</t>
  </si>
  <si>
    <t>TOTAL ADMINISTRATION INDIRECT COSTS</t>
  </si>
  <si>
    <t xml:space="preserve">Total Activities Direct Costs </t>
  </si>
  <si>
    <t>Total Indirect Costs (NICRA) on Activities</t>
  </si>
  <si>
    <t>TOTAL ACTIVITIES INDIRECT COSTS</t>
  </si>
  <si>
    <t>Total Indirect Costs (NICRA) on ITSH</t>
  </si>
  <si>
    <t>TOTAL ITSH</t>
  </si>
  <si>
    <t>Total Indirect Costs (NICRA) on Commodity Procurement</t>
  </si>
  <si>
    <t>TOTAL Commodity Procurement</t>
  </si>
  <si>
    <t>TOTAL INDIRECT COSTS</t>
  </si>
  <si>
    <t>FY2025 COMMODITY CALCULATION WORKSHEET</t>
  </si>
  <si>
    <t>Country</t>
  </si>
  <si>
    <t>Submission Date</t>
  </si>
  <si>
    <t>PVO</t>
  </si>
  <si>
    <t>Program Year</t>
  </si>
  <si>
    <t>Inland Rate</t>
  </si>
  <si>
    <t>METRIC TONNAGE (MT)</t>
  </si>
  <si>
    <t>COMMODITY &amp; FREIGHT (C&amp;F) COSTS</t>
  </si>
  <si>
    <t>PROGRAM SUMMARY</t>
  </si>
  <si>
    <t>DD MT Total</t>
  </si>
  <si>
    <t>DD C&amp;F Total</t>
  </si>
  <si>
    <t>Total C&amp;F (000s)</t>
  </si>
  <si>
    <t>% DD</t>
  </si>
  <si>
    <t>Section 202(e) (000s)</t>
  </si>
  <si>
    <t>Monet MT Total</t>
  </si>
  <si>
    <t>Monet C&amp;F Total (000s)</t>
  </si>
  <si>
    <t>% Section 202(e)</t>
  </si>
  <si>
    <t>% Monet</t>
  </si>
  <si>
    <t>ITSH (000s)</t>
  </si>
  <si>
    <t>TOTAL MT</t>
  </si>
  <si>
    <t>TOTAL C&amp;F (000s)</t>
  </si>
  <si>
    <t>TOTAL PROGRAM COST (000s)</t>
  </si>
  <si>
    <t>Line</t>
  </si>
  <si>
    <t>Commodity</t>
  </si>
  <si>
    <t>MT</t>
  </si>
  <si>
    <t>Commodity Type</t>
  </si>
  <si>
    <t>FY Funding Source</t>
  </si>
  <si>
    <t>Inland Rate ($/MT)</t>
  </si>
  <si>
    <t>Inland Value</t>
  </si>
  <si>
    <t>Ocean Rate ($/MT)</t>
  </si>
  <si>
    <t>Ocean Value</t>
  </si>
  <si>
    <t>Fumigation Rate ($/MT)</t>
  </si>
  <si>
    <t>Fumigation Value</t>
  </si>
  <si>
    <t>Inspection Surveyor Rate ($/MT)</t>
  </si>
  <si>
    <t>Inspection Surveyor Value</t>
  </si>
  <si>
    <t>Total Trans (000s)</t>
  </si>
  <si>
    <t>Commodity Price ($/MT)</t>
  </si>
  <si>
    <t xml:space="preserve">Commodity Value </t>
  </si>
  <si>
    <t>Warehousing</t>
  </si>
  <si>
    <t>Estimated Total Com and Frt (000s)</t>
  </si>
  <si>
    <t>Direct Distribution (DD)</t>
  </si>
  <si>
    <t>Fortified Rice</t>
  </si>
  <si>
    <t>Packaged</t>
  </si>
  <si>
    <t>Oil</t>
  </si>
  <si>
    <t>Bulk</t>
  </si>
  <si>
    <t>Red Beans</t>
  </si>
  <si>
    <t>Corn</t>
  </si>
  <si>
    <t>CSB+</t>
  </si>
  <si>
    <t>Egg</t>
  </si>
  <si>
    <t>Veggies</t>
  </si>
  <si>
    <t>BAGS, WOVEN POLYPROPYLENE- 50 KG    100752</t>
  </si>
  <si>
    <t>N/A</t>
  </si>
  <si>
    <t>Rice</t>
  </si>
  <si>
    <t>Egg (dozen)</t>
  </si>
  <si>
    <t>Corn Meal</t>
  </si>
  <si>
    <t>Takehome CSB+</t>
  </si>
  <si>
    <t>Takehome Rice</t>
  </si>
  <si>
    <t>Takehome Beans</t>
  </si>
  <si>
    <t>Activity Code</t>
  </si>
  <si>
    <t>Account Code</t>
  </si>
  <si>
    <t>Country Code</t>
  </si>
  <si>
    <t>Funder Grant:</t>
  </si>
  <si>
    <t>USDA801</t>
  </si>
  <si>
    <t>Program/Dept.:</t>
  </si>
  <si>
    <t>HND</t>
  </si>
  <si>
    <t>PERADMNCOP</t>
  </si>
  <si>
    <t>PERADMNDOP</t>
  </si>
  <si>
    <t>PERADMNPSS</t>
  </si>
  <si>
    <t>PERADMNEDD</t>
  </si>
  <si>
    <t>PERADMNEDS</t>
  </si>
  <si>
    <t>PERADMNEDO</t>
  </si>
  <si>
    <t>PERADMNNHS</t>
  </si>
  <si>
    <t>PERADMNNOF</t>
  </si>
  <si>
    <t>PERADMNSFS</t>
  </si>
  <si>
    <t>PERADMNFAM</t>
  </si>
  <si>
    <t>PERADMNWAS</t>
  </si>
  <si>
    <t>PERADMNCMS</t>
  </si>
  <si>
    <t>PERADMNCMO</t>
  </si>
  <si>
    <t>PERADMNECS</t>
  </si>
  <si>
    <t>PERADMNECO</t>
  </si>
  <si>
    <t>PERADMNPOL</t>
  </si>
  <si>
    <t>PERADMNMED</t>
  </si>
  <si>
    <t>PERADMNMES</t>
  </si>
  <si>
    <t>PERADMNMEO</t>
  </si>
  <si>
    <t>PERADMNSCM</t>
  </si>
  <si>
    <t>PERADMNCLO</t>
  </si>
  <si>
    <t>PERADMNULO</t>
  </si>
  <si>
    <t>PERADMNWHM</t>
  </si>
  <si>
    <t>PERADMNWHO</t>
  </si>
  <si>
    <t>PERADMNLRP</t>
  </si>
  <si>
    <t>PERADMNCCD</t>
  </si>
  <si>
    <t>PERADMNSPO</t>
  </si>
  <si>
    <t>PERADMNFAD</t>
  </si>
  <si>
    <t>PERADMNCCM</t>
  </si>
  <si>
    <t>PERADMNGPS</t>
  </si>
  <si>
    <t>PERADMNGPO</t>
  </si>
  <si>
    <t>PERADMNFNO</t>
  </si>
  <si>
    <t>PERADMNACT</t>
  </si>
  <si>
    <t>PERADMNHRM</t>
  </si>
  <si>
    <t>PERADMNADA</t>
  </si>
  <si>
    <t>PERADMNDRV</t>
  </si>
  <si>
    <t>PERADMNVPP</t>
  </si>
  <si>
    <t>PERADMNPGD</t>
  </si>
  <si>
    <t>PERADMNASD</t>
  </si>
  <si>
    <t>50000</t>
  </si>
  <si>
    <t>USA</t>
  </si>
  <si>
    <t>FRINGE</t>
  </si>
  <si>
    <t>50900</t>
  </si>
  <si>
    <t>70015</t>
  </si>
  <si>
    <t>STFTRAVEL</t>
  </si>
  <si>
    <t>STFTRVCTS</t>
  </si>
  <si>
    <t>86030 (Lodging)/ 86050 (M&amp;IE)</t>
  </si>
  <si>
    <t>PAYROLL</t>
  </si>
  <si>
    <t>LEGAL</t>
  </si>
  <si>
    <t>AUDIT</t>
  </si>
  <si>
    <t>82100</t>
  </si>
  <si>
    <t>SECURITY</t>
  </si>
  <si>
    <t>CONSULT</t>
  </si>
  <si>
    <t>STUDY</t>
  </si>
  <si>
    <t>81010</t>
  </si>
  <si>
    <t>BASELINE</t>
  </si>
  <si>
    <t>MIDTERM</t>
  </si>
  <si>
    <t>ENDLINE</t>
  </si>
  <si>
    <t>SPECSTUDY</t>
  </si>
  <si>
    <t>M&amp;ETRAIN</t>
  </si>
  <si>
    <t>81021 (Translation)/ 85300 (Printing)</t>
  </si>
  <si>
    <t>M&amp;EDATA</t>
  </si>
  <si>
    <t>M&amp;EGUIDE</t>
  </si>
  <si>
    <t>VEHICLE</t>
  </si>
  <si>
    <t>SUPPLIES</t>
  </si>
  <si>
    <t>HND/USA</t>
  </si>
  <si>
    <t>COMMTEG</t>
  </si>
  <si>
    <t>COMMINTI</t>
  </si>
  <si>
    <t>COMMLAPAZ</t>
  </si>
  <si>
    <t>BANK FEES</t>
  </si>
  <si>
    <t>TRAIN</t>
  </si>
  <si>
    <t>87000</t>
  </si>
  <si>
    <t>SUBSCRIPT</t>
  </si>
  <si>
    <t>MEETING</t>
  </si>
  <si>
    <t>ADVERTISIN</t>
  </si>
  <si>
    <t>POSTAGE</t>
  </si>
  <si>
    <t>81030</t>
  </si>
  <si>
    <t>EQ.MNT REP</t>
  </si>
  <si>
    <t>VEHICLEMNT</t>
  </si>
  <si>
    <t>VEHICLEFEE</t>
  </si>
  <si>
    <t>VEHICLEINS</t>
  </si>
  <si>
    <t>FRINGEADM</t>
  </si>
  <si>
    <t>FRINGEACT1</t>
  </si>
  <si>
    <t>PERACT1COP</t>
  </si>
  <si>
    <t>PERACT1DOP</t>
  </si>
  <si>
    <t>PERACT1POL</t>
  </si>
  <si>
    <t>PERACT1EDD</t>
  </si>
  <si>
    <t>PERACT1EDS</t>
  </si>
  <si>
    <t>PERACT1EDO</t>
  </si>
  <si>
    <t>PERACT1NOF</t>
  </si>
  <si>
    <t>PERACT1SFS</t>
  </si>
  <si>
    <t>PERACT1FAM</t>
  </si>
  <si>
    <t>PERACT1WAS</t>
  </si>
  <si>
    <t>PERACT1CMS</t>
  </si>
  <si>
    <t>PERACT1CMO</t>
  </si>
  <si>
    <t>PERACT1ECS</t>
  </si>
  <si>
    <t>PERACT1ECO</t>
  </si>
  <si>
    <t>PERACT1PSS</t>
  </si>
  <si>
    <t>PERACT1NHS</t>
  </si>
  <si>
    <t>PERACT1MED</t>
  </si>
  <si>
    <t>PERACT1MES</t>
  </si>
  <si>
    <t>PERACT1MEO</t>
  </si>
  <si>
    <t>PERACT1SCM</t>
  </si>
  <si>
    <t>PERACT1CLO</t>
  </si>
  <si>
    <t>PERACT1ULO</t>
  </si>
  <si>
    <t>PERACT1WHM</t>
  </si>
  <si>
    <t>PERACT1WHO</t>
  </si>
  <si>
    <t>PERACT1LRP</t>
  </si>
  <si>
    <t>PERACT1FAD</t>
  </si>
  <si>
    <t>PERACT1CCM</t>
  </si>
  <si>
    <t>PERACT1GPS</t>
  </si>
  <si>
    <t>PERACT1GPO</t>
  </si>
  <si>
    <t>PERACT1FNO</t>
  </si>
  <si>
    <t>PERACT1ACT</t>
  </si>
  <si>
    <t>PERACT1HRM</t>
  </si>
  <si>
    <t>PERACT1ADA</t>
  </si>
  <si>
    <t>PERACT1DRV</t>
  </si>
  <si>
    <t>FRINGEACT2</t>
  </si>
  <si>
    <t>FRINGEACT3</t>
  </si>
  <si>
    <t>FRINGEACT4</t>
  </si>
  <si>
    <t>FRINGEACT5</t>
  </si>
  <si>
    <t>FRINGEACT6</t>
  </si>
  <si>
    <t>FRINGEACT7</t>
  </si>
  <si>
    <t>FRINGEACT8</t>
  </si>
  <si>
    <t>FRINGEAC10</t>
  </si>
  <si>
    <t>LAPTOP</t>
  </si>
  <si>
    <t>UTILITIES</t>
  </si>
  <si>
    <t>RENTTEG</t>
  </si>
  <si>
    <t>PERACT2COP</t>
  </si>
  <si>
    <t>PERACT2DOP</t>
  </si>
  <si>
    <t>PERACT2POL</t>
  </si>
  <si>
    <t>PERACT2EDD</t>
  </si>
  <si>
    <t>PERACT2EDS</t>
  </si>
  <si>
    <t>PERACT2EDO</t>
  </si>
  <si>
    <t>PERACT2NHS</t>
  </si>
  <si>
    <t>PERACT2NOF</t>
  </si>
  <si>
    <t>PERACT2SFS</t>
  </si>
  <si>
    <t>PERACT2FAM</t>
  </si>
  <si>
    <t>PERACT2WAS</t>
  </si>
  <si>
    <t>PERACT2CMS</t>
  </si>
  <si>
    <t>PERACT2CMO</t>
  </si>
  <si>
    <t>PERACT2ECS</t>
  </si>
  <si>
    <t>PERACT2ECO</t>
  </si>
  <si>
    <t>PERACT2PSS</t>
  </si>
  <si>
    <t>PERACT2MED</t>
  </si>
  <si>
    <t>PERACT2MES</t>
  </si>
  <si>
    <t>PERACT2MEO</t>
  </si>
  <si>
    <t>PERACT2SCM</t>
  </si>
  <si>
    <t>PERACT2CLO</t>
  </si>
  <si>
    <t>PERACT2ULO</t>
  </si>
  <si>
    <t>PERACT2WHM</t>
  </si>
  <si>
    <t>PERACT2WHO</t>
  </si>
  <si>
    <t>PERACT2LRP</t>
  </si>
  <si>
    <t>PERACT2FAD</t>
  </si>
  <si>
    <t>PERACT2CCM</t>
  </si>
  <si>
    <t>PERACT2GPS</t>
  </si>
  <si>
    <t>PERACT2GPO</t>
  </si>
  <si>
    <t>PERACT2FNO</t>
  </si>
  <si>
    <t>PERACT2ACT</t>
  </si>
  <si>
    <t>PERACT2HRM</t>
  </si>
  <si>
    <t>PERACT2ADA</t>
  </si>
  <si>
    <t>PERACT2DRV</t>
  </si>
  <si>
    <t>PERACT3COP</t>
  </si>
  <si>
    <t>PERACT3DOP</t>
  </si>
  <si>
    <t>PERACT3POL</t>
  </si>
  <si>
    <t>PERACT3EDD</t>
  </si>
  <si>
    <t>PERACT3EDS</t>
  </si>
  <si>
    <t>PERACT3EDO</t>
  </si>
  <si>
    <t>PERACT3NHS</t>
  </si>
  <si>
    <t>PERACT3NOF</t>
  </si>
  <si>
    <t>PERACT3SFS</t>
  </si>
  <si>
    <t>PERACT3FAM</t>
  </si>
  <si>
    <t>PERACT3WAS</t>
  </si>
  <si>
    <t>PERACT3CMS</t>
  </si>
  <si>
    <t>PERACT3CMO</t>
  </si>
  <si>
    <t>PERACT3ECS</t>
  </si>
  <si>
    <t>PERACT3ECO</t>
  </si>
  <si>
    <t>PERACT3PSS</t>
  </si>
  <si>
    <t>PERACT3MED</t>
  </si>
  <si>
    <t>PERACT3MES</t>
  </si>
  <si>
    <t>PERACT3MEO</t>
  </si>
  <si>
    <t>PERACT3SCM</t>
  </si>
  <si>
    <t>PERACT3CLO</t>
  </si>
  <si>
    <t>PERACT3ULO</t>
  </si>
  <si>
    <t>PERACT3WHM</t>
  </si>
  <si>
    <t>PERACT3WHO</t>
  </si>
  <si>
    <t>PERACT3LRP</t>
  </si>
  <si>
    <t>PERACT3FAD</t>
  </si>
  <si>
    <t>PERACT3CCM</t>
  </si>
  <si>
    <t>PERACT3GPS</t>
  </si>
  <si>
    <t>PERACT3GPO</t>
  </si>
  <si>
    <t>PERACT3FNO</t>
  </si>
  <si>
    <t>PERACT3ACT</t>
  </si>
  <si>
    <t>PERACT3HRM</t>
  </si>
  <si>
    <t>PERACT3ADA</t>
  </si>
  <si>
    <t>PERACT3DRV</t>
  </si>
  <si>
    <t>PERACT4COP</t>
  </si>
  <si>
    <t>PERACT4DOP</t>
  </si>
  <si>
    <t>PERACT4POL</t>
  </si>
  <si>
    <t>PERACT4EDD</t>
  </si>
  <si>
    <t>PERACT4EDS</t>
  </si>
  <si>
    <t>PERACT4EDO</t>
  </si>
  <si>
    <t>PERACT4NHS</t>
  </si>
  <si>
    <t>PERACT4NOF</t>
  </si>
  <si>
    <t>PERACT4SFS</t>
  </si>
  <si>
    <t>PERACT4FAM</t>
  </si>
  <si>
    <t>PERACT4WAS</t>
  </si>
  <si>
    <t>PERACT4CMS</t>
  </si>
  <si>
    <t>PERACT4CMO</t>
  </si>
  <si>
    <t>PERACT4ECS</t>
  </si>
  <si>
    <t>PERACT4ECO</t>
  </si>
  <si>
    <t>PERACT4PSS</t>
  </si>
  <si>
    <t>PERACT4MED</t>
  </si>
  <si>
    <t>PERACT4MES</t>
  </si>
  <si>
    <t>PERACT4MEO</t>
  </si>
  <si>
    <t>PERACT4SCM</t>
  </si>
  <si>
    <t>PERACT4CLO</t>
  </si>
  <si>
    <t>PERACT4ULO</t>
  </si>
  <si>
    <t>PERACT4WHM</t>
  </si>
  <si>
    <t>PERACT4WHO</t>
  </si>
  <si>
    <t>PERACT4LRP</t>
  </si>
  <si>
    <t>PERACT4FAD</t>
  </si>
  <si>
    <t>PERACT4CCM</t>
  </si>
  <si>
    <t>PERACT4GPS</t>
  </si>
  <si>
    <t>PERACT4GPO</t>
  </si>
  <si>
    <t>PERACT4FNO</t>
  </si>
  <si>
    <t>PERACT4ACT</t>
  </si>
  <si>
    <t>PERACT4HRM</t>
  </si>
  <si>
    <t>PERACT4ADA</t>
  </si>
  <si>
    <t>PERACT4DRV</t>
  </si>
  <si>
    <t>PERACT5COP</t>
  </si>
  <si>
    <t>PERACT5DOP</t>
  </si>
  <si>
    <t>PERACT5POL</t>
  </si>
  <si>
    <t>PERACT5EDD</t>
  </si>
  <si>
    <t>PERACT5EDS</t>
  </si>
  <si>
    <t>PERACT5EDO</t>
  </si>
  <si>
    <t>PERACT5NHS</t>
  </si>
  <si>
    <t>PERACT5NOF</t>
  </si>
  <si>
    <t>PERACT5SFS</t>
  </si>
  <si>
    <t>PERACT5FAM</t>
  </si>
  <si>
    <t>PERACT5WAS</t>
  </si>
  <si>
    <t>PERACT5CMS</t>
  </si>
  <si>
    <t>PERACT5CMO</t>
  </si>
  <si>
    <t>PERACT5ECS</t>
  </si>
  <si>
    <t>PERACT5ECO</t>
  </si>
  <si>
    <t>PERACT5PSS</t>
  </si>
  <si>
    <t>PERACT5MED</t>
  </si>
  <si>
    <t>PERACT5MES</t>
  </si>
  <si>
    <t>PERACT5MEO</t>
  </si>
  <si>
    <t>PERACT5SCM</t>
  </si>
  <si>
    <t>PERACT5CLO</t>
  </si>
  <si>
    <t>PERACT5ULO</t>
  </si>
  <si>
    <t>PERACT5WHM</t>
  </si>
  <si>
    <t>PERACT5WHO</t>
  </si>
  <si>
    <t>PERACT5LRP</t>
  </si>
  <si>
    <t>PERACT5FAD</t>
  </si>
  <si>
    <t>PERACT5CCM</t>
  </si>
  <si>
    <t>PERACT5GPS</t>
  </si>
  <si>
    <t>PERACT5GPO</t>
  </si>
  <si>
    <t>PERACT5FNO</t>
  </si>
  <si>
    <t>PERACT5ACT</t>
  </si>
  <si>
    <t>PERACT5HRM</t>
  </si>
  <si>
    <t>PERACT5ADA</t>
  </si>
  <si>
    <t>PERACT5DRV</t>
  </si>
  <si>
    <t>PERACT6COP</t>
  </si>
  <si>
    <t>PERACT6DOP</t>
  </si>
  <si>
    <t>PERACT6POL</t>
  </si>
  <si>
    <t>PERACT6EDD</t>
  </si>
  <si>
    <t>PERACT6EDS</t>
  </si>
  <si>
    <t>PERACT6EDO</t>
  </si>
  <si>
    <t>PERACT6NHS</t>
  </si>
  <si>
    <t>PERACT6NOF</t>
  </si>
  <si>
    <t>PERACT6SFS</t>
  </si>
  <si>
    <t>PERACT6FAM</t>
  </si>
  <si>
    <t>PERACT6WAS</t>
  </si>
  <si>
    <t>PERACT6CMS</t>
  </si>
  <si>
    <t>PERACT6CMO</t>
  </si>
  <si>
    <t>PERACT6ECS</t>
  </si>
  <si>
    <t>PERACT6ECO</t>
  </si>
  <si>
    <t>PERACT6PSS</t>
  </si>
  <si>
    <t>PERACT6MED</t>
  </si>
  <si>
    <t>PERACT6MES</t>
  </si>
  <si>
    <t>PERACT6MEO</t>
  </si>
  <si>
    <t>PERACT6SCM</t>
  </si>
  <si>
    <t>PERACT6CLO</t>
  </si>
  <si>
    <t>PERACT6ULO</t>
  </si>
  <si>
    <t>PERACT6WHM</t>
  </si>
  <si>
    <t>PERACT6WHO</t>
  </si>
  <si>
    <t>PERACT6LRP</t>
  </si>
  <si>
    <t>PERACT6FAD</t>
  </si>
  <si>
    <t>PERACT6CCM</t>
  </si>
  <si>
    <t>PERACT6GPS</t>
  </si>
  <si>
    <t>PERACT6GPO</t>
  </si>
  <si>
    <t>PERACT6FNO</t>
  </si>
  <si>
    <t>PERACT6ACT</t>
  </si>
  <si>
    <t>PERACT6HRM</t>
  </si>
  <si>
    <t>PERACT6ADA</t>
  </si>
  <si>
    <t>PERACT6DRV</t>
  </si>
  <si>
    <t>PERACT7COP</t>
  </si>
  <si>
    <t>PERACT7DOP</t>
  </si>
  <si>
    <t>PERACT7POL</t>
  </si>
  <si>
    <t>PERACT7EDD</t>
  </si>
  <si>
    <t>PERACT7EDS</t>
  </si>
  <si>
    <t>PERACT7EDO</t>
  </si>
  <si>
    <t>PERACT7NHS</t>
  </si>
  <si>
    <t>PERACT7NOF</t>
  </si>
  <si>
    <t>PERACT7SFS</t>
  </si>
  <si>
    <t>PERACT7FAM</t>
  </si>
  <si>
    <t>PERACT7WAS</t>
  </si>
  <si>
    <t>PERACT7CMS</t>
  </si>
  <si>
    <t>PERACT7CMO</t>
  </si>
  <si>
    <t>PERACT7ECS</t>
  </si>
  <si>
    <t>PERACT7ECO</t>
  </si>
  <si>
    <t>PERACT7PSS</t>
  </si>
  <si>
    <t>PERACT7MED</t>
  </si>
  <si>
    <t>PERACT7MES</t>
  </si>
  <si>
    <t>PERACT7MEO</t>
  </si>
  <si>
    <t>PERACT7SCM</t>
  </si>
  <si>
    <t>PERACT7CLO</t>
  </si>
  <si>
    <t>PERACT7ULO</t>
  </si>
  <si>
    <t>PERACT7WHM</t>
  </si>
  <si>
    <t>PERACT7WHO</t>
  </si>
  <si>
    <t>PERACT7LRP</t>
  </si>
  <si>
    <t>PERACT7FAD</t>
  </si>
  <si>
    <t>PERACT7CCM</t>
  </si>
  <si>
    <t>PERACT7GPS</t>
  </si>
  <si>
    <t>PERACT7GPO</t>
  </si>
  <si>
    <t>PERACT7FNO</t>
  </si>
  <si>
    <t>PERACT7ACT</t>
  </si>
  <si>
    <t>PERACT7HRM</t>
  </si>
  <si>
    <t>PERACT7ADA</t>
  </si>
  <si>
    <t>PERACT7DRV</t>
  </si>
  <si>
    <t>PERACT8COP</t>
  </si>
  <si>
    <t>PERACT8DOP</t>
  </si>
  <si>
    <t>PERACT8POL</t>
  </si>
  <si>
    <t>PERACT8EDD</t>
  </si>
  <si>
    <t>PERACT8EDS</t>
  </si>
  <si>
    <t>PERACT8EDO</t>
  </si>
  <si>
    <t>PERACT8NHS</t>
  </si>
  <si>
    <t>PERACT8NOF</t>
  </si>
  <si>
    <t>PERACT8SFS</t>
  </si>
  <si>
    <t>PERACT8FAM</t>
  </si>
  <si>
    <t>PERACT8WAS</t>
  </si>
  <si>
    <t>PERACT8CMS</t>
  </si>
  <si>
    <t>PERACT8CMO</t>
  </si>
  <si>
    <t>PERACT8ECS</t>
  </si>
  <si>
    <t>PERACT8ECO</t>
  </si>
  <si>
    <t>PERACT8PSS</t>
  </si>
  <si>
    <t>PERACT8MED</t>
  </si>
  <si>
    <t>PERACT8MES</t>
  </si>
  <si>
    <t>PERACT8MEO</t>
  </si>
  <si>
    <t>PERACT8SCM</t>
  </si>
  <si>
    <t>PERACT8CLO</t>
  </si>
  <si>
    <t>PERACT8ULO</t>
  </si>
  <si>
    <t>PERACT8WHM</t>
  </si>
  <si>
    <t>PERACT8WHO</t>
  </si>
  <si>
    <t>PERACT8LRP</t>
  </si>
  <si>
    <t>PERACT8FAD</t>
  </si>
  <si>
    <t>PERACT8CCM</t>
  </si>
  <si>
    <t>PERACT8GPS</t>
  </si>
  <si>
    <t>PERACT8GPO</t>
  </si>
  <si>
    <t>PERACT8FNO</t>
  </si>
  <si>
    <t>PERACT8ACT</t>
  </si>
  <si>
    <t>PERACT8HRM</t>
  </si>
  <si>
    <t>PERACT8ADA</t>
  </si>
  <si>
    <t>PERACT8DRV</t>
  </si>
  <si>
    <t>PERACT9COP</t>
  </si>
  <si>
    <t>PERACT9DOP</t>
  </si>
  <si>
    <t>PERACT9POL</t>
  </si>
  <si>
    <t>PERACT9EDD</t>
  </si>
  <si>
    <t>PERACT9EDS</t>
  </si>
  <si>
    <t>PERACT9EDO</t>
  </si>
  <si>
    <t>PERACT9NHS</t>
  </si>
  <si>
    <t>PERACT9NOF</t>
  </si>
  <si>
    <t>PERACT9SFS</t>
  </si>
  <si>
    <t>PERACT9FAM</t>
  </si>
  <si>
    <t>PERACT9WAS</t>
  </si>
  <si>
    <t>PERACT9CMS</t>
  </si>
  <si>
    <t>PERACT9CMO</t>
  </si>
  <si>
    <t>PERACT9ECS</t>
  </si>
  <si>
    <t>PERACT9ECO</t>
  </si>
  <si>
    <t>PERACT9PSS</t>
  </si>
  <si>
    <t>PERACT9MED</t>
  </si>
  <si>
    <t>PERACT9MES</t>
  </si>
  <si>
    <t>PERACT9MEO</t>
  </si>
  <si>
    <t>PERACT9SCM</t>
  </si>
  <si>
    <t>PERACT9CLO</t>
  </si>
  <si>
    <t>PERACT9ULO</t>
  </si>
  <si>
    <t>PERACT9WHM</t>
  </si>
  <si>
    <t>PERACT9WHO</t>
  </si>
  <si>
    <t>PERACT9LRP</t>
  </si>
  <si>
    <t>PERACT9FAD</t>
  </si>
  <si>
    <t>PERACT9CCM</t>
  </si>
  <si>
    <t>PERACT9GPS</t>
  </si>
  <si>
    <t>PERACT9GPO</t>
  </si>
  <si>
    <t>PERACT9FNO</t>
  </si>
  <si>
    <t>PERACT9ACT</t>
  </si>
  <si>
    <t>PERACT9HRM</t>
  </si>
  <si>
    <t>PERACT9ADA</t>
  </si>
  <si>
    <t>PERACT9DRV</t>
  </si>
  <si>
    <t>PERAC10COP</t>
  </si>
  <si>
    <t>PERAC10DOP</t>
  </si>
  <si>
    <t>PERAC10POL</t>
  </si>
  <si>
    <t>PERAC10EDD</t>
  </si>
  <si>
    <t>PERAC10EDS</t>
  </si>
  <si>
    <t>PERAC10EDO</t>
  </si>
  <si>
    <t>PERAC10NHS</t>
  </si>
  <si>
    <t>PERAC10NOF</t>
  </si>
  <si>
    <t>PERAC10SFS</t>
  </si>
  <si>
    <t>PERAC10FAM</t>
  </si>
  <si>
    <t>PERAC10WAS</t>
  </si>
  <si>
    <t>PERAC10CMS</t>
  </si>
  <si>
    <t>PERAC10CMO</t>
  </si>
  <si>
    <t>PERAC10ECS</t>
  </si>
  <si>
    <t>PERAC10ECO</t>
  </si>
  <si>
    <t>PERAC10PSS</t>
  </si>
  <si>
    <t>PERAC10MED</t>
  </si>
  <si>
    <t>PERAC10MES</t>
  </si>
  <si>
    <t>PERAC10MEO</t>
  </si>
  <si>
    <t>PERAC10SCM</t>
  </si>
  <si>
    <t>PERAC10CLO</t>
  </si>
  <si>
    <t>PERAC10ULO</t>
  </si>
  <si>
    <t>PERAC10WHM</t>
  </si>
  <si>
    <t>PERAC10WHO</t>
  </si>
  <si>
    <t>PERAC10LRP</t>
  </si>
  <si>
    <t>PERAC10FAD</t>
  </si>
  <si>
    <t>PERAC10CCM</t>
  </si>
  <si>
    <t>PERAC10GPS</t>
  </si>
  <si>
    <t>PERAC10GPO</t>
  </si>
  <si>
    <t>PERAC10FNO</t>
  </si>
  <si>
    <t>PERAC10ACT</t>
  </si>
  <si>
    <t>PERAC10HRM</t>
  </si>
  <si>
    <t>PERAC10ADA</t>
  </si>
  <si>
    <t>PERAC10DRV</t>
  </si>
  <si>
    <t>PERAC11COP</t>
  </si>
  <si>
    <t>PERAC11DOP</t>
  </si>
  <si>
    <t>PERAC11POL</t>
  </si>
  <si>
    <t>PERAC11EDD</t>
  </si>
  <si>
    <t>PERAC11EDS</t>
  </si>
  <si>
    <t>PERAC11EDO</t>
  </si>
  <si>
    <t>PERAC11NHS</t>
  </si>
  <si>
    <t>PERAC11NOF</t>
  </si>
  <si>
    <t>PERAC11SFS</t>
  </si>
  <si>
    <t>PERAC11FAM</t>
  </si>
  <si>
    <t>PERAC11WAS</t>
  </si>
  <si>
    <t>PERAC11CMS</t>
  </si>
  <si>
    <t>PERAC11CMO</t>
  </si>
  <si>
    <t>PERAC11ECS</t>
  </si>
  <si>
    <t>PERAC11ECO</t>
  </si>
  <si>
    <t>PERAC11PSS</t>
  </si>
  <si>
    <t>PERAC11MED</t>
  </si>
  <si>
    <t>PERAC11MES</t>
  </si>
  <si>
    <t>PERAC11MEO</t>
  </si>
  <si>
    <t>PERAC11SCM</t>
  </si>
  <si>
    <t>PERAC11CLO</t>
  </si>
  <si>
    <t>PERAC11ULO</t>
  </si>
  <si>
    <t>PERAC11WHM</t>
  </si>
  <si>
    <t>PERAC11WHO</t>
  </si>
  <si>
    <t>PERAC11LRP</t>
  </si>
  <si>
    <t>PERAC11FAD</t>
  </si>
  <si>
    <t>PERAC11CCM</t>
  </si>
  <si>
    <t>PERAC11GPS</t>
  </si>
  <si>
    <t>PERAC11GPO</t>
  </si>
  <si>
    <t>PERAC11FNO</t>
  </si>
  <si>
    <t>PERAC11ACT</t>
  </si>
  <si>
    <t>PERAC11HRM</t>
  </si>
  <si>
    <t>PERAC11ADA</t>
  </si>
  <si>
    <t>PERAC11DRV</t>
  </si>
  <si>
    <t>FRINGEAC11</t>
  </si>
  <si>
    <t>FRINGEITSH</t>
  </si>
  <si>
    <t>PERITSHCOP</t>
  </si>
  <si>
    <t>PERITSHDOP</t>
  </si>
  <si>
    <t>PERITSHPOL</t>
  </si>
  <si>
    <t>PERITSHEDD</t>
  </si>
  <si>
    <t>PERITSHEDS</t>
  </si>
  <si>
    <t>PERITSHEDO</t>
  </si>
  <si>
    <t>PERITSHNHS</t>
  </si>
  <si>
    <t>PERITSHNOF</t>
  </si>
  <si>
    <t>PERITSHSFS</t>
  </si>
  <si>
    <t>PERITSHFAM</t>
  </si>
  <si>
    <t>PERITSHWAS</t>
  </si>
  <si>
    <t>PERITSHCMS</t>
  </si>
  <si>
    <t>PERITSHCMO</t>
  </si>
  <si>
    <t>PERITSHECS</t>
  </si>
  <si>
    <t>PERITSHECO</t>
  </si>
  <si>
    <t>PERITSHPSS</t>
  </si>
  <si>
    <t>PERITSHMED</t>
  </si>
  <si>
    <t>PERITSHMES</t>
  </si>
  <si>
    <t>PERITSHMEO</t>
  </si>
  <si>
    <t>PERITSHSCM</t>
  </si>
  <si>
    <t>PERITSHCLO</t>
  </si>
  <si>
    <t>PERITSHULO</t>
  </si>
  <si>
    <t>PERITSHWHM</t>
  </si>
  <si>
    <t>PERITSHWHO</t>
  </si>
  <si>
    <t>PERITSHLRP</t>
  </si>
  <si>
    <t>PERITSHFAD</t>
  </si>
  <si>
    <t>PERITSHCCM</t>
  </si>
  <si>
    <t>PERITSHGPS</t>
  </si>
  <si>
    <t>PERITSHGPO</t>
  </si>
  <si>
    <t>PERITSHFNO</t>
  </si>
  <si>
    <t>PERITSHACT</t>
  </si>
  <si>
    <t>PERITSHHRM</t>
  </si>
  <si>
    <t>PERITSHADA</t>
  </si>
  <si>
    <t>PERITSHDRV</t>
  </si>
  <si>
    <t>94000</t>
  </si>
  <si>
    <t>IDC</t>
  </si>
  <si>
    <t>EGGS</t>
  </si>
  <si>
    <t>FRUITS</t>
  </si>
  <si>
    <t>VEGETABLES</t>
  </si>
  <si>
    <t>INTLTRVLHN</t>
  </si>
  <si>
    <t>LOTRVLINT</t>
  </si>
  <si>
    <t>LOTRVLPAZ</t>
  </si>
  <si>
    <t>MANCOMUNID</t>
  </si>
  <si>
    <t>LOTRVLACT1</t>
  </si>
  <si>
    <t>LOTRVLACT2</t>
  </si>
  <si>
    <t>LOTRVLACT3</t>
  </si>
  <si>
    <t>FUELACT1</t>
  </si>
  <si>
    <t>86000</t>
  </si>
  <si>
    <t>TRVLFEDACT1</t>
  </si>
  <si>
    <t>COSTSHAR1</t>
  </si>
  <si>
    <t>96000</t>
  </si>
  <si>
    <t>COSTSHAR5</t>
  </si>
  <si>
    <t>COSTSHAR8</t>
  </si>
  <si>
    <t>COSTSHAR10</t>
  </si>
  <si>
    <t>COSTSHAR11</t>
  </si>
  <si>
    <t>TRANSPTEGG</t>
  </si>
  <si>
    <t>TRANSPTUSC</t>
  </si>
  <si>
    <t>ACTBOOK</t>
  </si>
  <si>
    <t>FUELACT2</t>
  </si>
  <si>
    <t>TRVLMATL2</t>
  </si>
  <si>
    <t>FUELACT3</t>
  </si>
  <si>
    <t>TRVLMAST3</t>
  </si>
  <si>
    <t>TRVLCOACH3</t>
  </si>
  <si>
    <t>TRVLCURR3</t>
  </si>
  <si>
    <t>TRVLADMIN3</t>
  </si>
  <si>
    <t>TRAINMASTR</t>
  </si>
  <si>
    <t>TRAINCOACH</t>
  </si>
  <si>
    <t>TRAINCURR</t>
  </si>
  <si>
    <t>TRAINADMIN</t>
  </si>
  <si>
    <t>FUELACT4</t>
  </si>
  <si>
    <t>LOTRVLACT4</t>
  </si>
  <si>
    <t>SUBFEREMA3</t>
  </si>
  <si>
    <t>SUBFEREMA4</t>
  </si>
  <si>
    <t>TRAINWARN</t>
  </si>
  <si>
    <t>CONWARNING</t>
  </si>
  <si>
    <t>81000</t>
  </si>
  <si>
    <t>CONSOBEHAV</t>
  </si>
  <si>
    <t>EDUCKITS</t>
  </si>
  <si>
    <t>MATLACT4</t>
  </si>
  <si>
    <t>85300 (Printing)/ 82420 (Program Materials)</t>
  </si>
  <si>
    <t>FUELACT5</t>
  </si>
  <si>
    <t>LOTRVLACT5</t>
  </si>
  <si>
    <t>TRVLWATER5</t>
  </si>
  <si>
    <t>89000</t>
  </si>
  <si>
    <t>GRANTSOAP</t>
  </si>
  <si>
    <t>TRAINWATER</t>
  </si>
  <si>
    <t>FOODPREP5</t>
  </si>
  <si>
    <t>HANDWASH5</t>
  </si>
  <si>
    <t>HARVESTSYM</t>
  </si>
  <si>
    <t>HANDMAIN5</t>
  </si>
  <si>
    <t>82420</t>
  </si>
  <si>
    <t>FUELACT6</t>
  </si>
  <si>
    <t>LOTRVLACT6</t>
  </si>
  <si>
    <t>DEVPRINT6</t>
  </si>
  <si>
    <t>NUDGEMATL6</t>
  </si>
  <si>
    <t>TRVLMESS6</t>
  </si>
  <si>
    <t>TRVLMOBL6</t>
  </si>
  <si>
    <t>SUBFEREMA6</t>
  </si>
  <si>
    <t>TRAINMESS</t>
  </si>
  <si>
    <t>TRAINMOBL</t>
  </si>
  <si>
    <t>CONSBCCAMP</t>
  </si>
  <si>
    <t>CONSBCCONT</t>
  </si>
  <si>
    <t>CONNUDGE</t>
  </si>
  <si>
    <t>ENUMERAT</t>
  </si>
  <si>
    <t>81000 (Consultant)/ 81010 (Professional Fees)</t>
  </si>
  <si>
    <t>FUELACT7</t>
  </si>
  <si>
    <t>LOTRVLACT7</t>
  </si>
  <si>
    <t>CONCRTFOOD</t>
  </si>
  <si>
    <t>FUELACT8</t>
  </si>
  <si>
    <t>LOTRVLACT8</t>
  </si>
  <si>
    <t>STIPEND8</t>
  </si>
  <si>
    <t>81015</t>
  </si>
  <si>
    <t>TRVLMONTR8</t>
  </si>
  <si>
    <t>RECOGEVENT</t>
  </si>
  <si>
    <t>TRAINMONTR</t>
  </si>
  <si>
    <t>DEVPRINT8</t>
  </si>
  <si>
    <t>PLATDELIV</t>
  </si>
  <si>
    <t>CONGUIDE</t>
  </si>
  <si>
    <t>CONVIDEO</t>
  </si>
  <si>
    <t>CONITSYSTM</t>
  </si>
  <si>
    <t>FUELACT9</t>
  </si>
  <si>
    <t>LOTRVLACT9</t>
  </si>
  <si>
    <t>DEVPRINT9</t>
  </si>
  <si>
    <t>CONFEEDING</t>
  </si>
  <si>
    <t>CONPNAESCL</t>
  </si>
  <si>
    <t>CONSCALEUP</t>
  </si>
  <si>
    <t>VALIDMEET</t>
  </si>
  <si>
    <t>GRADSTRAT</t>
  </si>
  <si>
    <t>87010</t>
  </si>
  <si>
    <t>TRVLPNAE9</t>
  </si>
  <si>
    <t>86040</t>
  </si>
  <si>
    <t>TRVLCONS9</t>
  </si>
  <si>
    <t>FUELACT10</t>
  </si>
  <si>
    <t>LOTRVLAC10</t>
  </si>
  <si>
    <t>TRVLMUNC10</t>
  </si>
  <si>
    <t>VALIDWORKS</t>
  </si>
  <si>
    <t>MEETCSR</t>
  </si>
  <si>
    <t>MEETMUNCI</t>
  </si>
  <si>
    <t>CONLEGAL9</t>
  </si>
  <si>
    <t>CONLEGAL10</t>
  </si>
  <si>
    <t>CONDESIGN9</t>
  </si>
  <si>
    <t>CONDESIG10</t>
  </si>
  <si>
    <t>CONPROD10</t>
  </si>
  <si>
    <t>CONITCSR</t>
  </si>
  <si>
    <t>CONPPPFEED</t>
  </si>
  <si>
    <t>FUELACT11</t>
  </si>
  <si>
    <t>LOTRVLAC11</t>
  </si>
  <si>
    <t>WORKSTUDY</t>
  </si>
  <si>
    <t>FUELITSH</t>
  </si>
  <si>
    <t>LOTRVLITSH</t>
  </si>
  <si>
    <t>TABLET</t>
  </si>
  <si>
    <t>WARECLEAN</t>
  </si>
  <si>
    <t>PHYTOSANT</t>
  </si>
  <si>
    <t>CUSTOMAGNT</t>
  </si>
  <si>
    <t>CONCOMGMT</t>
  </si>
  <si>
    <t>CONCALLFWD</t>
  </si>
  <si>
    <t>82420 (Program Supplies)/ 81010 (Professional Fees)</t>
  </si>
  <si>
    <t>85180 (Rent &amp; Utlities)/ 85105 (Equip. Maintenance/Repairs)</t>
  </si>
  <si>
    <t>85180 (Rent &amp; Utlities)/ 86110 (Security)</t>
  </si>
  <si>
    <t>WARENTSEC</t>
  </si>
  <si>
    <t>REGFUMIGT</t>
  </si>
  <si>
    <t>PREVFUMIGT</t>
  </si>
  <si>
    <t>FUMIGTKITS</t>
  </si>
  <si>
    <t>UNLOADSTOW</t>
  </si>
  <si>
    <t>82350 (Shipping)/ 82420 (Program Materials)</t>
  </si>
  <si>
    <t>REPACKCOM</t>
  </si>
  <si>
    <t>PACKTKHOME</t>
  </si>
  <si>
    <t>WAREMATLS</t>
  </si>
  <si>
    <t>FRINGEACT9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</si>
</sst>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.00\ &quot;Bs&quot;_-;\-* #,##0.00\ &quot;Bs&quot;_-;_-* &quot;-&quot;??\ &quot;Bs&quot;_-;_-@_-"/>
    <numFmt numFmtId="166" formatCode="_-* #,##0.00\ _B_s_-;\-* #,##0.00\ _B_s_-;_-* &quot;-&quot;??\ _B_s_-;_-@_-"/>
    <numFmt numFmtId="167" formatCode="_-* #,##0\ _B_s_-;\-* #,##0\ _B_s_-;_-* &quot;-&quot;??\ _B_s_-;_-@_-"/>
    <numFmt numFmtId="168" formatCode="&quot;On&quot;;&quot;On&quot;;&quot;Off&quot;"/>
    <numFmt numFmtId="169" formatCode="&quot;$&quot;#,##0.00"/>
    <numFmt numFmtId="170" formatCode="0.0%"/>
    <numFmt numFmtId="171" formatCode="_([$$-409]* #,##0.00_);_([$$-409]* \(#,##0.00\);_([$$-409]* &quot;-&quot;??_);_(@_)"/>
    <numFmt numFmtId="172" formatCode="_(&quot;$&quot;* #,##0_);_(&quot;$&quot;* \(#,##0\);_(&quot;$&quot;* &quot;-&quot;??_);_(@_)"/>
    <numFmt numFmtId="173" formatCode="_([$$-409]* #,##0_);_([$$-409]* \(#,##0\);_([$$-409]* &quot;-&quot;??_);_(@_)"/>
    <numFmt numFmtId="174" formatCode="&quot;$&quot;#,##0"/>
    <numFmt numFmtId="175" formatCode="\$#,##0.00;\$#,##0.00"/>
    <numFmt numFmtId="176" formatCode="\$###0.00;\$###0.00"/>
    <numFmt numFmtId="177" formatCode="0_)"/>
    <numFmt numFmtId="178" formatCode="_([$€-2]* #,##0.00_);_([$€-2]* \(#,##0.00\);_([$€-2]* &quot;-&quot;??_)"/>
    <numFmt numFmtId="179" formatCode="00\-0000\-00\-0000\-000"/>
    <numFmt numFmtId="180" formatCode="#,##0."/>
    <numFmt numFmtId="181" formatCode="#,###,##0.00;\(#,###,##0.00\)"/>
    <numFmt numFmtId="182" formatCode="&quot;$&quot;#,###,##0.00;\(&quot;$&quot;#,###,##0.00\)"/>
    <numFmt numFmtId="183" formatCode="#,##0.00%;\(#,##0.00%\)"/>
    <numFmt numFmtId="184" formatCode="mm/dd/yy"/>
    <numFmt numFmtId="185" formatCode="#,##0;#,##0;;"/>
    <numFmt numFmtId="186" formatCode="0.00_)"/>
    <numFmt numFmtId="187" formatCode="General_)"/>
    <numFmt numFmtId="188" formatCode="#,##0.000_);[Red]\(#,##0.000\)"/>
    <numFmt numFmtId="189" formatCode="&quot;FY94P&quot;#"/>
    <numFmt numFmtId="190" formatCode="00\-0000\-00\-0000"/>
    <numFmt numFmtId="191" formatCode="_(* #,##0,_);_(* \(#,##0,\);_(@_)"/>
    <numFmt numFmtId="192" formatCode="_(* #,##0.00_);[Red]_(* \(#,##0.00\);_(* &quot;-&quot;??_);_(@_)"/>
    <numFmt numFmtId="193" formatCode="_-* #,##0.0\ _B_s_-;\-* #,##0.0\ _B_s_-;_-* &quot;-&quot;??\ _B_s_-;_-@_-"/>
    <numFmt numFmtId="194" formatCode="&quot;$&quot;#,##0.0"/>
    <numFmt numFmtId="195" formatCode="&quot;$&quot;#,##0.0_);[Red]\(&quot;$&quot;#,##0.0\)"/>
    <numFmt numFmtId="196" formatCode="#,##0.00_ ;[Red]\-#,##0.00\ "/>
    <numFmt numFmtId="197" formatCode="#,##0.0"/>
    <numFmt numFmtId="198" formatCode="_-* #,##0_-;\-* #,##0_-;_-* &quot;-&quot;??_-;_-@_-"/>
    <numFmt numFmtId="199" formatCode="_(&quot;$&quot;* #,##0.0_);_(&quot;$&quot;* \(#,##0.0\);_(&quot;$&quot;* &quot;-&quot;?_);_(@_)"/>
  </numFmts>
  <fonts count="13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7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2"/>
      <color indexed="8"/>
      <name val="Times New Roman"/>
      <family val="1"/>
    </font>
    <font>
      <sz val="12"/>
      <name val="Arial"/>
      <family val="2"/>
    </font>
    <font>
      <sz val="9"/>
      <name val="Arial"/>
      <family val="2"/>
    </font>
    <font>
      <sz val="12"/>
      <color indexed="8"/>
      <name val="Arial"/>
      <family val="2"/>
    </font>
    <font>
      <b/>
      <sz val="12"/>
      <name val="Arial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4"/>
      <color indexed="8"/>
      <name val="Arial"/>
      <family val="2"/>
    </font>
    <font>
      <sz val="11"/>
      <name val="Arial"/>
      <family val="2"/>
    </font>
    <font>
      <sz val="10"/>
      <name val="Arial"/>
      <family val="2"/>
      <charset val="204"/>
    </font>
    <font>
      <sz val="12"/>
      <name val="Times New Roman"/>
      <family val="1"/>
    </font>
    <font>
      <sz val="11"/>
      <name val="Arial"/>
      <family val="2"/>
      <charset val="204"/>
    </font>
    <font>
      <sz val="10"/>
      <name val="Helv"/>
    </font>
    <font>
      <sz val="1"/>
      <color indexed="8"/>
      <name val="Courier"/>
      <family val="3"/>
    </font>
    <font>
      <i/>
      <sz val="9"/>
      <name val="Helv"/>
    </font>
    <font>
      <sz val="10"/>
      <name val="MS Sans Serif"/>
      <family val="2"/>
    </font>
    <font>
      <sz val="12"/>
      <color indexed="24"/>
      <name val="Arial"/>
      <family val="2"/>
    </font>
    <font>
      <sz val="10"/>
      <color indexed="0"/>
      <name val="Arial"/>
      <family val="2"/>
    </font>
    <font>
      <sz val="9"/>
      <name val="Tms Rmn"/>
    </font>
    <font>
      <sz val="12"/>
      <name val="Tms Rmn"/>
    </font>
    <font>
      <u/>
      <sz val="6"/>
      <color indexed="12"/>
      <name val="Helv"/>
    </font>
    <font>
      <u/>
      <sz val="7"/>
      <color indexed="12"/>
      <name val="Helv"/>
    </font>
    <font>
      <sz val="10"/>
      <name val="Times New Roman"/>
      <family val="1"/>
    </font>
    <font>
      <sz val="12"/>
      <name val="Helv"/>
    </font>
    <font>
      <sz val="9"/>
      <name val="Helv"/>
    </font>
    <font>
      <b/>
      <i/>
      <sz val="16"/>
      <name val="Helv"/>
    </font>
    <font>
      <b/>
      <sz val="10"/>
      <name val="MS Sans Serif"/>
      <family val="2"/>
    </font>
    <font>
      <sz val="10"/>
      <name val="Arial MT"/>
    </font>
    <font>
      <b/>
      <i/>
      <sz val="10"/>
      <color indexed="8"/>
      <name val="Times New Roman"/>
      <family val="1"/>
    </font>
    <font>
      <sz val="10"/>
      <color indexed="12"/>
      <name val="Times New Roman"/>
      <family val="1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2"/>
      <name val="Calibri"/>
      <family val="2"/>
    </font>
    <font>
      <sz val="8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Helv"/>
    </font>
    <font>
      <u/>
      <sz val="11"/>
      <color theme="10"/>
      <name val="Calibri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0"/>
      <name val="Times New Roman"/>
      <family val="1"/>
    </font>
    <font>
      <b/>
      <sz val="10"/>
      <color theme="0"/>
      <name val="Times New Roman"/>
      <family val="1"/>
    </font>
    <font>
      <b/>
      <sz val="10"/>
      <color theme="1"/>
      <name val="Times New Roman"/>
      <family val="1"/>
    </font>
    <font>
      <i/>
      <u/>
      <sz val="10"/>
      <name val="Times New Roman"/>
      <family val="1"/>
    </font>
    <font>
      <sz val="10"/>
      <color rgb="FFFF0000"/>
      <name val="Times New Roman"/>
      <family val="1"/>
    </font>
    <font>
      <i/>
      <sz val="10"/>
      <name val="Times New Roman"/>
      <family val="1"/>
    </font>
    <font>
      <u/>
      <sz val="10"/>
      <name val="Times New Roman"/>
      <family val="1"/>
    </font>
    <font>
      <b/>
      <i/>
      <sz val="11"/>
      <name val="Times New Roman"/>
      <family val="1"/>
    </font>
    <font>
      <b/>
      <i/>
      <u/>
      <sz val="10"/>
      <name val="Times New Roman"/>
      <family val="1"/>
    </font>
    <font>
      <sz val="10"/>
      <color indexed="10"/>
      <name val="Times New Roman"/>
      <family val="1"/>
    </font>
    <font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i/>
      <u/>
      <sz val="10"/>
      <color rgb="FF000000"/>
      <name val="Times New Roman"/>
      <family val="1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b/>
      <sz val="12"/>
      <color theme="1"/>
      <name val="Arial"/>
      <family val="2"/>
    </font>
    <font>
      <i/>
      <sz val="10"/>
      <color theme="1"/>
      <name val="Arial"/>
      <family val="2"/>
    </font>
    <font>
      <b/>
      <sz val="11"/>
      <name val="Arial"/>
      <family val="2"/>
    </font>
    <font>
      <b/>
      <sz val="16"/>
      <color theme="1"/>
      <name val="Times New Roman"/>
      <family val="1"/>
    </font>
    <font>
      <sz val="16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16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2"/>
      <color theme="4"/>
      <name val="Calibri"/>
      <family val="2"/>
      <scheme val="minor"/>
    </font>
    <font>
      <sz val="11"/>
      <color rgb="FF00B0F0"/>
      <name val="Calibri"/>
      <family val="2"/>
      <scheme val="minor"/>
    </font>
    <font>
      <i/>
      <sz val="11"/>
      <color rgb="FF000000"/>
      <name val="Times New Roman"/>
      <family val="1"/>
    </font>
    <font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sz val="10"/>
      <color indexed="8"/>
      <name val="Times New Roman"/>
      <family val="1"/>
    </font>
    <font>
      <sz val="12"/>
      <color rgb="FF000000"/>
      <name val="Times New Roman"/>
      <family val="1"/>
    </font>
    <font>
      <b/>
      <sz val="11"/>
      <name val="Times New Roman"/>
      <family val="1"/>
    </font>
  </fonts>
  <fills count="83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1"/>
        <bgColor indexed="64"/>
      </patternFill>
    </fill>
    <fill>
      <patternFill patternType="mediumGray">
        <fgColor indexed="2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lightUp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336799"/>
        <bgColor indexed="64"/>
      </patternFill>
    </fill>
    <fill>
      <patternFill patternType="solid">
        <fgColor rgb="FF808080"/>
        <bgColor rgb="FF808080"/>
      </patternFill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000080"/>
        <bgColor rgb="FF000080"/>
      </patternFill>
    </fill>
    <fill>
      <patternFill patternType="solid">
        <fgColor rgb="FFC0C0C0"/>
        <bgColor rgb="FFC0C0C0"/>
      </patternFill>
    </fill>
    <fill>
      <patternFill patternType="solid">
        <fgColor indexed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1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424242"/>
      </bottom>
      <diagonal/>
    </border>
    <border>
      <left style="thin">
        <color rgb="FF424242"/>
      </left>
      <right style="thin">
        <color rgb="FF424242"/>
      </right>
      <top style="thin">
        <color rgb="FF424242"/>
      </top>
      <bottom style="thin">
        <color rgb="FF424242"/>
      </bottom>
      <diagonal/>
    </border>
    <border>
      <left style="thin">
        <color rgb="FFA09D94"/>
      </left>
      <right/>
      <top style="thin">
        <color rgb="FF424242"/>
      </top>
      <bottom style="thin">
        <color rgb="FF424242"/>
      </bottom>
      <diagonal/>
    </border>
    <border>
      <left style="thin">
        <color rgb="FF424242"/>
      </left>
      <right/>
      <top style="thin">
        <color rgb="FF424242"/>
      </top>
      <bottom style="thin">
        <color rgb="FF424242"/>
      </bottom>
      <diagonal/>
    </border>
    <border>
      <left/>
      <right/>
      <top style="thin">
        <color rgb="FF424242"/>
      </top>
      <bottom/>
      <diagonal/>
    </border>
    <border>
      <left style="thin">
        <color rgb="FF424242"/>
      </left>
      <right/>
      <top/>
      <bottom style="thin">
        <color rgb="FF424242"/>
      </bottom>
      <diagonal/>
    </border>
    <border>
      <left style="thin">
        <color rgb="FFA09D94"/>
      </left>
      <right/>
      <top/>
      <bottom style="thin">
        <color rgb="FF424242"/>
      </bottom>
      <diagonal/>
    </border>
    <border>
      <left style="thin">
        <color rgb="FF424242"/>
      </left>
      <right style="thin">
        <color indexed="64"/>
      </right>
      <top style="thin">
        <color rgb="FF424242"/>
      </top>
      <bottom style="thin">
        <color rgb="FF424242"/>
      </bottom>
      <diagonal/>
    </border>
    <border>
      <left style="thin">
        <color rgb="FF424242"/>
      </left>
      <right style="thin">
        <color rgb="FF424242"/>
      </right>
      <top/>
      <bottom style="thin">
        <color rgb="FF424242"/>
      </bottom>
      <diagonal/>
    </border>
    <border>
      <left style="thin">
        <color indexed="64"/>
      </left>
      <right style="thin">
        <color rgb="FFAFAFAF"/>
      </right>
      <top style="thin">
        <color rgb="FFA09D94"/>
      </top>
      <bottom style="thin">
        <color indexed="64"/>
      </bottom>
      <diagonal/>
    </border>
    <border>
      <left style="thin">
        <color rgb="FF424242"/>
      </left>
      <right style="thin">
        <color rgb="FF424242"/>
      </right>
      <top style="thin">
        <color rgb="FF424242"/>
      </top>
      <bottom style="thin">
        <color rgb="FFAFAFAF"/>
      </bottom>
      <diagonal/>
    </border>
    <border>
      <left style="thin">
        <color rgb="FF424242"/>
      </left>
      <right style="thin">
        <color rgb="FFAFAFAF"/>
      </right>
      <top style="thin">
        <color rgb="FF424242"/>
      </top>
      <bottom style="thin">
        <color rgb="FF424242"/>
      </bottom>
      <diagonal/>
    </border>
    <border>
      <left/>
      <right/>
      <top/>
      <bottom style="thin">
        <color rgb="FF424242"/>
      </bottom>
      <diagonal/>
    </border>
    <border>
      <left/>
      <right/>
      <top style="thin">
        <color rgb="FF424242"/>
      </top>
      <bottom style="thin">
        <color rgb="FF424242"/>
      </bottom>
      <diagonal/>
    </border>
    <border>
      <left/>
      <right/>
      <top style="thin">
        <color rgb="FFAFAFAF"/>
      </top>
      <bottom style="thin">
        <color rgb="FF424242"/>
      </bottom>
      <diagonal/>
    </border>
    <border>
      <left style="thin">
        <color rgb="FF424242"/>
      </left>
      <right/>
      <top style="thin">
        <color rgb="FF424242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AFAFAF"/>
      </right>
      <top style="thin">
        <color rgb="FF424242"/>
      </top>
      <bottom/>
      <diagonal/>
    </border>
    <border>
      <left/>
      <right style="thin">
        <color rgb="FF424242"/>
      </right>
      <top style="thin">
        <color rgb="FF424242"/>
      </top>
      <bottom/>
      <diagonal/>
    </border>
    <border>
      <left style="thin">
        <color rgb="FFA09D94"/>
      </left>
      <right/>
      <top style="thin">
        <color rgb="FFA09D94"/>
      </top>
      <bottom style="thin">
        <color rgb="FFA09D94"/>
      </bottom>
      <diagonal/>
    </border>
    <border>
      <left/>
      <right/>
      <top style="thin">
        <color rgb="FFA09D94"/>
      </top>
      <bottom style="thin">
        <color rgb="FFA09D94"/>
      </bottom>
      <diagonal/>
    </border>
    <border>
      <left/>
      <right style="thin">
        <color rgb="FFA09D94"/>
      </right>
      <top style="thin">
        <color rgb="FFA09D94"/>
      </top>
      <bottom style="thin">
        <color rgb="FFA09D9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hair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C0C0C0"/>
      </bottom>
      <diagonal/>
    </border>
    <border>
      <left/>
      <right style="thin">
        <color rgb="FF000000"/>
      </right>
      <top style="thin">
        <color rgb="FF000000"/>
      </top>
      <bottom style="hair">
        <color rgb="FFC0C0C0"/>
      </bottom>
      <diagonal/>
    </border>
    <border>
      <left/>
      <right style="thin">
        <color rgb="FF000000"/>
      </right>
      <top/>
      <bottom style="hair">
        <color rgb="FFC0C0C0"/>
      </bottom>
      <diagonal/>
    </border>
    <border>
      <left style="thin">
        <color rgb="FF000000"/>
      </left>
      <right style="thin">
        <color rgb="FF000000"/>
      </right>
      <top style="hair">
        <color rgb="FFC0C0C0"/>
      </top>
      <bottom style="hair">
        <color rgb="FFC0C0C0"/>
      </bottom>
      <diagonal/>
    </border>
    <border>
      <left/>
      <right/>
      <top style="thin">
        <color rgb="FF000000"/>
      </top>
      <bottom style="hair">
        <color rgb="FFC0C0C0"/>
      </bottom>
      <diagonal/>
    </border>
    <border>
      <left/>
      <right style="thin">
        <color rgb="FF000000"/>
      </right>
      <top style="hair">
        <color rgb="FFC0C0C0"/>
      </top>
      <bottom style="hair">
        <color rgb="FFC0C0C0"/>
      </bottom>
      <diagonal/>
    </border>
    <border>
      <left/>
      <right/>
      <top style="hair">
        <color rgb="FFC0C0C0"/>
      </top>
      <bottom style="hair">
        <color rgb="FFC0C0C0"/>
      </bottom>
      <diagonal/>
    </border>
    <border>
      <left style="thin">
        <color rgb="FF000000"/>
      </left>
      <right style="thin">
        <color rgb="FF000000"/>
      </right>
      <top style="hair">
        <color rgb="FFC0C0C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hair">
        <color rgb="FFC0C0C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C0C0C0"/>
      </top>
      <bottom style="thin">
        <color rgb="FF000000"/>
      </bottom>
      <diagonal/>
    </border>
    <border>
      <left/>
      <right/>
      <top style="hair">
        <color rgb="FFC0C0C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C0C0C0"/>
      </top>
      <bottom style="hair">
        <color rgb="FFC0C0C0"/>
      </bottom>
      <diagonal/>
    </border>
    <border>
      <left/>
      <right style="thin">
        <color rgb="FF000000"/>
      </right>
      <top style="hair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C0C0C0"/>
      </top>
      <bottom style="medium">
        <color rgb="FF000000"/>
      </bottom>
      <diagonal/>
    </border>
    <border>
      <left/>
      <right/>
      <top style="hair">
        <color rgb="FFC0C0C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536">
    <xf numFmtId="0" fontId="0" fillId="0" borderId="0"/>
    <xf numFmtId="178" fontId="69" fillId="30" borderId="0" applyNumberFormat="0" applyBorder="0" applyAlignment="0" applyProtection="0"/>
    <xf numFmtId="178" fontId="69" fillId="31" borderId="0" applyNumberFormat="0" applyBorder="0" applyAlignment="0" applyProtection="0"/>
    <xf numFmtId="178" fontId="69" fillId="32" borderId="0" applyNumberFormat="0" applyBorder="0" applyAlignment="0" applyProtection="0"/>
    <xf numFmtId="178" fontId="16" fillId="4" borderId="0" applyNumberFormat="0" applyBorder="0" applyAlignment="0" applyProtection="0"/>
    <xf numFmtId="178" fontId="69" fillId="33" borderId="0" applyNumberFormat="0" applyBorder="0" applyAlignment="0" applyProtection="0"/>
    <xf numFmtId="178" fontId="69" fillId="34" borderId="0" applyNumberFormat="0" applyBorder="0" applyAlignment="0" applyProtection="0"/>
    <xf numFmtId="178" fontId="69" fillId="35" borderId="0" applyNumberFormat="0" applyBorder="0" applyAlignment="0" applyProtection="0"/>
    <xf numFmtId="178" fontId="27" fillId="6" borderId="0" applyNumberFormat="0" applyBorder="0" applyAlignment="0" applyProtection="0">
      <alignment vertical="center"/>
    </xf>
    <xf numFmtId="178" fontId="27" fillId="7" borderId="0" applyNumberFormat="0" applyBorder="0" applyAlignment="0" applyProtection="0">
      <alignment vertical="center"/>
    </xf>
    <xf numFmtId="178" fontId="27" fillId="8" borderId="0" applyNumberFormat="0" applyBorder="0" applyAlignment="0" applyProtection="0">
      <alignment vertical="center"/>
    </xf>
    <xf numFmtId="178" fontId="27" fillId="4" borderId="0" applyNumberFormat="0" applyBorder="0" applyAlignment="0" applyProtection="0">
      <alignment vertical="center"/>
    </xf>
    <xf numFmtId="178" fontId="27" fillId="5" borderId="0" applyNumberFormat="0" applyBorder="0" applyAlignment="0" applyProtection="0">
      <alignment vertical="center"/>
    </xf>
    <xf numFmtId="178" fontId="27" fillId="2" borderId="0" applyNumberFormat="0" applyBorder="0" applyAlignment="0" applyProtection="0">
      <alignment vertical="center"/>
    </xf>
    <xf numFmtId="178" fontId="69" fillId="36" borderId="0" applyNumberFormat="0" applyBorder="0" applyAlignment="0" applyProtection="0"/>
    <xf numFmtId="178" fontId="69" fillId="37" borderId="0" applyNumberFormat="0" applyBorder="0" applyAlignment="0" applyProtection="0"/>
    <xf numFmtId="178" fontId="69" fillId="38" borderId="0" applyNumberFormat="0" applyBorder="0" applyAlignment="0" applyProtection="0"/>
    <xf numFmtId="178" fontId="69" fillId="39" borderId="0" applyNumberFormat="0" applyBorder="0" applyAlignment="0" applyProtection="0"/>
    <xf numFmtId="178" fontId="69" fillId="40" borderId="0" applyNumberFormat="0" applyBorder="0" applyAlignment="0" applyProtection="0"/>
    <xf numFmtId="178" fontId="69" fillId="41" borderId="0" applyNumberFormat="0" applyBorder="0" applyAlignment="0" applyProtection="0"/>
    <xf numFmtId="178" fontId="27" fillId="12" borderId="0" applyNumberFormat="0" applyBorder="0" applyAlignment="0" applyProtection="0">
      <alignment vertical="center"/>
    </xf>
    <xf numFmtId="178" fontId="27" fillId="10" borderId="0" applyNumberFormat="0" applyBorder="0" applyAlignment="0" applyProtection="0">
      <alignment vertical="center"/>
    </xf>
    <xf numFmtId="178" fontId="27" fillId="13" borderId="0" applyNumberFormat="0" applyBorder="0" applyAlignment="0" applyProtection="0">
      <alignment vertical="center"/>
    </xf>
    <xf numFmtId="178" fontId="27" fillId="4" borderId="0" applyNumberFormat="0" applyBorder="0" applyAlignment="0" applyProtection="0">
      <alignment vertical="center"/>
    </xf>
    <xf numFmtId="178" fontId="27" fillId="12" borderId="0" applyNumberFormat="0" applyBorder="0" applyAlignment="0" applyProtection="0">
      <alignment vertical="center"/>
    </xf>
    <xf numFmtId="178" fontId="27" fillId="14" borderId="0" applyNumberFormat="0" applyBorder="0" applyAlignment="0" applyProtection="0">
      <alignment vertical="center"/>
    </xf>
    <xf numFmtId="178" fontId="70" fillId="42" borderId="0" applyNumberFormat="0" applyBorder="0" applyAlignment="0" applyProtection="0"/>
    <xf numFmtId="178" fontId="70" fillId="43" borderId="0" applyNumberFormat="0" applyBorder="0" applyAlignment="0" applyProtection="0"/>
    <xf numFmtId="178" fontId="70" fillId="44" borderId="0" applyNumberFormat="0" applyBorder="0" applyAlignment="0" applyProtection="0"/>
    <xf numFmtId="178" fontId="70" fillId="45" borderId="0" applyNumberFormat="0" applyBorder="0" applyAlignment="0" applyProtection="0"/>
    <xf numFmtId="178" fontId="70" fillId="46" borderId="0" applyNumberFormat="0" applyBorder="0" applyAlignment="0" applyProtection="0"/>
    <xf numFmtId="178" fontId="70" fillId="47" borderId="0" applyNumberFormat="0" applyBorder="0" applyAlignment="0" applyProtection="0"/>
    <xf numFmtId="178" fontId="28" fillId="16" borderId="0" applyNumberFormat="0" applyBorder="0" applyAlignment="0" applyProtection="0">
      <alignment vertical="center"/>
    </xf>
    <xf numFmtId="178" fontId="28" fillId="10" borderId="0" applyNumberFormat="0" applyBorder="0" applyAlignment="0" applyProtection="0">
      <alignment vertical="center"/>
    </xf>
    <xf numFmtId="178" fontId="28" fillId="13" borderId="0" applyNumberFormat="0" applyBorder="0" applyAlignment="0" applyProtection="0">
      <alignment vertical="center"/>
    </xf>
    <xf numFmtId="178" fontId="28" fillId="17" borderId="0" applyNumberFormat="0" applyBorder="0" applyAlignment="0" applyProtection="0">
      <alignment vertical="center"/>
    </xf>
    <xf numFmtId="178" fontId="28" fillId="15" borderId="0" applyNumberFormat="0" applyBorder="0" applyAlignment="0" applyProtection="0">
      <alignment vertical="center"/>
    </xf>
    <xf numFmtId="178" fontId="28" fillId="18" borderId="0" applyNumberFormat="0" applyBorder="0" applyAlignment="0" applyProtection="0">
      <alignment vertical="center"/>
    </xf>
    <xf numFmtId="178" fontId="70" fillId="48" borderId="0" applyNumberFormat="0" applyBorder="0" applyAlignment="0" applyProtection="0"/>
    <xf numFmtId="178" fontId="17" fillId="19" borderId="0" applyNumberFormat="0" applyBorder="0" applyAlignment="0" applyProtection="0"/>
    <xf numFmtId="178" fontId="70" fillId="49" borderId="0" applyNumberFormat="0" applyBorder="0" applyAlignment="0" applyProtection="0"/>
    <xf numFmtId="178" fontId="70" fillId="50" borderId="0" applyNumberFormat="0" applyBorder="0" applyAlignment="0" applyProtection="0"/>
    <xf numFmtId="178" fontId="70" fillId="51" borderId="0" applyNumberFormat="0" applyBorder="0" applyAlignment="0" applyProtection="0"/>
    <xf numFmtId="178" fontId="70" fillId="52" borderId="0" applyNumberFormat="0" applyBorder="0" applyAlignment="0" applyProtection="0"/>
    <xf numFmtId="178" fontId="70" fillId="53" borderId="0" applyNumberFormat="0" applyBorder="0" applyAlignment="0" applyProtection="0"/>
    <xf numFmtId="3" fontId="25" fillId="0" borderId="0" applyNumberFormat="0" applyFill="0" applyBorder="0" applyAlignment="0" applyProtection="0"/>
    <xf numFmtId="3" fontId="29" fillId="0" borderId="0" applyNumberFormat="0" applyFill="0" applyBorder="0" applyAlignment="0" applyProtection="0"/>
    <xf numFmtId="179" fontId="9" fillId="0" borderId="0" applyFont="0" applyFill="0" applyBorder="0" applyAlignment="0" applyProtection="0"/>
    <xf numFmtId="178" fontId="71" fillId="54" borderId="0" applyNumberFormat="0" applyBorder="0" applyAlignment="0" applyProtection="0"/>
    <xf numFmtId="178" fontId="72" fillId="55" borderId="30" applyNumberFormat="0" applyAlignment="0" applyProtection="0"/>
    <xf numFmtId="178" fontId="18" fillId="21" borderId="2" applyNumberFormat="0" applyAlignment="0" applyProtection="0"/>
    <xf numFmtId="178" fontId="73" fillId="56" borderId="31" applyNumberFormat="0" applyAlignment="0" applyProtection="0"/>
    <xf numFmtId="166" fontId="8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32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178" fontId="34" fillId="0" borderId="0"/>
    <xf numFmtId="178" fontId="34" fillId="0" borderId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180" fontId="35" fillId="0" borderId="0">
      <protection locked="0"/>
    </xf>
    <xf numFmtId="178" fontId="34" fillId="0" borderId="0"/>
    <xf numFmtId="178" fontId="34" fillId="0" borderId="0"/>
    <xf numFmtId="178" fontId="34" fillId="0" borderId="0"/>
    <xf numFmtId="178" fontId="34" fillId="0" borderId="0"/>
    <xf numFmtId="178" fontId="34" fillId="0" borderId="0"/>
    <xf numFmtId="178" fontId="34" fillId="0" borderId="0"/>
    <xf numFmtId="165" fontId="8" fillId="0" borderId="0" applyFont="0" applyFill="0" applyBorder="0" applyAlignment="0" applyProtection="0"/>
    <xf numFmtId="44" fontId="69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69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69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67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5" fontId="10" fillId="0" borderId="0" applyFont="0" applyFill="0" applyBorder="0" applyAlignment="0" applyProtection="0"/>
    <xf numFmtId="14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178" fontId="36" fillId="0" borderId="0">
      <alignment horizontal="left" vertical="top" wrapText="1"/>
    </xf>
    <xf numFmtId="7" fontId="37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74" fillId="0" borderId="0" applyNumberFormat="0" applyFill="0" applyBorder="0" applyAlignment="0" applyProtection="0"/>
    <xf numFmtId="178" fontId="38" fillId="0" borderId="0" applyProtection="0"/>
    <xf numFmtId="178" fontId="38" fillId="0" borderId="0" applyProtection="0"/>
    <xf numFmtId="178" fontId="38" fillId="0" borderId="0" applyProtection="0"/>
    <xf numFmtId="178" fontId="38" fillId="0" borderId="0" applyProtection="0"/>
    <xf numFmtId="178" fontId="38" fillId="0" borderId="0" applyProtection="0"/>
    <xf numFmtId="178" fontId="38" fillId="0" borderId="0" applyProtection="0"/>
    <xf numFmtId="178" fontId="38" fillId="0" borderId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181" fontId="39" fillId="0" borderId="0"/>
    <xf numFmtId="182" fontId="39" fillId="0" borderId="0"/>
    <xf numFmtId="183" fontId="39" fillId="0" borderId="0"/>
    <xf numFmtId="178" fontId="19" fillId="8" borderId="0" applyNumberFormat="0" applyBorder="0" applyAlignment="0" applyProtection="0"/>
    <xf numFmtId="0" fontId="75" fillId="57" borderId="0" applyNumberFormat="0" applyBorder="0" applyAlignment="0" applyProtection="0"/>
    <xf numFmtId="178" fontId="75" fillId="57" borderId="0" applyNumberFormat="0" applyBorder="0" applyAlignment="0" applyProtection="0"/>
    <xf numFmtId="178" fontId="40" fillId="22" borderId="3"/>
    <xf numFmtId="178" fontId="40" fillId="22" borderId="3"/>
    <xf numFmtId="178" fontId="40" fillId="22" borderId="3"/>
    <xf numFmtId="178" fontId="40" fillId="22" borderId="3"/>
    <xf numFmtId="178" fontId="40" fillId="22" borderId="3"/>
    <xf numFmtId="178" fontId="40" fillId="22" borderId="3"/>
    <xf numFmtId="178" fontId="40" fillId="22" borderId="3"/>
    <xf numFmtId="178" fontId="40" fillId="22" borderId="3"/>
    <xf numFmtId="178" fontId="40" fillId="22" borderId="3"/>
    <xf numFmtId="178" fontId="40" fillId="22" borderId="3"/>
    <xf numFmtId="178" fontId="40" fillId="22" borderId="3"/>
    <xf numFmtId="178" fontId="40" fillId="22" borderId="3"/>
    <xf numFmtId="178" fontId="40" fillId="22" borderId="3"/>
    <xf numFmtId="178" fontId="40" fillId="22" borderId="3"/>
    <xf numFmtId="178" fontId="40" fillId="22" borderId="3"/>
    <xf numFmtId="38" fontId="9" fillId="23" borderId="0" applyNumberFormat="0" applyBorder="0" applyAlignment="0" applyProtection="0"/>
    <xf numFmtId="1" fontId="41" fillId="0" borderId="4" applyBorder="0">
      <protection locked="0"/>
    </xf>
    <xf numFmtId="178" fontId="26" fillId="0" borderId="5" applyNumberFormat="0" applyAlignment="0" applyProtection="0">
      <alignment horizontal="left" vertical="center"/>
    </xf>
    <xf numFmtId="178" fontId="26" fillId="0" borderId="6">
      <alignment horizontal="left" vertical="center"/>
    </xf>
    <xf numFmtId="178" fontId="26" fillId="0" borderId="6">
      <alignment horizontal="left" vertical="center"/>
    </xf>
    <xf numFmtId="178" fontId="26" fillId="0" borderId="6">
      <alignment horizontal="left" vertical="center"/>
    </xf>
    <xf numFmtId="178" fontId="26" fillId="0" borderId="6">
      <alignment horizontal="left" vertical="center"/>
    </xf>
    <xf numFmtId="178" fontId="26" fillId="0" borderId="6">
      <alignment horizontal="left" vertical="center"/>
    </xf>
    <xf numFmtId="178" fontId="26" fillId="0" borderId="6">
      <alignment horizontal="left" vertical="center"/>
    </xf>
    <xf numFmtId="178" fontId="26" fillId="0" borderId="6">
      <alignment horizontal="left" vertical="center"/>
    </xf>
    <xf numFmtId="178" fontId="26" fillId="0" borderId="6">
      <alignment horizontal="left" vertical="center"/>
    </xf>
    <xf numFmtId="178" fontId="26" fillId="0" borderId="6">
      <alignment horizontal="left" vertical="center"/>
    </xf>
    <xf numFmtId="178" fontId="26" fillId="0" borderId="6">
      <alignment horizontal="left" vertical="center"/>
    </xf>
    <xf numFmtId="178" fontId="26" fillId="0" borderId="6">
      <alignment horizontal="left" vertical="center"/>
    </xf>
    <xf numFmtId="178" fontId="76" fillId="0" borderId="32" applyNumberFormat="0" applyFill="0" applyAlignment="0" applyProtection="0"/>
    <xf numFmtId="178" fontId="77" fillId="0" borderId="33" applyNumberFormat="0" applyFill="0" applyAlignment="0" applyProtection="0"/>
    <xf numFmtId="178" fontId="78" fillId="0" borderId="34" applyNumberFormat="0" applyFill="0" applyAlignment="0" applyProtection="0"/>
    <xf numFmtId="178" fontId="78" fillId="0" borderId="0" applyNumberFormat="0" applyFill="0" applyBorder="0" applyAlignment="0" applyProtection="0"/>
    <xf numFmtId="178" fontId="38" fillId="0" borderId="0" applyProtection="0"/>
    <xf numFmtId="178" fontId="38" fillId="0" borderId="0" applyProtection="0"/>
    <xf numFmtId="178" fontId="79" fillId="0" borderId="0" applyNumberFormat="0" applyFill="0" applyBorder="0" applyAlignment="0" applyProtection="0"/>
    <xf numFmtId="178" fontId="42" fillId="0" borderId="0" applyNumberFormat="0" applyFill="0" applyBorder="0" applyAlignment="0" applyProtection="0">
      <alignment vertical="top"/>
      <protection locked="0"/>
    </xf>
    <xf numFmtId="178" fontId="42" fillId="0" borderId="0" applyNumberFormat="0" applyFill="0" applyBorder="0" applyAlignment="0" applyProtection="0">
      <alignment vertical="top"/>
      <protection locked="0"/>
    </xf>
    <xf numFmtId="178" fontId="43" fillId="0" borderId="0" applyNumberFormat="0" applyFill="0" applyBorder="0" applyAlignment="0" applyProtection="0">
      <alignment vertical="top"/>
      <protection locked="0"/>
    </xf>
    <xf numFmtId="178" fontId="43" fillId="0" borderId="0" applyNumberFormat="0" applyFill="0" applyBorder="0" applyAlignment="0" applyProtection="0">
      <alignment vertical="top"/>
      <protection locked="0"/>
    </xf>
    <xf numFmtId="178" fontId="43" fillId="0" borderId="0" applyNumberFormat="0" applyFill="0" applyBorder="0" applyAlignment="0" applyProtection="0">
      <alignment vertical="top"/>
      <protection locked="0"/>
    </xf>
    <xf numFmtId="178" fontId="43" fillId="0" borderId="0" applyNumberFormat="0" applyFill="0" applyBorder="0" applyAlignment="0" applyProtection="0">
      <alignment vertical="top"/>
      <protection locked="0"/>
    </xf>
    <xf numFmtId="178" fontId="43" fillId="0" borderId="0" applyNumberFormat="0" applyFill="0" applyBorder="0" applyAlignment="0" applyProtection="0">
      <alignment vertical="top"/>
      <protection locked="0"/>
    </xf>
    <xf numFmtId="178" fontId="80" fillId="0" borderId="0" applyNumberFormat="0" applyFill="0" applyBorder="0" applyAlignment="0" applyProtection="0">
      <alignment vertical="top"/>
      <protection locked="0"/>
    </xf>
    <xf numFmtId="178" fontId="81" fillId="0" borderId="0" applyNumberFormat="0" applyFill="0" applyBorder="0" applyAlignment="0" applyProtection="0">
      <alignment vertical="top"/>
      <protection locked="0"/>
    </xf>
    <xf numFmtId="10" fontId="9" fillId="24" borderId="3" applyNumberFormat="0" applyBorder="0" applyAlignment="0" applyProtection="0"/>
    <xf numFmtId="10" fontId="9" fillId="24" borderId="3" applyNumberFormat="0" applyBorder="0" applyAlignment="0" applyProtection="0"/>
    <xf numFmtId="10" fontId="9" fillId="24" borderId="3" applyNumberFormat="0" applyBorder="0" applyAlignment="0" applyProtection="0"/>
    <xf numFmtId="10" fontId="9" fillId="24" borderId="3" applyNumberFormat="0" applyBorder="0" applyAlignment="0" applyProtection="0"/>
    <xf numFmtId="10" fontId="9" fillId="24" borderId="3" applyNumberFormat="0" applyBorder="0" applyAlignment="0" applyProtection="0"/>
    <xf numFmtId="10" fontId="9" fillId="24" borderId="3" applyNumberFormat="0" applyBorder="0" applyAlignment="0" applyProtection="0"/>
    <xf numFmtId="10" fontId="9" fillId="24" borderId="3" applyNumberFormat="0" applyBorder="0" applyAlignment="0" applyProtection="0"/>
    <xf numFmtId="10" fontId="9" fillId="24" borderId="3" applyNumberFormat="0" applyBorder="0" applyAlignment="0" applyProtection="0"/>
    <xf numFmtId="10" fontId="9" fillId="24" borderId="3" applyNumberFormat="0" applyBorder="0" applyAlignment="0" applyProtection="0"/>
    <xf numFmtId="10" fontId="9" fillId="24" borderId="3" applyNumberFormat="0" applyBorder="0" applyAlignment="0" applyProtection="0"/>
    <xf numFmtId="10" fontId="9" fillId="24" borderId="3" applyNumberFormat="0" applyBorder="0" applyAlignment="0" applyProtection="0"/>
    <xf numFmtId="10" fontId="9" fillId="24" borderId="3" applyNumberFormat="0" applyBorder="0" applyAlignment="0" applyProtection="0"/>
    <xf numFmtId="10" fontId="9" fillId="24" borderId="3" applyNumberFormat="0" applyBorder="0" applyAlignment="0" applyProtection="0"/>
    <xf numFmtId="10" fontId="9" fillId="24" borderId="3" applyNumberFormat="0" applyBorder="0" applyAlignment="0" applyProtection="0"/>
    <xf numFmtId="10" fontId="9" fillId="24" borderId="3" applyNumberFormat="0" applyBorder="0" applyAlignment="0" applyProtection="0"/>
    <xf numFmtId="178" fontId="82" fillId="58" borderId="30" applyNumberFormat="0" applyAlignment="0" applyProtection="0"/>
    <xf numFmtId="178" fontId="10" fillId="25" borderId="3" applyFont="0" applyFill="0" applyBorder="0" applyAlignment="0" applyProtection="0">
      <alignment horizontal="center"/>
      <protection locked="0"/>
    </xf>
    <xf numFmtId="178" fontId="10" fillId="25" borderId="3" applyFont="0" applyFill="0" applyBorder="0" applyAlignment="0" applyProtection="0">
      <alignment horizontal="center"/>
      <protection locked="0"/>
    </xf>
    <xf numFmtId="178" fontId="10" fillId="25" borderId="3" applyFont="0" applyFill="0" applyBorder="0" applyAlignment="0" applyProtection="0">
      <alignment horizontal="center"/>
      <protection locked="0"/>
    </xf>
    <xf numFmtId="178" fontId="10" fillId="25" borderId="3" applyFont="0" applyFill="0" applyBorder="0" applyAlignment="0" applyProtection="0">
      <alignment horizontal="center"/>
      <protection locked="0"/>
    </xf>
    <xf numFmtId="178" fontId="10" fillId="25" borderId="3" applyFont="0" applyFill="0" applyBorder="0" applyAlignment="0" applyProtection="0">
      <alignment horizontal="center"/>
      <protection locked="0"/>
    </xf>
    <xf numFmtId="178" fontId="10" fillId="25" borderId="3" applyFont="0" applyFill="0" applyBorder="0" applyAlignment="0" applyProtection="0">
      <alignment horizontal="center"/>
      <protection locked="0"/>
    </xf>
    <xf numFmtId="178" fontId="10" fillId="25" borderId="3" applyFont="0" applyFill="0" applyBorder="0" applyAlignment="0" applyProtection="0">
      <alignment horizontal="center"/>
      <protection locked="0"/>
    </xf>
    <xf numFmtId="178" fontId="10" fillId="25" borderId="3" applyFont="0" applyFill="0" applyBorder="0" applyAlignment="0" applyProtection="0">
      <alignment horizontal="center"/>
      <protection locked="0"/>
    </xf>
    <xf numFmtId="178" fontId="10" fillId="25" borderId="3" applyFont="0" applyFill="0" applyBorder="0" applyAlignment="0" applyProtection="0">
      <alignment horizontal="center"/>
      <protection locked="0"/>
    </xf>
    <xf numFmtId="178" fontId="10" fillId="25" borderId="3" applyFont="0" applyFill="0" applyBorder="0" applyAlignment="0" applyProtection="0">
      <alignment horizontal="center"/>
      <protection locked="0"/>
    </xf>
    <xf numFmtId="178" fontId="10" fillId="25" borderId="3" applyFont="0" applyFill="0" applyBorder="0" applyAlignment="0" applyProtection="0">
      <alignment horizontal="center"/>
      <protection locked="0"/>
    </xf>
    <xf numFmtId="178" fontId="10" fillId="25" borderId="3" applyFont="0" applyFill="0" applyBorder="0" applyAlignment="0" applyProtection="0">
      <alignment horizontal="center"/>
      <protection locked="0"/>
    </xf>
    <xf numFmtId="178" fontId="10" fillId="25" borderId="3" applyFont="0" applyFill="0" applyBorder="0" applyAlignment="0" applyProtection="0">
      <alignment horizontal="center"/>
      <protection locked="0"/>
    </xf>
    <xf numFmtId="178" fontId="10" fillId="25" borderId="3" applyFont="0" applyFill="0" applyBorder="0" applyAlignment="0" applyProtection="0">
      <alignment horizontal="center"/>
      <protection locked="0"/>
    </xf>
    <xf numFmtId="178" fontId="10" fillId="25" borderId="3" applyFont="0" applyFill="0" applyBorder="0" applyAlignment="0" applyProtection="0">
      <alignment horizontal="center"/>
      <protection locked="0"/>
    </xf>
    <xf numFmtId="178" fontId="20" fillId="0" borderId="8" applyNumberFormat="0" applyFill="0" applyAlignment="0" applyProtection="0"/>
    <xf numFmtId="178" fontId="83" fillId="0" borderId="35" applyNumberFormat="0" applyFill="0" applyAlignment="0" applyProtection="0"/>
    <xf numFmtId="178" fontId="44" fillId="23" borderId="0" applyNumberFormat="0" applyBorder="0" applyAlignment="0"/>
    <xf numFmtId="14" fontId="45" fillId="0" borderId="0" applyFont="0" applyFill="0" applyBorder="0" applyAlignment="0" applyProtection="0"/>
    <xf numFmtId="184" fontId="45" fillId="0" borderId="0" applyFont="0" applyFill="0" applyBorder="0" applyAlignment="0" applyProtection="0"/>
    <xf numFmtId="185" fontId="46" fillId="0" borderId="0" applyFont="0" applyFill="0" applyBorder="0"/>
    <xf numFmtId="178" fontId="21" fillId="11" borderId="0" applyNumberFormat="0" applyBorder="0" applyAlignment="0" applyProtection="0"/>
    <xf numFmtId="178" fontId="84" fillId="59" borderId="0" applyNumberFormat="0" applyBorder="0" applyAlignment="0" applyProtection="0"/>
    <xf numFmtId="186" fontId="47" fillId="0" borderId="0"/>
    <xf numFmtId="178" fontId="69" fillId="0" borderId="0"/>
    <xf numFmtId="177" fontId="23" fillId="0" borderId="0"/>
    <xf numFmtId="0" fontId="10" fillId="0" borderId="0"/>
    <xf numFmtId="178" fontId="69" fillId="0" borderId="0"/>
    <xf numFmtId="178" fontId="10" fillId="0" borderId="0">
      <alignment horizontal="left"/>
    </xf>
    <xf numFmtId="178" fontId="10" fillId="0" borderId="0"/>
    <xf numFmtId="178" fontId="10" fillId="0" borderId="0"/>
    <xf numFmtId="178" fontId="10" fillId="0" borderId="0"/>
    <xf numFmtId="178" fontId="10" fillId="0" borderId="0"/>
    <xf numFmtId="178" fontId="10" fillId="0" borderId="0"/>
    <xf numFmtId="178" fontId="10" fillId="0" borderId="0"/>
    <xf numFmtId="178" fontId="10" fillId="0" borderId="0"/>
    <xf numFmtId="178" fontId="10" fillId="0" borderId="0"/>
    <xf numFmtId="0" fontId="12" fillId="0" borderId="0"/>
    <xf numFmtId="178" fontId="31" fillId="0" borderId="0"/>
    <xf numFmtId="178" fontId="31" fillId="0" borderId="0"/>
    <xf numFmtId="178" fontId="31" fillId="0" borderId="0"/>
    <xf numFmtId="178" fontId="31" fillId="0" borderId="0"/>
    <xf numFmtId="178" fontId="31" fillId="0" borderId="0"/>
    <xf numFmtId="178" fontId="31" fillId="0" borderId="0"/>
    <xf numFmtId="178" fontId="31" fillId="0" borderId="0"/>
    <xf numFmtId="178" fontId="31" fillId="0" borderId="0"/>
    <xf numFmtId="178" fontId="32" fillId="0" borderId="0"/>
    <xf numFmtId="177" fontId="23" fillId="0" borderId="0"/>
    <xf numFmtId="0" fontId="10" fillId="0" borderId="0"/>
    <xf numFmtId="168" fontId="34" fillId="0" borderId="0"/>
    <xf numFmtId="0" fontId="69" fillId="0" borderId="0"/>
    <xf numFmtId="178" fontId="31" fillId="0" borderId="0"/>
    <xf numFmtId="178" fontId="10" fillId="0" borderId="0">
      <alignment wrapText="1"/>
    </xf>
    <xf numFmtId="0" fontId="10" fillId="0" borderId="0"/>
    <xf numFmtId="178" fontId="10" fillId="0" borderId="0"/>
    <xf numFmtId="178" fontId="31" fillId="0" borderId="0"/>
    <xf numFmtId="178" fontId="44" fillId="0" borderId="0"/>
    <xf numFmtId="178" fontId="31" fillId="0" borderId="0"/>
    <xf numFmtId="178" fontId="31" fillId="0" borderId="0"/>
    <xf numFmtId="178" fontId="31" fillId="0" borderId="0"/>
    <xf numFmtId="178" fontId="31" fillId="0" borderId="0"/>
    <xf numFmtId="178" fontId="31" fillId="0" borderId="0"/>
    <xf numFmtId="178" fontId="31" fillId="0" borderId="0"/>
    <xf numFmtId="178" fontId="10" fillId="0" borderId="0"/>
    <xf numFmtId="178" fontId="10" fillId="0" borderId="0"/>
    <xf numFmtId="178" fontId="10" fillId="0" borderId="0"/>
    <xf numFmtId="178" fontId="10" fillId="0" borderId="0"/>
    <xf numFmtId="178" fontId="10" fillId="0" borderId="0"/>
    <xf numFmtId="178" fontId="10" fillId="0" borderId="0"/>
    <xf numFmtId="178" fontId="10" fillId="0" borderId="0"/>
    <xf numFmtId="178" fontId="10" fillId="0" borderId="0"/>
    <xf numFmtId="178" fontId="10" fillId="0" borderId="0"/>
    <xf numFmtId="178" fontId="10" fillId="0" borderId="0"/>
    <xf numFmtId="178" fontId="10" fillId="0" borderId="0"/>
    <xf numFmtId="0" fontId="10" fillId="0" borderId="0"/>
    <xf numFmtId="178" fontId="31" fillId="0" borderId="0"/>
    <xf numFmtId="178" fontId="10" fillId="0" borderId="0"/>
    <xf numFmtId="178" fontId="10" fillId="0" borderId="0"/>
    <xf numFmtId="0" fontId="10" fillId="0" borderId="0"/>
    <xf numFmtId="174" fontId="34" fillId="0" borderId="0"/>
    <xf numFmtId="0" fontId="10" fillId="0" borderId="0"/>
    <xf numFmtId="178" fontId="10" fillId="0" borderId="0"/>
    <xf numFmtId="178" fontId="10" fillId="0" borderId="0"/>
    <xf numFmtId="178" fontId="10" fillId="0" borderId="0">
      <alignment horizontal="left"/>
    </xf>
    <xf numFmtId="178" fontId="10" fillId="0" borderId="0"/>
    <xf numFmtId="178" fontId="10" fillId="0" borderId="0"/>
    <xf numFmtId="178" fontId="10" fillId="0" borderId="0"/>
    <xf numFmtId="178" fontId="10" fillId="0" borderId="0">
      <alignment wrapText="1"/>
    </xf>
    <xf numFmtId="0" fontId="69" fillId="0" borderId="0"/>
    <xf numFmtId="192" fontId="67" fillId="0" borderId="0" applyBorder="0"/>
    <xf numFmtId="0" fontId="10" fillId="0" borderId="0"/>
    <xf numFmtId="178" fontId="69" fillId="0" borderId="0"/>
    <xf numFmtId="0" fontId="69" fillId="0" borderId="0"/>
    <xf numFmtId="178" fontId="69" fillId="0" borderId="0"/>
    <xf numFmtId="0" fontId="68" fillId="0" borderId="0"/>
    <xf numFmtId="178" fontId="10" fillId="0" borderId="0"/>
    <xf numFmtId="178" fontId="31" fillId="0" borderId="0"/>
    <xf numFmtId="178" fontId="31" fillId="0" borderId="0"/>
    <xf numFmtId="178" fontId="10" fillId="0" borderId="0"/>
    <xf numFmtId="178" fontId="10" fillId="0" borderId="0"/>
    <xf numFmtId="177" fontId="23" fillId="0" borderId="0"/>
    <xf numFmtId="178" fontId="10" fillId="0" borderId="0"/>
    <xf numFmtId="187" fontId="34" fillId="0" borderId="0"/>
    <xf numFmtId="178" fontId="69" fillId="0" borderId="0"/>
    <xf numFmtId="178" fontId="69" fillId="0" borderId="0"/>
    <xf numFmtId="178" fontId="69" fillId="0" borderId="0"/>
    <xf numFmtId="178" fontId="69" fillId="0" borderId="0"/>
    <xf numFmtId="178" fontId="16" fillId="0" borderId="0"/>
    <xf numFmtId="178" fontId="69" fillId="0" borderId="0"/>
    <xf numFmtId="178" fontId="69" fillId="0" borderId="0"/>
    <xf numFmtId="178" fontId="16" fillId="0" borderId="0"/>
    <xf numFmtId="178" fontId="69" fillId="0" borderId="0"/>
    <xf numFmtId="178" fontId="69" fillId="0" borderId="0"/>
    <xf numFmtId="0" fontId="10" fillId="0" borderId="0"/>
    <xf numFmtId="178" fontId="16" fillId="0" borderId="0"/>
    <xf numFmtId="177" fontId="23" fillId="0" borderId="0"/>
    <xf numFmtId="178" fontId="85" fillId="0" borderId="0"/>
    <xf numFmtId="178" fontId="10" fillId="0" borderId="0"/>
    <xf numFmtId="178" fontId="69" fillId="0" borderId="0"/>
    <xf numFmtId="187" fontId="34" fillId="0" borderId="0"/>
    <xf numFmtId="178" fontId="69" fillId="0" borderId="0"/>
    <xf numFmtId="178" fontId="16" fillId="0" borderId="0"/>
    <xf numFmtId="177" fontId="23" fillId="0" borderId="0"/>
    <xf numFmtId="178" fontId="86" fillId="0" borderId="0"/>
    <xf numFmtId="178" fontId="69" fillId="60" borderId="36" applyNumberFormat="0" applyFont="0" applyAlignment="0" applyProtection="0"/>
    <xf numFmtId="38" fontId="10" fillId="0" borderId="0"/>
    <xf numFmtId="40" fontId="10" fillId="0" borderId="10"/>
    <xf numFmtId="188" fontId="10" fillId="0" borderId="11"/>
    <xf numFmtId="188" fontId="10" fillId="0" borderId="11"/>
    <xf numFmtId="178" fontId="10" fillId="0" borderId="0"/>
    <xf numFmtId="178" fontId="87" fillId="55" borderId="37" applyNumberFormat="0" applyAlignment="0" applyProtection="0"/>
    <xf numFmtId="178" fontId="34" fillId="0" borderId="0"/>
    <xf numFmtId="178" fontId="34" fillId="0" borderId="0"/>
    <xf numFmtId="9" fontId="8" fillId="0" borderId="0" applyFont="0" applyFill="0" applyBorder="0" applyAlignment="0" applyProtection="0"/>
    <xf numFmtId="9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9" fillId="0" borderId="0" applyFont="0" applyFill="0" applyBorder="0" applyAlignment="0" applyProtection="0"/>
    <xf numFmtId="189" fontId="46" fillId="0" borderId="0" applyFont="0" applyFill="0" applyBorder="0" applyProtection="0">
      <alignment horizontal="center"/>
    </xf>
    <xf numFmtId="190" fontId="9" fillId="0" borderId="0" applyFont="0" applyFill="0" applyBorder="0" applyAlignment="0" applyProtection="0"/>
    <xf numFmtId="178" fontId="37" fillId="0" borderId="0" applyNumberFormat="0" applyFont="0" applyFill="0" applyBorder="0" applyAlignment="0" applyProtection="0">
      <alignment horizontal="left"/>
    </xf>
    <xf numFmtId="15" fontId="37" fillId="0" borderId="0" applyFont="0" applyFill="0" applyBorder="0" applyAlignment="0" applyProtection="0"/>
    <xf numFmtId="4" fontId="37" fillId="0" borderId="0" applyFont="0" applyFill="0" applyBorder="0" applyAlignment="0" applyProtection="0"/>
    <xf numFmtId="178" fontId="48" fillId="0" borderId="13">
      <alignment horizontal="center"/>
    </xf>
    <xf numFmtId="3" fontId="37" fillId="0" borderId="0" applyFont="0" applyFill="0" applyBorder="0" applyAlignment="0" applyProtection="0"/>
    <xf numFmtId="178" fontId="37" fillId="26" borderId="0" applyNumberFormat="0" applyFont="0" applyBorder="0" applyAlignment="0" applyProtection="0"/>
    <xf numFmtId="3" fontId="24" fillId="0" borderId="0" applyFill="0" applyBorder="0" applyAlignment="0" applyProtection="0"/>
    <xf numFmtId="3" fontId="23" fillId="0" borderId="0" applyFill="0" applyBorder="0" applyAlignment="0" applyProtection="0"/>
    <xf numFmtId="3" fontId="24" fillId="0" borderId="0" applyFill="0" applyBorder="0" applyAlignment="0" applyProtection="0"/>
    <xf numFmtId="178" fontId="49" fillId="0" borderId="0"/>
    <xf numFmtId="178" fontId="34" fillId="0" borderId="0"/>
    <xf numFmtId="178" fontId="10" fillId="0" borderId="0" applyNumberFormat="0" applyFill="0" applyBorder="0" applyProtection="0">
      <alignment horizontal="right"/>
    </xf>
    <xf numFmtId="178" fontId="11" fillId="0" borderId="0" applyNumberFormat="0" applyFill="0" applyBorder="0" applyProtection="0">
      <alignment horizontal="right"/>
    </xf>
    <xf numFmtId="178" fontId="10" fillId="0" borderId="0" applyNumberFormat="0" applyFill="0" applyBorder="0" applyProtection="0">
      <alignment horizontal="left"/>
    </xf>
    <xf numFmtId="178" fontId="11" fillId="0" borderId="0" applyNumberFormat="0" applyFill="0" applyBorder="0" applyProtection="0">
      <alignment horizontal="left"/>
    </xf>
    <xf numFmtId="178" fontId="11" fillId="0" borderId="0" applyNumberFormat="0" applyFill="0" applyBorder="0" applyProtection="0">
      <alignment horizontal="left"/>
    </xf>
    <xf numFmtId="178" fontId="10" fillId="0" borderId="14" applyNumberFormat="0" applyFont="0" applyFill="0" applyAlignment="0" applyProtection="0"/>
    <xf numFmtId="178" fontId="10" fillId="0" borderId="0" applyNumberFormat="0" applyFont="0" applyFill="0" applyBorder="0" applyProtection="0">
      <alignment wrapText="1"/>
    </xf>
    <xf numFmtId="178" fontId="13" fillId="0" borderId="0" applyNumberFormat="0" applyBorder="0" applyAlignment="0"/>
    <xf numFmtId="178" fontId="13" fillId="0" borderId="0" applyNumberFormat="0" applyBorder="0" applyAlignment="0"/>
    <xf numFmtId="178" fontId="13" fillId="0" borderId="0" applyNumberFormat="0" applyBorder="0" applyAlignment="0"/>
    <xf numFmtId="178" fontId="22" fillId="0" borderId="0" applyNumberFormat="0" applyBorder="0" applyAlignment="0"/>
    <xf numFmtId="178" fontId="14" fillId="0" borderId="0" applyNumberFormat="0" applyBorder="0" applyAlignment="0"/>
    <xf numFmtId="178" fontId="50" fillId="0" borderId="0" applyNumberFormat="0" applyBorder="0" applyAlignment="0"/>
    <xf numFmtId="178" fontId="50" fillId="0" borderId="0" applyNumberFormat="0" applyBorder="0" applyAlignment="0"/>
    <xf numFmtId="178" fontId="10" fillId="0" borderId="0"/>
    <xf numFmtId="191" fontId="10" fillId="0" borderId="0" applyFont="0" applyFill="0" applyBorder="0" applyAlignment="0" applyProtection="0"/>
    <xf numFmtId="178" fontId="88" fillId="0" borderId="0" applyNumberFormat="0" applyFill="0" applyBorder="0" applyAlignment="0" applyProtection="0"/>
    <xf numFmtId="178" fontId="89" fillId="0" borderId="38" applyNumberFormat="0" applyFill="0" applyAlignment="0" applyProtection="0"/>
    <xf numFmtId="178" fontId="10" fillId="0" borderId="0"/>
    <xf numFmtId="178" fontId="51" fillId="0" borderId="0" applyNumberFormat="0" applyBorder="0" applyAlignment="0">
      <protection locked="0"/>
    </xf>
    <xf numFmtId="178" fontId="90" fillId="0" borderId="0" applyNumberFormat="0" applyFill="0" applyBorder="0" applyAlignment="0" applyProtection="0"/>
    <xf numFmtId="178" fontId="10" fillId="0" borderId="0"/>
    <xf numFmtId="178" fontId="28" fillId="27" borderId="0" applyNumberFormat="0" applyBorder="0" applyAlignment="0" applyProtection="0">
      <alignment vertical="center"/>
    </xf>
    <xf numFmtId="178" fontId="28" fillId="19" borderId="0" applyNumberFormat="0" applyBorder="0" applyAlignment="0" applyProtection="0">
      <alignment vertical="center"/>
    </xf>
    <xf numFmtId="178" fontId="28" fillId="28" borderId="0" applyNumberFormat="0" applyBorder="0" applyAlignment="0" applyProtection="0">
      <alignment vertical="center"/>
    </xf>
    <xf numFmtId="178" fontId="28" fillId="17" borderId="0" applyNumberFormat="0" applyBorder="0" applyAlignment="0" applyProtection="0">
      <alignment vertical="center"/>
    </xf>
    <xf numFmtId="178" fontId="28" fillId="15" borderId="0" applyNumberFormat="0" applyBorder="0" applyAlignment="0" applyProtection="0">
      <alignment vertical="center"/>
    </xf>
    <xf numFmtId="178" fontId="28" fillId="20" borderId="0" applyNumberFormat="0" applyBorder="0" applyAlignment="0" applyProtection="0">
      <alignment vertical="center"/>
    </xf>
    <xf numFmtId="178" fontId="52" fillId="0" borderId="0" applyNumberFormat="0" applyFill="0" applyBorder="0" applyAlignment="0" applyProtection="0">
      <alignment vertical="center"/>
    </xf>
    <xf numFmtId="178" fontId="53" fillId="21" borderId="2" applyNumberFormat="0" applyAlignment="0" applyProtection="0">
      <alignment vertical="center"/>
    </xf>
    <xf numFmtId="178" fontId="54" fillId="11" borderId="0" applyNumberFormat="0" applyBorder="0" applyAlignment="0" applyProtection="0">
      <alignment vertical="center"/>
    </xf>
    <xf numFmtId="178" fontId="10" fillId="3" borderId="9" applyNumberFormat="0" applyFont="0" applyAlignment="0" applyProtection="0">
      <alignment vertical="center"/>
    </xf>
    <xf numFmtId="178" fontId="10" fillId="3" borderId="9" applyNumberFormat="0" applyFont="0" applyAlignment="0" applyProtection="0">
      <alignment vertical="center"/>
    </xf>
    <xf numFmtId="178" fontId="10" fillId="3" borderId="9" applyNumberFormat="0" applyFont="0" applyAlignment="0" applyProtection="0">
      <alignment vertical="center"/>
    </xf>
    <xf numFmtId="178" fontId="10" fillId="3" borderId="9" applyNumberFormat="0" applyFont="0" applyAlignment="0" applyProtection="0">
      <alignment vertical="center"/>
    </xf>
    <xf numFmtId="178" fontId="10" fillId="3" borderId="9" applyNumberFormat="0" applyFont="0" applyAlignment="0" applyProtection="0">
      <alignment vertical="center"/>
    </xf>
    <xf numFmtId="178" fontId="10" fillId="3" borderId="9" applyNumberFormat="0" applyFont="0" applyAlignment="0" applyProtection="0">
      <alignment vertical="center"/>
    </xf>
    <xf numFmtId="178" fontId="10" fillId="3" borderId="9" applyNumberFormat="0" applyFont="0" applyAlignment="0" applyProtection="0">
      <alignment vertical="center"/>
    </xf>
    <xf numFmtId="178" fontId="10" fillId="3" borderId="9" applyNumberFormat="0" applyFont="0" applyAlignment="0" applyProtection="0">
      <alignment vertical="center"/>
    </xf>
    <xf numFmtId="178" fontId="10" fillId="3" borderId="9" applyNumberFormat="0" applyFont="0" applyAlignment="0" applyProtection="0">
      <alignment vertical="center"/>
    </xf>
    <xf numFmtId="178" fontId="10" fillId="3" borderId="9" applyNumberFormat="0" applyFont="0" applyAlignment="0" applyProtection="0">
      <alignment vertical="center"/>
    </xf>
    <xf numFmtId="178" fontId="10" fillId="3" borderId="9" applyNumberFormat="0" applyFont="0" applyAlignment="0" applyProtection="0">
      <alignment vertical="center"/>
    </xf>
    <xf numFmtId="178" fontId="10" fillId="3" borderId="9" applyNumberFormat="0" applyFont="0" applyAlignment="0" applyProtection="0">
      <alignment vertical="center"/>
    </xf>
    <xf numFmtId="178" fontId="10" fillId="3" borderId="9" applyNumberFormat="0" applyFont="0" applyAlignment="0" applyProtection="0">
      <alignment vertical="center"/>
    </xf>
    <xf numFmtId="178" fontId="10" fillId="3" borderId="9" applyNumberFormat="0" applyFont="0" applyAlignment="0" applyProtection="0">
      <alignment vertical="center"/>
    </xf>
    <xf numFmtId="178" fontId="10" fillId="3" borderId="9" applyNumberFormat="0" applyFont="0" applyAlignment="0" applyProtection="0">
      <alignment vertical="center"/>
    </xf>
    <xf numFmtId="178" fontId="10" fillId="3" borderId="9" applyNumberFormat="0" applyFont="0" applyAlignment="0" applyProtection="0">
      <alignment vertical="center"/>
    </xf>
    <xf numFmtId="178" fontId="10" fillId="3" borderId="9" applyNumberFormat="0" applyFont="0" applyAlignment="0" applyProtection="0">
      <alignment vertical="center"/>
    </xf>
    <xf numFmtId="178" fontId="10" fillId="3" borderId="9" applyNumberFormat="0" applyFont="0" applyAlignment="0" applyProtection="0">
      <alignment vertical="center"/>
    </xf>
    <xf numFmtId="178" fontId="10" fillId="3" borderId="9" applyNumberFormat="0" applyFont="0" applyAlignment="0" applyProtection="0">
      <alignment vertical="center"/>
    </xf>
    <xf numFmtId="178" fontId="10" fillId="3" borderId="9" applyNumberFormat="0" applyFont="0" applyAlignment="0" applyProtection="0">
      <alignment vertical="center"/>
    </xf>
    <xf numFmtId="178" fontId="55" fillId="0" borderId="8" applyNumberFormat="0" applyFill="0" applyAlignment="0" applyProtection="0">
      <alignment vertical="center"/>
    </xf>
    <xf numFmtId="178" fontId="56" fillId="2" borderId="1" applyNumberFormat="0" applyAlignment="0" applyProtection="0">
      <alignment vertical="center"/>
    </xf>
    <xf numFmtId="178" fontId="56" fillId="2" borderId="1" applyNumberFormat="0" applyAlignment="0" applyProtection="0">
      <alignment vertical="center"/>
    </xf>
    <xf numFmtId="178" fontId="56" fillId="2" borderId="1" applyNumberFormat="0" applyAlignment="0" applyProtection="0">
      <alignment vertical="center"/>
    </xf>
    <xf numFmtId="178" fontId="56" fillId="2" borderId="1" applyNumberFormat="0" applyAlignment="0" applyProtection="0">
      <alignment vertical="center"/>
    </xf>
    <xf numFmtId="178" fontId="56" fillId="2" borderId="1" applyNumberFormat="0" applyAlignment="0" applyProtection="0">
      <alignment vertical="center"/>
    </xf>
    <xf numFmtId="178" fontId="56" fillId="2" borderId="1" applyNumberFormat="0" applyAlignment="0" applyProtection="0">
      <alignment vertical="center"/>
    </xf>
    <xf numFmtId="178" fontId="56" fillId="2" borderId="1" applyNumberFormat="0" applyAlignment="0" applyProtection="0">
      <alignment vertical="center"/>
    </xf>
    <xf numFmtId="178" fontId="56" fillId="2" borderId="1" applyNumberFormat="0" applyAlignment="0" applyProtection="0">
      <alignment vertical="center"/>
    </xf>
    <xf numFmtId="178" fontId="56" fillId="2" borderId="1" applyNumberFormat="0" applyAlignment="0" applyProtection="0">
      <alignment vertical="center"/>
    </xf>
    <xf numFmtId="178" fontId="56" fillId="2" borderId="1" applyNumberFormat="0" applyAlignment="0" applyProtection="0">
      <alignment vertical="center"/>
    </xf>
    <xf numFmtId="178" fontId="56" fillId="2" borderId="1" applyNumberFormat="0" applyAlignment="0" applyProtection="0">
      <alignment vertical="center"/>
    </xf>
    <xf numFmtId="178" fontId="56" fillId="2" borderId="1" applyNumberFormat="0" applyAlignment="0" applyProtection="0">
      <alignment vertical="center"/>
    </xf>
    <xf numFmtId="178" fontId="56" fillId="2" borderId="1" applyNumberFormat="0" applyAlignment="0" applyProtection="0">
      <alignment vertical="center"/>
    </xf>
    <xf numFmtId="178" fontId="56" fillId="2" borderId="1" applyNumberFormat="0" applyAlignment="0" applyProtection="0">
      <alignment vertical="center"/>
    </xf>
    <xf numFmtId="178" fontId="56" fillId="2" borderId="1" applyNumberFormat="0" applyAlignment="0" applyProtection="0">
      <alignment vertical="center"/>
    </xf>
    <xf numFmtId="178" fontId="56" fillId="2" borderId="1" applyNumberFormat="0" applyAlignment="0" applyProtection="0">
      <alignment vertical="center"/>
    </xf>
    <xf numFmtId="178" fontId="56" fillId="2" borderId="1" applyNumberFormat="0" applyAlignment="0" applyProtection="0">
      <alignment vertical="center"/>
    </xf>
    <xf numFmtId="178" fontId="56" fillId="2" borderId="1" applyNumberFormat="0" applyAlignment="0" applyProtection="0">
      <alignment vertical="center"/>
    </xf>
    <xf numFmtId="178" fontId="56" fillId="2" borderId="1" applyNumberFormat="0" applyAlignment="0" applyProtection="0">
      <alignment vertical="center"/>
    </xf>
    <xf numFmtId="178" fontId="56" fillId="2" borderId="1" applyNumberFormat="0" applyAlignment="0" applyProtection="0">
      <alignment vertical="center"/>
    </xf>
    <xf numFmtId="178" fontId="57" fillId="9" borderId="12" applyNumberFormat="0" applyAlignment="0" applyProtection="0">
      <alignment vertical="center"/>
    </xf>
    <xf numFmtId="178" fontId="57" fillId="9" borderId="12" applyNumberFormat="0" applyAlignment="0" applyProtection="0">
      <alignment vertical="center"/>
    </xf>
    <xf numFmtId="178" fontId="57" fillId="9" borderId="12" applyNumberFormat="0" applyAlignment="0" applyProtection="0">
      <alignment vertical="center"/>
    </xf>
    <xf numFmtId="178" fontId="57" fillId="9" borderId="12" applyNumberFormat="0" applyAlignment="0" applyProtection="0">
      <alignment vertical="center"/>
    </xf>
    <xf numFmtId="178" fontId="57" fillId="9" borderId="12" applyNumberFormat="0" applyAlignment="0" applyProtection="0">
      <alignment vertical="center"/>
    </xf>
    <xf numFmtId="178" fontId="57" fillId="9" borderId="12" applyNumberFormat="0" applyAlignment="0" applyProtection="0">
      <alignment vertical="center"/>
    </xf>
    <xf numFmtId="178" fontId="57" fillId="9" borderId="12" applyNumberFormat="0" applyAlignment="0" applyProtection="0">
      <alignment vertical="center"/>
    </xf>
    <xf numFmtId="178" fontId="57" fillId="9" borderId="12" applyNumberFormat="0" applyAlignment="0" applyProtection="0">
      <alignment vertical="center"/>
    </xf>
    <xf numFmtId="178" fontId="57" fillId="9" borderId="12" applyNumberFormat="0" applyAlignment="0" applyProtection="0">
      <alignment vertical="center"/>
    </xf>
    <xf numFmtId="178" fontId="57" fillId="9" borderId="12" applyNumberFormat="0" applyAlignment="0" applyProtection="0">
      <alignment vertical="center"/>
    </xf>
    <xf numFmtId="178" fontId="57" fillId="9" borderId="12" applyNumberFormat="0" applyAlignment="0" applyProtection="0">
      <alignment vertical="center"/>
    </xf>
    <xf numFmtId="178" fontId="57" fillId="9" borderId="12" applyNumberFormat="0" applyAlignment="0" applyProtection="0">
      <alignment vertical="center"/>
    </xf>
    <xf numFmtId="178" fontId="57" fillId="9" borderId="12" applyNumberFormat="0" applyAlignment="0" applyProtection="0">
      <alignment vertical="center"/>
    </xf>
    <xf numFmtId="178" fontId="57" fillId="9" borderId="12" applyNumberFormat="0" applyAlignment="0" applyProtection="0">
      <alignment vertical="center"/>
    </xf>
    <xf numFmtId="178" fontId="57" fillId="9" borderId="12" applyNumberFormat="0" applyAlignment="0" applyProtection="0">
      <alignment vertical="center"/>
    </xf>
    <xf numFmtId="178" fontId="57" fillId="9" borderId="12" applyNumberFormat="0" applyAlignment="0" applyProtection="0">
      <alignment vertical="center"/>
    </xf>
    <xf numFmtId="178" fontId="57" fillId="9" borderId="12" applyNumberFormat="0" applyAlignment="0" applyProtection="0">
      <alignment vertical="center"/>
    </xf>
    <xf numFmtId="178" fontId="57" fillId="9" borderId="12" applyNumberFormat="0" applyAlignment="0" applyProtection="0">
      <alignment vertical="center"/>
    </xf>
    <xf numFmtId="178" fontId="57" fillId="9" borderId="12" applyNumberFormat="0" applyAlignment="0" applyProtection="0">
      <alignment vertical="center"/>
    </xf>
    <xf numFmtId="178" fontId="57" fillId="9" borderId="12" applyNumberFormat="0" applyAlignment="0" applyProtection="0">
      <alignment vertical="center"/>
    </xf>
    <xf numFmtId="178" fontId="58" fillId="7" borderId="0" applyNumberFormat="0" applyBorder="0" applyAlignment="0" applyProtection="0">
      <alignment vertical="center"/>
    </xf>
    <xf numFmtId="178" fontId="59" fillId="8" borderId="0" applyNumberFormat="0" applyBorder="0" applyAlignment="0" applyProtection="0">
      <alignment vertical="center"/>
    </xf>
    <xf numFmtId="178" fontId="60" fillId="0" borderId="15" applyNumberFormat="0" applyFill="0" applyAlignment="0" applyProtection="0">
      <alignment vertical="center"/>
    </xf>
    <xf numFmtId="178" fontId="61" fillId="0" borderId="7" applyNumberFormat="0" applyFill="0" applyAlignment="0" applyProtection="0">
      <alignment vertical="center"/>
    </xf>
    <xf numFmtId="178" fontId="62" fillId="0" borderId="16" applyNumberFormat="0" applyFill="0" applyAlignment="0" applyProtection="0">
      <alignment vertical="center"/>
    </xf>
    <xf numFmtId="178" fontId="62" fillId="0" borderId="0" applyNumberFormat="0" applyFill="0" applyBorder="0" applyAlignment="0" applyProtection="0">
      <alignment vertical="center"/>
    </xf>
    <xf numFmtId="178" fontId="63" fillId="9" borderId="1" applyNumberFormat="0" applyAlignment="0" applyProtection="0">
      <alignment vertical="center"/>
    </xf>
    <xf numFmtId="178" fontId="63" fillId="9" borderId="1" applyNumberFormat="0" applyAlignment="0" applyProtection="0">
      <alignment vertical="center"/>
    </xf>
    <xf numFmtId="178" fontId="63" fillId="9" borderId="1" applyNumberFormat="0" applyAlignment="0" applyProtection="0">
      <alignment vertical="center"/>
    </xf>
    <xf numFmtId="178" fontId="63" fillId="9" borderId="1" applyNumberFormat="0" applyAlignment="0" applyProtection="0">
      <alignment vertical="center"/>
    </xf>
    <xf numFmtId="178" fontId="63" fillId="9" borderId="1" applyNumberFormat="0" applyAlignment="0" applyProtection="0">
      <alignment vertical="center"/>
    </xf>
    <xf numFmtId="178" fontId="63" fillId="9" borderId="1" applyNumberFormat="0" applyAlignment="0" applyProtection="0">
      <alignment vertical="center"/>
    </xf>
    <xf numFmtId="178" fontId="63" fillId="9" borderId="1" applyNumberFormat="0" applyAlignment="0" applyProtection="0">
      <alignment vertical="center"/>
    </xf>
    <xf numFmtId="178" fontId="63" fillId="9" borderId="1" applyNumberFormat="0" applyAlignment="0" applyProtection="0">
      <alignment vertical="center"/>
    </xf>
    <xf numFmtId="178" fontId="63" fillId="9" borderId="1" applyNumberFormat="0" applyAlignment="0" applyProtection="0">
      <alignment vertical="center"/>
    </xf>
    <xf numFmtId="178" fontId="63" fillId="9" borderId="1" applyNumberFormat="0" applyAlignment="0" applyProtection="0">
      <alignment vertical="center"/>
    </xf>
    <xf numFmtId="178" fontId="63" fillId="9" borderId="1" applyNumberFormat="0" applyAlignment="0" applyProtection="0">
      <alignment vertical="center"/>
    </xf>
    <xf numFmtId="178" fontId="63" fillId="9" borderId="1" applyNumberFormat="0" applyAlignment="0" applyProtection="0">
      <alignment vertical="center"/>
    </xf>
    <xf numFmtId="178" fontId="63" fillId="9" borderId="1" applyNumberFormat="0" applyAlignment="0" applyProtection="0">
      <alignment vertical="center"/>
    </xf>
    <xf numFmtId="178" fontId="63" fillId="9" borderId="1" applyNumberFormat="0" applyAlignment="0" applyProtection="0">
      <alignment vertical="center"/>
    </xf>
    <xf numFmtId="178" fontId="63" fillId="9" borderId="1" applyNumberFormat="0" applyAlignment="0" applyProtection="0">
      <alignment vertical="center"/>
    </xf>
    <xf numFmtId="178" fontId="63" fillId="9" borderId="1" applyNumberFormat="0" applyAlignment="0" applyProtection="0">
      <alignment vertical="center"/>
    </xf>
    <xf numFmtId="178" fontId="63" fillId="9" borderId="1" applyNumberFormat="0" applyAlignment="0" applyProtection="0">
      <alignment vertical="center"/>
    </xf>
    <xf numFmtId="178" fontId="63" fillId="9" borderId="1" applyNumberFormat="0" applyAlignment="0" applyProtection="0">
      <alignment vertical="center"/>
    </xf>
    <xf numFmtId="178" fontId="63" fillId="9" borderId="1" applyNumberFormat="0" applyAlignment="0" applyProtection="0">
      <alignment vertical="center"/>
    </xf>
    <xf numFmtId="178" fontId="63" fillId="9" borderId="1" applyNumberFormat="0" applyAlignment="0" applyProtection="0">
      <alignment vertical="center"/>
    </xf>
    <xf numFmtId="178" fontId="64" fillId="0" borderId="0" applyNumberFormat="0" applyFill="0" applyBorder="0" applyAlignment="0" applyProtection="0">
      <alignment vertical="center"/>
    </xf>
    <xf numFmtId="178" fontId="65" fillId="0" borderId="0" applyNumberFormat="0" applyFill="0" applyBorder="0" applyAlignment="0" applyProtection="0">
      <alignment vertical="center"/>
    </xf>
    <xf numFmtId="178" fontId="66" fillId="0" borderId="17" applyNumberFormat="0" applyFill="0" applyAlignment="0" applyProtection="0">
      <alignment vertical="center"/>
    </xf>
    <xf numFmtId="178" fontId="66" fillId="0" borderId="17" applyNumberFormat="0" applyFill="0" applyAlignment="0" applyProtection="0">
      <alignment vertical="center"/>
    </xf>
    <xf numFmtId="178" fontId="66" fillId="0" borderId="17" applyNumberFormat="0" applyFill="0" applyAlignment="0" applyProtection="0">
      <alignment vertical="center"/>
    </xf>
    <xf numFmtId="178" fontId="66" fillId="0" borderId="17" applyNumberFormat="0" applyFill="0" applyAlignment="0" applyProtection="0">
      <alignment vertical="center"/>
    </xf>
    <xf numFmtId="178" fontId="66" fillId="0" borderId="17" applyNumberFormat="0" applyFill="0" applyAlignment="0" applyProtection="0">
      <alignment vertical="center"/>
    </xf>
    <xf numFmtId="178" fontId="66" fillId="0" borderId="17" applyNumberFormat="0" applyFill="0" applyAlignment="0" applyProtection="0">
      <alignment vertical="center"/>
    </xf>
    <xf numFmtId="178" fontId="66" fillId="0" borderId="17" applyNumberFormat="0" applyFill="0" applyAlignment="0" applyProtection="0">
      <alignment vertical="center"/>
    </xf>
    <xf numFmtId="178" fontId="66" fillId="0" borderId="17" applyNumberFormat="0" applyFill="0" applyAlignment="0" applyProtection="0">
      <alignment vertical="center"/>
    </xf>
    <xf numFmtId="178" fontId="66" fillId="0" borderId="17" applyNumberFormat="0" applyFill="0" applyAlignment="0" applyProtection="0">
      <alignment vertical="center"/>
    </xf>
    <xf numFmtId="178" fontId="66" fillId="0" borderId="17" applyNumberFormat="0" applyFill="0" applyAlignment="0" applyProtection="0">
      <alignment vertical="center"/>
    </xf>
    <xf numFmtId="178" fontId="66" fillId="0" borderId="17" applyNumberFormat="0" applyFill="0" applyAlignment="0" applyProtection="0">
      <alignment vertical="center"/>
    </xf>
    <xf numFmtId="178" fontId="66" fillId="0" borderId="17" applyNumberFormat="0" applyFill="0" applyAlignment="0" applyProtection="0">
      <alignment vertical="center"/>
    </xf>
    <xf numFmtId="178" fontId="66" fillId="0" borderId="17" applyNumberFormat="0" applyFill="0" applyAlignment="0" applyProtection="0">
      <alignment vertical="center"/>
    </xf>
    <xf numFmtId="178" fontId="66" fillId="0" borderId="17" applyNumberFormat="0" applyFill="0" applyAlignment="0" applyProtection="0">
      <alignment vertical="center"/>
    </xf>
    <xf numFmtId="178" fontId="66" fillId="0" borderId="17" applyNumberFormat="0" applyFill="0" applyAlignment="0" applyProtection="0">
      <alignment vertical="center"/>
    </xf>
    <xf numFmtId="178" fontId="66" fillId="0" borderId="17" applyNumberFormat="0" applyFill="0" applyAlignment="0" applyProtection="0">
      <alignment vertical="center"/>
    </xf>
    <xf numFmtId="178" fontId="66" fillId="0" borderId="17" applyNumberFormat="0" applyFill="0" applyAlignment="0" applyProtection="0">
      <alignment vertical="center"/>
    </xf>
    <xf numFmtId="178" fontId="66" fillId="0" borderId="17" applyNumberFormat="0" applyFill="0" applyAlignment="0" applyProtection="0">
      <alignment vertical="center"/>
    </xf>
    <xf numFmtId="178" fontId="66" fillId="0" borderId="17" applyNumberFormat="0" applyFill="0" applyAlignment="0" applyProtection="0">
      <alignment vertical="center"/>
    </xf>
    <xf numFmtId="178" fontId="66" fillId="0" borderId="17" applyNumberFormat="0" applyFill="0" applyAlignment="0" applyProtection="0">
      <alignment vertical="center"/>
    </xf>
    <xf numFmtId="0" fontId="7" fillId="0" borderId="0"/>
    <xf numFmtId="166" fontId="8" fillId="0" borderId="0" applyFont="0" applyFill="0" applyBorder="0" applyAlignment="0" applyProtection="0"/>
    <xf numFmtId="0" fontId="6" fillId="0" borderId="0"/>
    <xf numFmtId="0" fontId="5" fillId="0" borderId="0"/>
    <xf numFmtId="0" fontId="8" fillId="0" borderId="0"/>
    <xf numFmtId="0" fontId="4" fillId="0" borderId="0"/>
    <xf numFmtId="0" fontId="8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3" fillId="0" borderId="0"/>
    <xf numFmtId="9" fontId="8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23" fillId="76" borderId="0" applyBorder="0"/>
    <xf numFmtId="0" fontId="1" fillId="0" borderId="0"/>
    <xf numFmtId="164" fontId="1" fillId="0" borderId="0" applyFont="0" applyFill="0" applyBorder="0" applyAlignment="0" applyProtection="0"/>
  </cellStyleXfs>
  <cellXfs count="671">
    <xf numFmtId="0" fontId="0" fillId="0" borderId="0" xfId="0"/>
    <xf numFmtId="0" fontId="0" fillId="0" borderId="3" xfId="0" applyBorder="1"/>
    <xf numFmtId="0" fontId="91" fillId="0" borderId="0" xfId="0" applyFont="1" applyAlignment="1">
      <alignment horizontal="center" vertical="center" wrapText="1"/>
    </xf>
    <xf numFmtId="0" fontId="91" fillId="0" borderId="4" xfId="0" applyFont="1" applyBorder="1" applyAlignment="1">
      <alignment horizontal="center" vertical="center" wrapText="1"/>
    </xf>
    <xf numFmtId="171" fontId="91" fillId="0" borderId="0" xfId="98" applyNumberFormat="1" applyFont="1" applyFill="1" applyBorder="1" applyAlignment="1">
      <alignment horizontal="center" vertical="center" wrapText="1"/>
    </xf>
    <xf numFmtId="0" fontId="44" fillId="0" borderId="3" xfId="0" applyFont="1" applyBorder="1" applyAlignment="1">
      <alignment horizontal="center" vertical="center"/>
    </xf>
    <xf numFmtId="0" fontId="44" fillId="0" borderId="0" xfId="0" applyFont="1"/>
    <xf numFmtId="0" fontId="44" fillId="0" borderId="0" xfId="0" applyFont="1" applyAlignment="1">
      <alignment horizontal="center"/>
    </xf>
    <xf numFmtId="0" fontId="44" fillId="0" borderId="0" xfId="0" applyFont="1" applyAlignment="1">
      <alignment wrapText="1"/>
    </xf>
    <xf numFmtId="0" fontId="44" fillId="0" borderId="0" xfId="0" applyFont="1" applyAlignment="1">
      <alignment horizontal="left"/>
    </xf>
    <xf numFmtId="171" fontId="44" fillId="0" borderId="0" xfId="98" applyNumberFormat="1" applyFont="1" applyAlignment="1">
      <alignment horizontal="center"/>
    </xf>
    <xf numFmtId="9" fontId="44" fillId="0" borderId="0" xfId="345" applyFont="1" applyAlignment="1">
      <alignment horizontal="center"/>
    </xf>
    <xf numFmtId="0" fontId="92" fillId="70" borderId="3" xfId="0" applyFont="1" applyFill="1" applyBorder="1" applyAlignment="1">
      <alignment horizontal="center" vertical="center" wrapText="1"/>
    </xf>
    <xf numFmtId="171" fontId="92" fillId="70" borderId="3" xfId="98" applyNumberFormat="1" applyFont="1" applyFill="1" applyBorder="1" applyAlignment="1">
      <alignment horizontal="center" vertical="center" wrapText="1"/>
    </xf>
    <xf numFmtId="0" fontId="93" fillId="0" borderId="3" xfId="0" applyFont="1" applyBorder="1" applyAlignment="1">
      <alignment horizontal="center" vertical="top"/>
    </xf>
    <xf numFmtId="0" fontId="15" fillId="0" borderId="3" xfId="0" applyFont="1" applyBorder="1" applyAlignment="1">
      <alignment horizontal="center" vertical="center"/>
    </xf>
    <xf numFmtId="171" fontId="15" fillId="0" borderId="3" xfId="98" applyNumberFormat="1" applyFont="1" applyBorder="1" applyAlignment="1">
      <alignment horizontal="center" vertical="center"/>
    </xf>
    <xf numFmtId="0" fontId="93" fillId="0" borderId="0" xfId="0" applyFont="1" applyAlignment="1">
      <alignment horizontal="center" vertical="top"/>
    </xf>
    <xf numFmtId="0" fontId="15" fillId="63" borderId="3" xfId="0" applyFont="1" applyFill="1" applyBorder="1" applyAlignment="1">
      <alignment vertical="center" wrapText="1"/>
    </xf>
    <xf numFmtId="171" fontId="15" fillId="63" borderId="3" xfId="98" applyNumberFormat="1" applyFont="1" applyFill="1" applyBorder="1" applyAlignment="1">
      <alignment vertical="center" wrapText="1"/>
    </xf>
    <xf numFmtId="0" fontId="94" fillId="62" borderId="3" xfId="0" applyFont="1" applyFill="1" applyBorder="1" applyAlignment="1">
      <alignment wrapText="1"/>
    </xf>
    <xf numFmtId="171" fontId="94" fillId="62" borderId="3" xfId="98" applyNumberFormat="1" applyFont="1" applyFill="1" applyBorder="1" applyAlignment="1">
      <alignment wrapText="1"/>
    </xf>
    <xf numFmtId="0" fontId="44" fillId="0" borderId="3" xfId="0" applyFont="1" applyBorder="1" applyAlignment="1">
      <alignment wrapText="1"/>
    </xf>
    <xf numFmtId="9" fontId="44" fillId="0" borderId="3" xfId="337" applyFont="1" applyFill="1" applyBorder="1" applyAlignment="1">
      <alignment horizontal="center" wrapText="1"/>
    </xf>
    <xf numFmtId="173" fontId="44" fillId="0" borderId="3" xfId="98" applyNumberFormat="1" applyFont="1" applyFill="1" applyBorder="1" applyAlignment="1">
      <alignment horizontal="center" wrapText="1"/>
    </xf>
    <xf numFmtId="0" fontId="95" fillId="0" borderId="0" xfId="0" applyFont="1" applyAlignment="1">
      <alignment wrapText="1"/>
    </xf>
    <xf numFmtId="9" fontId="94" fillId="62" borderId="3" xfId="337" applyFont="1" applyFill="1" applyBorder="1" applyAlignment="1">
      <alignment wrapText="1"/>
    </xf>
    <xf numFmtId="0" fontId="15" fillId="61" borderId="3" xfId="0" applyFont="1" applyFill="1" applyBorder="1" applyAlignment="1">
      <alignment wrapText="1"/>
    </xf>
    <xf numFmtId="9" fontId="15" fillId="61" borderId="3" xfId="337" applyFont="1" applyFill="1" applyBorder="1" applyAlignment="1">
      <alignment wrapText="1"/>
    </xf>
    <xf numFmtId="173" fontId="15" fillId="61" borderId="3" xfId="337" applyNumberFormat="1" applyFont="1" applyFill="1" applyBorder="1" applyAlignment="1">
      <alignment wrapText="1"/>
    </xf>
    <xf numFmtId="3" fontId="44" fillId="0" borderId="0" xfId="0" applyNumberFormat="1" applyFont="1" applyAlignment="1">
      <alignment horizontal="center"/>
    </xf>
    <xf numFmtId="0" fontId="15" fillId="0" borderId="0" xfId="0" applyFont="1"/>
    <xf numFmtId="3" fontId="44" fillId="0" borderId="0" xfId="0" applyNumberFormat="1" applyFont="1"/>
    <xf numFmtId="171" fontId="44" fillId="0" borderId="0" xfId="0" applyNumberFormat="1" applyFont="1"/>
    <xf numFmtId="0" fontId="15" fillId="0" borderId="13" xfId="0" applyFont="1" applyBorder="1" applyAlignment="1">
      <alignment horizontal="center" wrapText="1"/>
    </xf>
    <xf numFmtId="3" fontId="15" fillId="0" borderId="13" xfId="0" applyNumberFormat="1" applyFont="1" applyBorder="1" applyAlignment="1">
      <alignment horizontal="center" wrapText="1"/>
    </xf>
    <xf numFmtId="3" fontId="15" fillId="0" borderId="13" xfId="0" applyNumberFormat="1" applyFont="1" applyBorder="1" applyAlignment="1">
      <alignment horizontal="center"/>
    </xf>
    <xf numFmtId="0" fontId="15" fillId="63" borderId="0" xfId="0" applyFont="1" applyFill="1" applyAlignment="1">
      <alignment vertical="center" wrapText="1"/>
    </xf>
    <xf numFmtId="0" fontId="15" fillId="63" borderId="0" xfId="0" applyFont="1" applyFill="1" applyAlignment="1">
      <alignment wrapText="1"/>
    </xf>
    <xf numFmtId="3" fontId="15" fillId="63" borderId="0" xfId="0" applyNumberFormat="1" applyFont="1" applyFill="1" applyAlignment="1">
      <alignment wrapText="1"/>
    </xf>
    <xf numFmtId="3" fontId="44" fillId="63" borderId="0" xfId="0" applyNumberFormat="1" applyFont="1" applyFill="1"/>
    <xf numFmtId="0" fontId="91" fillId="61" borderId="0" xfId="0" applyFont="1" applyFill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3" fontId="44" fillId="0" borderId="0" xfId="0" applyNumberFormat="1" applyFont="1" applyAlignment="1">
      <alignment horizontal="right" wrapText="1"/>
    </xf>
    <xf numFmtId="167" fontId="44" fillId="0" borderId="0" xfId="0" applyNumberFormat="1" applyFont="1" applyAlignment="1">
      <alignment horizontal="right" wrapText="1"/>
    </xf>
    <xf numFmtId="0" fontId="44" fillId="0" borderId="0" xfId="0" applyFont="1" applyAlignment="1">
      <alignment horizontal="left" wrapText="1"/>
    </xf>
    <xf numFmtId="0" fontId="15" fillId="61" borderId="0" xfId="0" applyFont="1" applyFill="1" applyAlignment="1">
      <alignment horizontal="left" vertical="top"/>
    </xf>
    <xf numFmtId="167" fontId="15" fillId="61" borderId="0" xfId="0" applyNumberFormat="1" applyFont="1" applyFill="1" applyAlignment="1">
      <alignment horizontal="right" wrapText="1"/>
    </xf>
    <xf numFmtId="167" fontId="96" fillId="61" borderId="0" xfId="0" applyNumberFormat="1" applyFont="1" applyFill="1" applyAlignment="1">
      <alignment horizontal="right" wrapText="1"/>
    </xf>
    <xf numFmtId="0" fontId="44" fillId="0" borderId="0" xfId="0" applyFont="1" applyAlignment="1">
      <alignment horizontal="left" vertical="top" wrapText="1"/>
    </xf>
    <xf numFmtId="0" fontId="44" fillId="0" borderId="0" xfId="0" applyFont="1" applyAlignment="1">
      <alignment horizontal="left" vertical="top"/>
    </xf>
    <xf numFmtId="3" fontId="44" fillId="0" borderId="0" xfId="0" applyNumberFormat="1" applyFont="1" applyAlignment="1">
      <alignment wrapText="1"/>
    </xf>
    <xf numFmtId="2" fontId="44" fillId="0" borderId="0" xfId="0" applyNumberFormat="1" applyFont="1"/>
    <xf numFmtId="167" fontId="44" fillId="0" borderId="0" xfId="52" applyNumberFormat="1" applyFont="1" applyFill="1" applyAlignment="1">
      <alignment horizontal="right" wrapText="1"/>
    </xf>
    <xf numFmtId="0" fontId="15" fillId="61" borderId="13" xfId="0" applyFont="1" applyFill="1" applyBorder="1" applyAlignment="1">
      <alignment wrapText="1"/>
    </xf>
    <xf numFmtId="0" fontId="15" fillId="61" borderId="13" xfId="0" applyFont="1" applyFill="1" applyBorder="1" applyAlignment="1">
      <alignment horizontal="right" wrapText="1"/>
    </xf>
    <xf numFmtId="3" fontId="15" fillId="61" borderId="13" xfId="0" applyNumberFormat="1" applyFont="1" applyFill="1" applyBorder="1" applyAlignment="1">
      <alignment horizontal="right" wrapText="1"/>
    </xf>
    <xf numFmtId="173" fontId="15" fillId="61" borderId="13" xfId="0" applyNumberFormat="1" applyFont="1" applyFill="1" applyBorder="1" applyAlignment="1">
      <alignment horizontal="right" wrapText="1"/>
    </xf>
    <xf numFmtId="0" fontId="97" fillId="0" borderId="0" xfId="0" applyFont="1" applyAlignment="1">
      <alignment wrapText="1"/>
    </xf>
    <xf numFmtId="0" fontId="15" fillId="0" borderId="0" xfId="0" applyFont="1" applyAlignment="1">
      <alignment wrapText="1"/>
    </xf>
    <xf numFmtId="10" fontId="44" fillId="0" borderId="0" xfId="337" applyNumberFormat="1" applyFont="1" applyAlignment="1">
      <alignment horizontal="right" wrapText="1"/>
    </xf>
    <xf numFmtId="172" fontId="44" fillId="0" borderId="0" xfId="0" applyNumberFormat="1" applyFont="1" applyAlignment="1">
      <alignment horizontal="right" wrapText="1"/>
    </xf>
    <xf numFmtId="171" fontId="44" fillId="0" borderId="0" xfId="98" applyNumberFormat="1" applyFont="1"/>
    <xf numFmtId="167" fontId="15" fillId="0" borderId="0" xfId="0" applyNumberFormat="1" applyFont="1" applyAlignment="1">
      <alignment horizontal="right" wrapText="1"/>
    </xf>
    <xf numFmtId="10" fontId="44" fillId="0" borderId="0" xfId="0" applyNumberFormat="1" applyFont="1" applyAlignment="1">
      <alignment horizontal="right" wrapText="1"/>
    </xf>
    <xf numFmtId="172" fontId="15" fillId="61" borderId="13" xfId="0" applyNumberFormat="1" applyFont="1" applyFill="1" applyBorder="1" applyAlignment="1">
      <alignment horizontal="right" wrapText="1"/>
    </xf>
    <xf numFmtId="0" fontId="15" fillId="61" borderId="13" xfId="0" applyFont="1" applyFill="1" applyBorder="1" applyAlignment="1">
      <alignment horizontal="left" wrapText="1"/>
    </xf>
    <xf numFmtId="3" fontId="15" fillId="61" borderId="13" xfId="0" applyNumberFormat="1" applyFont="1" applyFill="1" applyBorder="1" applyAlignment="1">
      <alignment wrapText="1"/>
    </xf>
    <xf numFmtId="173" fontId="15" fillId="61" borderId="13" xfId="98" applyNumberFormat="1" applyFont="1" applyFill="1" applyBorder="1" applyAlignment="1">
      <alignment horizontal="right" wrapText="1"/>
    </xf>
    <xf numFmtId="167" fontId="15" fillId="61" borderId="13" xfId="0" applyNumberFormat="1" applyFont="1" applyFill="1" applyBorder="1" applyAlignment="1">
      <alignment horizontal="right" wrapText="1"/>
    </xf>
    <xf numFmtId="175" fontId="44" fillId="0" borderId="0" xfId="0" applyNumberFormat="1" applyFont="1"/>
    <xf numFmtId="169" fontId="44" fillId="0" borderId="0" xfId="0" applyNumberFormat="1" applyFont="1"/>
    <xf numFmtId="1" fontId="44" fillId="0" borderId="3" xfId="337" applyNumberFormat="1" applyFont="1" applyFill="1" applyBorder="1" applyAlignment="1">
      <alignment horizontal="center" wrapText="1"/>
    </xf>
    <xf numFmtId="9" fontId="15" fillId="0" borderId="13" xfId="337" applyFont="1" applyBorder="1" applyAlignment="1">
      <alignment horizontal="center" wrapText="1"/>
    </xf>
    <xf numFmtId="0" fontId="94" fillId="62" borderId="0" xfId="0" applyFont="1" applyFill="1" applyAlignment="1">
      <alignment wrapText="1"/>
    </xf>
    <xf numFmtId="0" fontId="15" fillId="62" borderId="0" xfId="0" applyFont="1" applyFill="1" applyAlignment="1">
      <alignment horizontal="left" vertical="top"/>
    </xf>
    <xf numFmtId="0" fontId="15" fillId="62" borderId="0" xfId="0" applyFont="1" applyFill="1" applyAlignment="1">
      <alignment horizontal="right" wrapText="1"/>
    </xf>
    <xf numFmtId="3" fontId="15" fillId="62" borderId="0" xfId="0" applyNumberFormat="1" applyFont="1" applyFill="1" applyAlignment="1">
      <alignment horizontal="right" wrapText="1"/>
    </xf>
    <xf numFmtId="3" fontId="44" fillId="62" borderId="0" xfId="0" applyNumberFormat="1" applyFont="1" applyFill="1" applyAlignment="1">
      <alignment horizontal="right" wrapText="1"/>
    </xf>
    <xf numFmtId="0" fontId="44" fillId="62" borderId="0" xfId="0" applyFont="1" applyFill="1" applyAlignment="1">
      <alignment horizontal="left" vertical="top"/>
    </xf>
    <xf numFmtId="167" fontId="44" fillId="62" borderId="0" xfId="0" applyNumberFormat="1" applyFont="1" applyFill="1" applyAlignment="1">
      <alignment horizontal="right" wrapText="1"/>
    </xf>
    <xf numFmtId="0" fontId="15" fillId="0" borderId="0" xfId="0" applyFont="1" applyAlignment="1">
      <alignment horizontal="left" vertical="top"/>
    </xf>
    <xf numFmtId="9" fontId="44" fillId="0" borderId="0" xfId="0" applyNumberFormat="1" applyFont="1" applyAlignment="1">
      <alignment horizontal="left" vertical="top" wrapText="1"/>
    </xf>
    <xf numFmtId="0" fontId="44" fillId="62" borderId="0" xfId="0" applyFont="1" applyFill="1" applyAlignment="1">
      <alignment wrapText="1"/>
    </xf>
    <xf numFmtId="3" fontId="44" fillId="62" borderId="0" xfId="0" applyNumberFormat="1" applyFont="1" applyFill="1" applyAlignment="1">
      <alignment wrapText="1"/>
    </xf>
    <xf numFmtId="0" fontId="95" fillId="0" borderId="0" xfId="0" applyFont="1" applyAlignment="1">
      <alignment horizontal="right"/>
    </xf>
    <xf numFmtId="0" fontId="91" fillId="69" borderId="0" xfId="0" applyFont="1" applyFill="1" applyAlignment="1">
      <alignment wrapText="1"/>
    </xf>
    <xf numFmtId="0" fontId="94" fillId="62" borderId="0" xfId="0" applyFont="1" applyFill="1" applyAlignment="1">
      <alignment horizontal="left" wrapText="1"/>
    </xf>
    <xf numFmtId="3" fontId="44" fillId="62" borderId="0" xfId="0" applyNumberFormat="1" applyFont="1" applyFill="1"/>
    <xf numFmtId="0" fontId="15" fillId="62" borderId="0" xfId="0" applyFont="1" applyFill="1" applyAlignment="1">
      <alignment wrapText="1"/>
    </xf>
    <xf numFmtId="167" fontId="15" fillId="62" borderId="0" xfId="0" applyNumberFormat="1" applyFont="1" applyFill="1" applyAlignment="1">
      <alignment horizontal="right" wrapText="1"/>
    </xf>
    <xf numFmtId="9" fontId="91" fillId="69" borderId="0" xfId="0" applyNumberFormat="1" applyFont="1" applyFill="1" applyAlignment="1">
      <alignment horizontal="left" vertical="top" wrapText="1"/>
    </xf>
    <xf numFmtId="167" fontId="91" fillId="69" borderId="0" xfId="0" applyNumberFormat="1" applyFont="1" applyFill="1" applyAlignment="1">
      <alignment horizontal="right" wrapText="1"/>
    </xf>
    <xf numFmtId="0" fontId="91" fillId="0" borderId="0" xfId="0" applyFont="1"/>
    <xf numFmtId="0" fontId="15" fillId="63" borderId="0" xfId="0" applyFont="1" applyFill="1" applyAlignment="1">
      <alignment vertical="center"/>
    </xf>
    <xf numFmtId="3" fontId="15" fillId="63" borderId="0" xfId="0" applyNumberFormat="1" applyFont="1" applyFill="1"/>
    <xf numFmtId="167" fontId="15" fillId="63" borderId="0" xfId="0" applyNumberFormat="1" applyFont="1" applyFill="1" applyAlignment="1">
      <alignment horizontal="right" wrapText="1"/>
    </xf>
    <xf numFmtId="0" fontId="15" fillId="68" borderId="0" xfId="0" applyFont="1" applyFill="1" applyAlignment="1">
      <alignment horizontal="left" wrapText="1"/>
    </xf>
    <xf numFmtId="0" fontId="15" fillId="68" borderId="0" xfId="0" applyFont="1" applyFill="1" applyAlignment="1">
      <alignment horizontal="left" vertical="top"/>
    </xf>
    <xf numFmtId="167" fontId="15" fillId="68" borderId="0" xfId="0" applyNumberFormat="1" applyFont="1" applyFill="1" applyAlignment="1">
      <alignment horizontal="right" wrapText="1"/>
    </xf>
    <xf numFmtId="0" fontId="91" fillId="0" borderId="0" xfId="0" applyFont="1" applyAlignment="1">
      <alignment horizontal="left" wrapText="1"/>
    </xf>
    <xf numFmtId="167" fontId="96" fillId="0" borderId="0" xfId="0" applyNumberFormat="1" applyFont="1" applyAlignment="1">
      <alignment horizontal="right" wrapText="1"/>
    </xf>
    <xf numFmtId="0" fontId="15" fillId="62" borderId="13" xfId="0" applyFont="1" applyFill="1" applyBorder="1" applyAlignment="1">
      <alignment wrapText="1"/>
    </xf>
    <xf numFmtId="3" fontId="15" fillId="62" borderId="13" xfId="0" applyNumberFormat="1" applyFont="1" applyFill="1" applyBorder="1" applyAlignment="1">
      <alignment horizontal="right" wrapText="1"/>
    </xf>
    <xf numFmtId="173" fontId="15" fillId="62" borderId="13" xfId="0" applyNumberFormat="1" applyFont="1" applyFill="1" applyBorder="1" applyAlignment="1">
      <alignment horizontal="right" wrapText="1"/>
    </xf>
    <xf numFmtId="0" fontId="95" fillId="0" borderId="0" xfId="0" applyFont="1"/>
    <xf numFmtId="10" fontId="15" fillId="0" borderId="0" xfId="0" applyNumberFormat="1" applyFont="1"/>
    <xf numFmtId="173" fontId="44" fillId="0" borderId="0" xfId="0" applyNumberFormat="1" applyFont="1" applyAlignment="1">
      <alignment horizontal="right" wrapText="1"/>
    </xf>
    <xf numFmtId="0" fontId="15" fillId="62" borderId="18" xfId="0" applyFont="1" applyFill="1" applyBorder="1" applyAlignment="1">
      <alignment wrapText="1"/>
    </xf>
    <xf numFmtId="3" fontId="15" fillId="62" borderId="18" xfId="0" applyNumberFormat="1" applyFont="1" applyFill="1" applyBorder="1" applyAlignment="1">
      <alignment horizontal="right" wrapText="1"/>
    </xf>
    <xf numFmtId="173" fontId="15" fillId="62" borderId="18" xfId="98" applyNumberFormat="1" applyFont="1" applyFill="1" applyBorder="1" applyAlignment="1">
      <alignment horizontal="right" wrapText="1"/>
    </xf>
    <xf numFmtId="0" fontId="100" fillId="0" borderId="0" xfId="0" applyFont="1" applyAlignment="1">
      <alignment wrapText="1"/>
    </xf>
    <xf numFmtId="9" fontId="44" fillId="0" borderId="3" xfId="337" applyFont="1" applyBorder="1" applyAlignment="1">
      <alignment horizontal="center" wrapText="1"/>
    </xf>
    <xf numFmtId="9" fontId="15" fillId="63" borderId="0" xfId="337" applyFont="1" applyFill="1" applyBorder="1" applyAlignment="1">
      <alignment horizontal="center" vertical="center" wrapText="1"/>
    </xf>
    <xf numFmtId="9" fontId="94" fillId="62" borderId="0" xfId="337" applyFont="1" applyFill="1" applyBorder="1" applyAlignment="1">
      <alignment horizontal="center" wrapText="1"/>
    </xf>
    <xf numFmtId="9" fontId="44" fillId="0" borderId="0" xfId="337" applyFont="1" applyBorder="1" applyAlignment="1">
      <alignment horizontal="center" wrapText="1"/>
    </xf>
    <xf numFmtId="9" fontId="44" fillId="0" borderId="0" xfId="337" applyFont="1" applyFill="1" applyBorder="1" applyAlignment="1">
      <alignment horizontal="center" wrapText="1"/>
    </xf>
    <xf numFmtId="0" fontId="15" fillId="61" borderId="13" xfId="0" applyFont="1" applyFill="1" applyBorder="1" applyAlignment="1">
      <alignment horizontal="center" wrapText="1"/>
    </xf>
    <xf numFmtId="0" fontId="15" fillId="0" borderId="0" xfId="0" applyFont="1" applyAlignment="1">
      <alignment horizontal="center" vertical="top"/>
    </xf>
    <xf numFmtId="9" fontId="15" fillId="63" borderId="0" xfId="337" applyFont="1" applyFill="1" applyAlignment="1">
      <alignment horizontal="center" wrapText="1"/>
    </xf>
    <xf numFmtId="9" fontId="44" fillId="0" borderId="0" xfId="337" applyFont="1" applyFill="1" applyAlignment="1">
      <alignment horizontal="center" wrapText="1"/>
    </xf>
    <xf numFmtId="9" fontId="15" fillId="61" borderId="13" xfId="337" applyFont="1" applyFill="1" applyBorder="1" applyAlignment="1">
      <alignment horizontal="center" wrapText="1"/>
    </xf>
    <xf numFmtId="9" fontId="94" fillId="62" borderId="0" xfId="337" applyFont="1" applyFill="1" applyAlignment="1">
      <alignment horizontal="center" wrapText="1"/>
    </xf>
    <xf numFmtId="9" fontId="44" fillId="0" borderId="0" xfId="337" applyFont="1" applyAlignment="1">
      <alignment horizontal="center" wrapText="1"/>
    </xf>
    <xf numFmtId="9" fontId="91" fillId="69" borderId="0" xfId="337" applyFont="1" applyFill="1" applyAlignment="1">
      <alignment horizontal="center" wrapText="1"/>
    </xf>
    <xf numFmtId="9" fontId="15" fillId="63" borderId="0" xfId="337" applyFont="1" applyFill="1" applyBorder="1" applyAlignment="1">
      <alignment horizontal="center" vertical="center"/>
    </xf>
    <xf numFmtId="9" fontId="15" fillId="68" borderId="0" xfId="337" applyFont="1" applyFill="1" applyAlignment="1">
      <alignment horizontal="center" wrapText="1"/>
    </xf>
    <xf numFmtId="9" fontId="15" fillId="61" borderId="0" xfId="337" applyFont="1" applyFill="1" applyAlignment="1">
      <alignment horizontal="center" wrapText="1"/>
    </xf>
    <xf numFmtId="9" fontId="15" fillId="0" borderId="0" xfId="337" applyFont="1" applyFill="1" applyAlignment="1">
      <alignment horizontal="center" wrapText="1"/>
    </xf>
    <xf numFmtId="0" fontId="94" fillId="62" borderId="0" xfId="0" applyFont="1" applyFill="1" applyAlignment="1">
      <alignment horizontal="center" wrapText="1"/>
    </xf>
    <xf numFmtId="9" fontId="96" fillId="61" borderId="0" xfId="337" applyFont="1" applyFill="1" applyAlignment="1">
      <alignment horizontal="center" wrapText="1"/>
    </xf>
    <xf numFmtId="9" fontId="15" fillId="0" borderId="0" xfId="337" applyFont="1" applyFill="1" applyBorder="1" applyAlignment="1">
      <alignment horizontal="center" wrapText="1"/>
    </xf>
    <xf numFmtId="9" fontId="15" fillId="62" borderId="13" xfId="337" applyFont="1" applyFill="1" applyBorder="1" applyAlignment="1">
      <alignment horizontal="center" wrapText="1"/>
    </xf>
    <xf numFmtId="9" fontId="97" fillId="0" borderId="0" xfId="337" applyFont="1" applyAlignment="1">
      <alignment horizontal="center" wrapText="1"/>
    </xf>
    <xf numFmtId="9" fontId="95" fillId="0" borderId="0" xfId="337" applyFont="1" applyFill="1" applyAlignment="1">
      <alignment horizontal="center"/>
    </xf>
    <xf numFmtId="9" fontId="15" fillId="62" borderId="18" xfId="337" applyFont="1" applyFill="1" applyBorder="1" applyAlignment="1">
      <alignment horizontal="center" wrapText="1"/>
    </xf>
    <xf numFmtId="9" fontId="100" fillId="0" borderId="0" xfId="337" applyFont="1" applyFill="1" applyAlignment="1">
      <alignment horizontal="center" wrapText="1"/>
    </xf>
    <xf numFmtId="9" fontId="100" fillId="0" borderId="0" xfId="337" applyFont="1" applyAlignment="1">
      <alignment horizontal="center" wrapText="1"/>
    </xf>
    <xf numFmtId="0" fontId="91" fillId="0" borderId="0" xfId="0" applyFont="1" applyAlignment="1">
      <alignment horizontal="center"/>
    </xf>
    <xf numFmtId="173" fontId="44" fillId="0" borderId="0" xfId="0" applyNumberFormat="1" applyFont="1" applyAlignment="1">
      <alignment wrapText="1"/>
    </xf>
    <xf numFmtId="0" fontId="15" fillId="61" borderId="0" xfId="0" applyFont="1" applyFill="1" applyAlignment="1">
      <alignment wrapText="1"/>
    </xf>
    <xf numFmtId="3" fontId="15" fillId="61" borderId="0" xfId="0" applyNumberFormat="1" applyFont="1" applyFill="1" applyAlignment="1">
      <alignment wrapText="1"/>
    </xf>
    <xf numFmtId="173" fontId="15" fillId="61" borderId="0" xfId="98" applyNumberFormat="1" applyFont="1" applyFill="1" applyBorder="1" applyAlignment="1">
      <alignment horizontal="right" wrapText="1"/>
    </xf>
    <xf numFmtId="0" fontId="15" fillId="0" borderId="0" xfId="0" applyFont="1" applyAlignment="1">
      <alignment horizontal="center" wrapText="1"/>
    </xf>
    <xf numFmtId="3" fontId="15" fillId="0" borderId="0" xfId="0" applyNumberFormat="1" applyFont="1" applyAlignment="1">
      <alignment horizontal="center" wrapText="1"/>
    </xf>
    <xf numFmtId="3" fontId="15" fillId="0" borderId="0" xfId="0" applyNumberFormat="1" applyFont="1" applyAlignment="1">
      <alignment horizontal="center"/>
    </xf>
    <xf numFmtId="172" fontId="15" fillId="61" borderId="0" xfId="0" applyNumberFormat="1" applyFont="1" applyFill="1" applyAlignment="1">
      <alignment horizontal="right" wrapText="1"/>
    </xf>
    <xf numFmtId="173" fontId="15" fillId="61" borderId="0" xfId="0" applyNumberFormat="1" applyFont="1" applyFill="1" applyAlignment="1">
      <alignment horizontal="right" wrapText="1"/>
    </xf>
    <xf numFmtId="0" fontId="15" fillId="61" borderId="0" xfId="0" applyFont="1" applyFill="1" applyAlignment="1">
      <alignment horizontal="left" wrapText="1"/>
    </xf>
    <xf numFmtId="3" fontId="15" fillId="61" borderId="0" xfId="0" applyNumberFormat="1" applyFont="1" applyFill="1" applyAlignment="1">
      <alignment horizontal="right" wrapText="1"/>
    </xf>
    <xf numFmtId="44" fontId="44" fillId="0" borderId="0" xfId="0" applyNumberFormat="1" applyFont="1"/>
    <xf numFmtId="165" fontId="44" fillId="0" borderId="0" xfId="98" applyFont="1" applyAlignment="1">
      <alignment horizontal="right" wrapText="1"/>
    </xf>
    <xf numFmtId="173" fontId="99" fillId="62" borderId="3" xfId="337" applyNumberFormat="1" applyFont="1" applyFill="1" applyBorder="1" applyAlignment="1">
      <alignment wrapText="1"/>
    </xf>
    <xf numFmtId="193" fontId="44" fillId="0" borderId="0" xfId="0" applyNumberFormat="1" applyFont="1" applyAlignment="1">
      <alignment horizontal="right" wrapText="1"/>
    </xf>
    <xf numFmtId="9" fontId="15" fillId="0" borderId="0" xfId="337" applyFont="1" applyAlignment="1">
      <alignment horizontal="center" wrapText="1"/>
    </xf>
    <xf numFmtId="165" fontId="44" fillId="0" borderId="0" xfId="98" applyFont="1" applyAlignment="1">
      <alignment wrapText="1"/>
    </xf>
    <xf numFmtId="0" fontId="32" fillId="0" borderId="0" xfId="0" applyFont="1"/>
    <xf numFmtId="175" fontId="32" fillId="0" borderId="0" xfId="0" applyNumberFormat="1" applyFont="1"/>
    <xf numFmtId="169" fontId="32" fillId="0" borderId="0" xfId="0" applyNumberFormat="1" applyFont="1"/>
    <xf numFmtId="0" fontId="102" fillId="0" borderId="0" xfId="0" applyFont="1" applyAlignment="1">
      <alignment horizontal="right"/>
    </xf>
    <xf numFmtId="175" fontId="103" fillId="0" borderId="0" xfId="0" applyNumberFormat="1" applyFont="1" applyAlignment="1">
      <alignment horizontal="left"/>
    </xf>
    <xf numFmtId="49" fontId="103" fillId="0" borderId="0" xfId="0" applyNumberFormat="1" applyFont="1" applyAlignment="1">
      <alignment horizontal="left"/>
    </xf>
    <xf numFmtId="0" fontId="22" fillId="65" borderId="39" xfId="0" applyFont="1" applyFill="1" applyBorder="1" applyAlignment="1">
      <alignment horizontal="center" vertical="top" wrapText="1"/>
    </xf>
    <xf numFmtId="175" fontId="22" fillId="65" borderId="39" xfId="0" applyNumberFormat="1" applyFont="1" applyFill="1" applyBorder="1" applyAlignment="1">
      <alignment horizontal="center" vertical="top" wrapText="1"/>
    </xf>
    <xf numFmtId="169" fontId="22" fillId="65" borderId="39" xfId="0" applyNumberFormat="1" applyFont="1" applyFill="1" applyBorder="1" applyAlignment="1">
      <alignment horizontal="center" vertical="top" wrapText="1"/>
    </xf>
    <xf numFmtId="0" fontId="101" fillId="0" borderId="39" xfId="0" applyFont="1" applyBorder="1" applyAlignment="1">
      <alignment horizontal="left" vertical="top" wrapText="1"/>
    </xf>
    <xf numFmtId="49" fontId="101" fillId="0" borderId="39" xfId="0" applyNumberFormat="1" applyFont="1" applyBorder="1" applyAlignment="1">
      <alignment horizontal="center" vertical="top" wrapText="1"/>
    </xf>
    <xf numFmtId="175" fontId="101" fillId="0" borderId="39" xfId="0" applyNumberFormat="1" applyFont="1" applyBorder="1" applyAlignment="1">
      <alignment horizontal="center" vertical="top" wrapText="1"/>
    </xf>
    <xf numFmtId="169" fontId="101" fillId="0" borderId="39" xfId="0" applyNumberFormat="1" applyFont="1" applyBorder="1" applyAlignment="1">
      <alignment horizontal="center" vertical="top" wrapText="1"/>
    </xf>
    <xf numFmtId="0" fontId="101" fillId="0" borderId="0" xfId="0" applyFont="1" applyAlignment="1">
      <alignment horizontal="left" vertical="top" wrapText="1"/>
    </xf>
    <xf numFmtId="175" fontId="101" fillId="0" borderId="0" xfId="0" applyNumberFormat="1" applyFont="1" applyAlignment="1">
      <alignment horizontal="center" vertical="top" wrapText="1"/>
    </xf>
    <xf numFmtId="169" fontId="101" fillId="0" borderId="0" xfId="0" applyNumberFormat="1" applyFont="1" applyAlignment="1">
      <alignment horizontal="center" vertical="top" wrapText="1"/>
    </xf>
    <xf numFmtId="175" fontId="101" fillId="0" borderId="40" xfId="0" applyNumberFormat="1" applyFont="1" applyBorder="1" applyAlignment="1">
      <alignment horizontal="center" vertical="top" wrapText="1"/>
    </xf>
    <xf numFmtId="0" fontId="22" fillId="65" borderId="41" xfId="0" applyFont="1" applyFill="1" applyBorder="1" applyAlignment="1">
      <alignment horizontal="center" vertical="top" wrapText="1"/>
    </xf>
    <xf numFmtId="175" fontId="22" fillId="65" borderId="41" xfId="0" applyNumberFormat="1" applyFont="1" applyFill="1" applyBorder="1" applyAlignment="1">
      <alignment horizontal="center" vertical="top" wrapText="1"/>
    </xf>
    <xf numFmtId="169" fontId="22" fillId="65" borderId="41" xfId="0" applyNumberFormat="1" applyFont="1" applyFill="1" applyBorder="1" applyAlignment="1">
      <alignment horizontal="center" vertical="top" wrapText="1"/>
    </xf>
    <xf numFmtId="0" fontId="101" fillId="0" borderId="42" xfId="0" applyFont="1" applyBorder="1" applyAlignment="1">
      <alignment horizontal="left" vertical="top" wrapText="1"/>
    </xf>
    <xf numFmtId="175" fontId="101" fillId="0" borderId="42" xfId="0" applyNumberFormat="1" applyFont="1" applyBorder="1" applyAlignment="1">
      <alignment horizontal="right" vertical="top" wrapText="1"/>
    </xf>
    <xf numFmtId="0" fontId="22" fillId="0" borderId="42" xfId="0" applyFont="1" applyBorder="1" applyAlignment="1">
      <alignment horizontal="left" vertical="top" wrapText="1"/>
    </xf>
    <xf numFmtId="175" fontId="22" fillId="0" borderId="42" xfId="0" applyNumberFormat="1" applyFont="1" applyBorder="1" applyAlignment="1">
      <alignment horizontal="right" vertical="top" wrapText="1"/>
    </xf>
    <xf numFmtId="175" fontId="101" fillId="0" borderId="0" xfId="0" applyNumberFormat="1" applyFont="1" applyAlignment="1">
      <alignment horizontal="right" vertical="top" wrapText="1"/>
    </xf>
    <xf numFmtId="0" fontId="101" fillId="0" borderId="43" xfId="0" applyFont="1" applyBorder="1" applyAlignment="1">
      <alignment horizontal="left" vertical="top" wrapText="1"/>
    </xf>
    <xf numFmtId="175" fontId="101" fillId="0" borderId="3" xfId="0" applyNumberFormat="1" applyFont="1" applyBorder="1" applyAlignment="1">
      <alignment horizontal="right" vertical="top" wrapText="1"/>
    </xf>
    <xf numFmtId="0" fontId="22" fillId="0" borderId="44" xfId="0" applyFont="1" applyBorder="1" applyAlignment="1">
      <alignment horizontal="left" vertical="top" wrapText="1"/>
    </xf>
    <xf numFmtId="175" fontId="22" fillId="0" borderId="3" xfId="0" applyNumberFormat="1" applyFont="1" applyBorder="1" applyAlignment="1">
      <alignment horizontal="right" vertical="top" wrapText="1"/>
    </xf>
    <xf numFmtId="0" fontId="22" fillId="0" borderId="45" xfId="0" applyFont="1" applyBorder="1" applyAlignment="1">
      <alignment horizontal="left" vertical="top" wrapText="1"/>
    </xf>
    <xf numFmtId="176" fontId="101" fillId="0" borderId="0" xfId="0" applyNumberFormat="1" applyFont="1" applyAlignment="1">
      <alignment horizontal="right" vertical="top" wrapText="1"/>
    </xf>
    <xf numFmtId="169" fontId="101" fillId="0" borderId="0" xfId="0" applyNumberFormat="1" applyFont="1" applyAlignment="1">
      <alignment horizontal="right" vertical="top" wrapText="1"/>
    </xf>
    <xf numFmtId="0" fontId="101" fillId="0" borderId="46" xfId="0" applyFont="1" applyBorder="1" applyAlignment="1">
      <alignment horizontal="left" vertical="top" wrapText="1"/>
    </xf>
    <xf numFmtId="176" fontId="101" fillId="0" borderId="3" xfId="0" applyNumberFormat="1" applyFont="1" applyBorder="1" applyAlignment="1">
      <alignment horizontal="right" vertical="top" wrapText="1"/>
    </xf>
    <xf numFmtId="0" fontId="101" fillId="0" borderId="44" xfId="0" applyFont="1" applyBorder="1" applyAlignment="1">
      <alignment horizontal="left" vertical="top" wrapText="1"/>
    </xf>
    <xf numFmtId="175" fontId="101" fillId="29" borderId="50" xfId="0" applyNumberFormat="1" applyFont="1" applyFill="1" applyBorder="1" applyAlignment="1">
      <alignment horizontal="right" vertical="top" wrapText="1"/>
    </xf>
    <xf numFmtId="0" fontId="101" fillId="0" borderId="47" xfId="0" applyFont="1" applyBorder="1" applyAlignment="1">
      <alignment horizontal="left" vertical="top" wrapText="1"/>
    </xf>
    <xf numFmtId="0" fontId="22" fillId="0" borderId="48" xfId="0" applyFont="1" applyBorder="1" applyAlignment="1">
      <alignment horizontal="left" vertical="top" wrapText="1"/>
    </xf>
    <xf numFmtId="0" fontId="32" fillId="0" borderId="48" xfId="0" applyFont="1" applyBorder="1" applyAlignment="1">
      <alignment horizontal="left" vertical="top" wrapText="1"/>
    </xf>
    <xf numFmtId="175" fontId="32" fillId="0" borderId="3" xfId="0" applyNumberFormat="1" applyFont="1" applyBorder="1" applyAlignment="1">
      <alignment horizontal="right" wrapText="1"/>
    </xf>
    <xf numFmtId="0" fontId="32" fillId="0" borderId="3" xfId="0" applyFont="1" applyBorder="1" applyAlignment="1">
      <alignment horizontal="right" wrapText="1"/>
    </xf>
    <xf numFmtId="169" fontId="32" fillId="0" borderId="3" xfId="0" applyNumberFormat="1" applyFont="1" applyBorder="1" applyAlignment="1">
      <alignment horizontal="right" wrapText="1"/>
    </xf>
    <xf numFmtId="175" fontId="22" fillId="0" borderId="3" xfId="0" applyNumberFormat="1" applyFont="1" applyBorder="1" applyAlignment="1">
      <alignment horizontal="right" wrapText="1"/>
    </xf>
    <xf numFmtId="0" fontId="22" fillId="0" borderId="0" xfId="0" applyFont="1" applyAlignment="1">
      <alignment horizontal="left" vertical="top" wrapText="1"/>
    </xf>
    <xf numFmtId="175" fontId="101" fillId="0" borderId="0" xfId="0" applyNumberFormat="1" applyFont="1" applyAlignment="1">
      <alignment horizontal="right" wrapText="1"/>
    </xf>
    <xf numFmtId="169" fontId="101" fillId="0" borderId="0" xfId="0" applyNumberFormat="1" applyFont="1" applyAlignment="1">
      <alignment horizontal="right" wrapText="1"/>
    </xf>
    <xf numFmtId="0" fontId="22" fillId="0" borderId="49" xfId="0" applyFont="1" applyBorder="1" applyAlignment="1">
      <alignment horizontal="left" vertical="top" wrapText="1"/>
    </xf>
    <xf numFmtId="175" fontId="101" fillId="0" borderId="49" xfId="0" applyNumberFormat="1" applyFont="1" applyBorder="1" applyAlignment="1">
      <alignment horizontal="right" wrapText="1"/>
    </xf>
    <xf numFmtId="175" fontId="101" fillId="0" borderId="46" xfId="0" applyNumberFormat="1" applyFont="1" applyBorder="1" applyAlignment="1">
      <alignment horizontal="right" wrapText="1"/>
    </xf>
    <xf numFmtId="175" fontId="101" fillId="0" borderId="42" xfId="0" applyNumberFormat="1" applyFont="1" applyBorder="1" applyAlignment="1">
      <alignment horizontal="right" wrapText="1"/>
    </xf>
    <xf numFmtId="175" fontId="101" fillId="0" borderId="44" xfId="0" applyNumberFormat="1" applyFont="1" applyBorder="1" applyAlignment="1">
      <alignment horizontal="right" wrapText="1"/>
    </xf>
    <xf numFmtId="0" fontId="22" fillId="0" borderId="51" xfId="0" applyFont="1" applyBorder="1" applyAlignment="1">
      <alignment horizontal="left" vertical="top" wrapText="1"/>
    </xf>
    <xf numFmtId="0" fontId="22" fillId="0" borderId="53" xfId="0" applyFont="1" applyBorder="1" applyAlignment="1">
      <alignment horizontal="left" vertical="top" wrapText="1"/>
    </xf>
    <xf numFmtId="175" fontId="101" fillId="0" borderId="53" xfId="0" applyNumberFormat="1" applyFont="1" applyBorder="1" applyAlignment="1">
      <alignment horizontal="right" wrapText="1"/>
    </xf>
    <xf numFmtId="175" fontId="101" fillId="0" borderId="54" xfId="0" applyNumberFormat="1" applyFont="1" applyBorder="1" applyAlignment="1">
      <alignment horizontal="right" wrapText="1"/>
    </xf>
    <xf numFmtId="0" fontId="22" fillId="61" borderId="51" xfId="0" applyFont="1" applyFill="1" applyBorder="1" applyAlignment="1">
      <alignment horizontal="left" vertical="top" wrapText="1"/>
    </xf>
    <xf numFmtId="0" fontId="32" fillId="0" borderId="55" xfId="0" applyFont="1" applyBorder="1" applyAlignment="1">
      <alignment horizontal="left" vertical="top" wrapText="1"/>
    </xf>
    <xf numFmtId="175" fontId="32" fillId="0" borderId="55" xfId="0" applyNumberFormat="1" applyFont="1" applyBorder="1" applyAlignment="1">
      <alignment horizontal="right" wrapText="1"/>
    </xf>
    <xf numFmtId="0" fontId="32" fillId="0" borderId="55" xfId="0" applyFont="1" applyBorder="1" applyAlignment="1">
      <alignment horizontal="right" wrapText="1"/>
    </xf>
    <xf numFmtId="169" fontId="32" fillId="0" borderId="55" xfId="0" applyNumberFormat="1" applyFont="1" applyBorder="1" applyAlignment="1">
      <alignment horizontal="right" wrapText="1"/>
    </xf>
    <xf numFmtId="175" fontId="101" fillId="0" borderId="54" xfId="0" applyNumberFormat="1" applyFont="1" applyBorder="1" applyAlignment="1">
      <alignment horizontal="right" vertical="top" wrapText="1"/>
    </xf>
    <xf numFmtId="0" fontId="22" fillId="0" borderId="56" xfId="0" applyFont="1" applyBorder="1" applyAlignment="1">
      <alignment horizontal="left" vertical="top" wrapText="1"/>
    </xf>
    <xf numFmtId="4" fontId="44" fillId="0" borderId="0" xfId="0" applyNumberFormat="1" applyFont="1"/>
    <xf numFmtId="175" fontId="32" fillId="0" borderId="42" xfId="0" applyNumberFormat="1" applyFont="1" applyBorder="1" applyAlignment="1">
      <alignment horizontal="right" vertical="top" wrapText="1"/>
    </xf>
    <xf numFmtId="175" fontId="22" fillId="67" borderId="42" xfId="0" applyNumberFormat="1" applyFont="1" applyFill="1" applyBorder="1" applyAlignment="1">
      <alignment horizontal="right" wrapText="1"/>
    </xf>
    <xf numFmtId="169" fontId="22" fillId="67" borderId="42" xfId="0" applyNumberFormat="1" applyFont="1" applyFill="1" applyBorder="1" applyAlignment="1">
      <alignment horizontal="right" wrapText="1"/>
    </xf>
    <xf numFmtId="167" fontId="44" fillId="0" borderId="0" xfId="0" applyNumberFormat="1" applyFont="1"/>
    <xf numFmtId="173" fontId="44" fillId="0" borderId="0" xfId="0" applyNumberFormat="1" applyFont="1" applyAlignment="1">
      <alignment horizontal="left"/>
    </xf>
    <xf numFmtId="0" fontId="101" fillId="0" borderId="54" xfId="0" applyFont="1" applyBorder="1" applyAlignment="1">
      <alignment horizontal="left" vertical="top" wrapText="1"/>
    </xf>
    <xf numFmtId="0" fontId="44" fillId="0" borderId="3" xfId="0" applyFont="1" applyBorder="1" applyAlignment="1">
      <alignment horizontal="center" vertical="top"/>
    </xf>
    <xf numFmtId="0" fontId="92" fillId="70" borderId="3" xfId="0" applyFont="1" applyFill="1" applyBorder="1" applyAlignment="1">
      <alignment horizontal="center" vertical="top" wrapText="1"/>
    </xf>
    <xf numFmtId="0" fontId="44" fillId="0" borderId="0" xfId="0" applyFont="1" applyAlignment="1">
      <alignment vertical="top"/>
    </xf>
    <xf numFmtId="175" fontId="22" fillId="0" borderId="42" xfId="0" applyNumberFormat="1" applyFont="1" applyBorder="1" applyAlignment="1">
      <alignment horizontal="right" wrapText="1"/>
    </xf>
    <xf numFmtId="175" fontId="22" fillId="29" borderId="50" xfId="0" applyNumberFormat="1" applyFont="1" applyFill="1" applyBorder="1" applyAlignment="1">
      <alignment horizontal="right" vertical="top" wrapText="1"/>
    </xf>
    <xf numFmtId="175" fontId="22" fillId="0" borderId="52" xfId="0" applyNumberFormat="1" applyFont="1" applyBorder="1" applyAlignment="1">
      <alignment horizontal="right" wrapText="1"/>
    </xf>
    <xf numFmtId="175" fontId="101" fillId="0" borderId="45" xfId="0" applyNumberFormat="1" applyFont="1" applyBorder="1" applyAlignment="1">
      <alignment horizontal="right" wrapText="1"/>
    </xf>
    <xf numFmtId="169" fontId="101" fillId="0" borderId="45" xfId="0" applyNumberFormat="1" applyFont="1" applyBorder="1" applyAlignment="1">
      <alignment horizontal="right" wrapText="1"/>
    </xf>
    <xf numFmtId="176" fontId="101" fillId="0" borderId="45" xfId="0" applyNumberFormat="1" applyFont="1" applyBorder="1" applyAlignment="1">
      <alignment horizontal="right" wrapText="1"/>
    </xf>
    <xf numFmtId="175" fontId="22" fillId="0" borderId="24" xfId="0" applyNumberFormat="1" applyFont="1" applyBorder="1" applyAlignment="1">
      <alignment horizontal="right" wrapText="1"/>
    </xf>
    <xf numFmtId="171" fontId="44" fillId="0" borderId="0" xfId="0" applyNumberFormat="1" applyFont="1" applyAlignment="1">
      <alignment horizontal="left"/>
    </xf>
    <xf numFmtId="171" fontId="44" fillId="0" borderId="0" xfId="0" applyNumberFormat="1" applyFont="1" applyAlignment="1">
      <alignment horizontal="center"/>
    </xf>
    <xf numFmtId="167" fontId="105" fillId="0" borderId="0" xfId="0" applyNumberFormat="1" applyFont="1" applyAlignment="1">
      <alignment horizontal="right" wrapText="1"/>
    </xf>
    <xf numFmtId="167" fontId="105" fillId="62" borderId="0" xfId="0" applyNumberFormat="1" applyFont="1" applyFill="1" applyAlignment="1">
      <alignment horizontal="right" wrapText="1"/>
    </xf>
    <xf numFmtId="10" fontId="44" fillId="0" borderId="0" xfId="337" applyNumberFormat="1" applyFont="1" applyFill="1" applyAlignment="1">
      <alignment horizontal="right" wrapText="1"/>
    </xf>
    <xf numFmtId="0" fontId="105" fillId="0" borderId="0" xfId="0" applyFont="1" applyAlignment="1">
      <alignment wrapText="1"/>
    </xf>
    <xf numFmtId="167" fontId="107" fillId="0" borderId="0" xfId="0" applyNumberFormat="1" applyFont="1" applyAlignment="1">
      <alignment horizontal="right" wrapText="1"/>
    </xf>
    <xf numFmtId="0" fontId="108" fillId="62" borderId="0" xfId="0" applyFont="1" applyFill="1" applyAlignment="1">
      <alignment wrapText="1"/>
    </xf>
    <xf numFmtId="0" fontId="44" fillId="67" borderId="0" xfId="0" applyFont="1" applyFill="1"/>
    <xf numFmtId="0" fontId="2" fillId="0" borderId="0" xfId="527"/>
    <xf numFmtId="0" fontId="110" fillId="0" borderId="63" xfId="527" applyFont="1" applyBorder="1" applyAlignment="1">
      <alignment vertical="center"/>
    </xf>
    <xf numFmtId="0" fontId="110" fillId="0" borderId="64" xfId="527" applyFont="1" applyBorder="1" applyAlignment="1">
      <alignment vertical="center"/>
    </xf>
    <xf numFmtId="0" fontId="110" fillId="0" borderId="65" xfId="527" applyFont="1" applyBorder="1" applyAlignment="1">
      <alignment vertical="center"/>
    </xf>
    <xf numFmtId="0" fontId="110" fillId="0" borderId="66" xfId="527" applyFont="1" applyBorder="1" applyAlignment="1">
      <alignment vertical="center"/>
    </xf>
    <xf numFmtId="0" fontId="106" fillId="71" borderId="67" xfId="527" applyFont="1" applyFill="1" applyBorder="1" applyAlignment="1">
      <alignment horizontal="center" vertical="center"/>
    </xf>
    <xf numFmtId="0" fontId="106" fillId="71" borderId="65" xfId="527" applyFont="1" applyFill="1" applyBorder="1" applyAlignment="1">
      <alignment horizontal="center" vertical="center"/>
    </xf>
    <xf numFmtId="0" fontId="111" fillId="71" borderId="68" xfId="527" applyFont="1" applyFill="1" applyBorder="1" applyAlignment="1">
      <alignment vertical="center"/>
    </xf>
    <xf numFmtId="0" fontId="111" fillId="71" borderId="65" xfId="527" applyFont="1" applyFill="1" applyBorder="1" applyAlignment="1">
      <alignment vertical="center"/>
    </xf>
    <xf numFmtId="0" fontId="106" fillId="71" borderId="0" xfId="527" applyFont="1" applyFill="1" applyAlignment="1">
      <alignment horizontal="center" vertical="center"/>
    </xf>
    <xf numFmtId="0" fontId="111" fillId="71" borderId="0" xfId="527" applyFont="1" applyFill="1" applyAlignment="1">
      <alignment horizontal="center" vertical="center"/>
    </xf>
    <xf numFmtId="0" fontId="106" fillId="71" borderId="69" xfId="527" applyFont="1" applyFill="1" applyBorder="1" applyAlignment="1">
      <alignment horizontal="center"/>
    </xf>
    <xf numFmtId="0" fontId="106" fillId="71" borderId="70" xfId="527" applyFont="1" applyFill="1" applyBorder="1" applyAlignment="1">
      <alignment horizontal="center" vertical="center"/>
    </xf>
    <xf numFmtId="0" fontId="110" fillId="72" borderId="71" xfId="527" applyFont="1" applyFill="1" applyBorder="1" applyAlignment="1">
      <alignment vertical="center"/>
    </xf>
    <xf numFmtId="0" fontId="106" fillId="71" borderId="0" xfId="527" applyFont="1" applyFill="1" applyAlignment="1">
      <alignment horizontal="center"/>
    </xf>
    <xf numFmtId="0" fontId="110" fillId="0" borderId="39" xfId="527" applyFont="1" applyBorder="1" applyAlignment="1">
      <alignment vertical="center"/>
    </xf>
    <xf numFmtId="0" fontId="110" fillId="71" borderId="0" xfId="527" applyFont="1" applyFill="1" applyAlignment="1">
      <alignment vertical="center"/>
    </xf>
    <xf numFmtId="0" fontId="106" fillId="71" borderId="73" xfId="527" applyFont="1" applyFill="1" applyBorder="1" applyAlignment="1">
      <alignment horizontal="center" vertical="center"/>
    </xf>
    <xf numFmtId="0" fontId="110" fillId="0" borderId="39" xfId="527" applyFont="1" applyBorder="1" applyAlignment="1">
      <alignment horizontal="center" vertical="center"/>
    </xf>
    <xf numFmtId="0" fontId="106" fillId="71" borderId="74" xfId="527" applyFont="1" applyFill="1" applyBorder="1" applyAlignment="1">
      <alignment horizontal="center" vertical="center"/>
    </xf>
    <xf numFmtId="2" fontId="110" fillId="0" borderId="39" xfId="527" applyNumberFormat="1" applyFont="1" applyBorder="1" applyAlignment="1">
      <alignment horizontal="center" vertical="center"/>
    </xf>
    <xf numFmtId="2" fontId="110" fillId="0" borderId="0" xfId="527" applyNumberFormat="1" applyFont="1" applyAlignment="1">
      <alignment horizontal="center" vertical="center"/>
    </xf>
    <xf numFmtId="0" fontId="106" fillId="71" borderId="75" xfId="527" applyFont="1" applyFill="1" applyBorder="1" applyAlignment="1">
      <alignment horizontal="center"/>
    </xf>
    <xf numFmtId="0" fontId="110" fillId="71" borderId="0" xfId="527" applyFont="1" applyFill="1" applyAlignment="1">
      <alignment horizontal="center" vertical="center"/>
    </xf>
    <xf numFmtId="0" fontId="106" fillId="71" borderId="40" xfId="527" applyFont="1" applyFill="1" applyBorder="1" applyAlignment="1">
      <alignment horizontal="center" vertical="center"/>
    </xf>
    <xf numFmtId="0" fontId="110" fillId="71" borderId="75" xfId="527" applyFont="1" applyFill="1" applyBorder="1" applyAlignment="1">
      <alignment horizontal="center" vertical="center"/>
    </xf>
    <xf numFmtId="0" fontId="112" fillId="71" borderId="70" xfId="527" applyFont="1" applyFill="1" applyBorder="1" applyAlignment="1">
      <alignment horizontal="left" vertical="center"/>
    </xf>
    <xf numFmtId="0" fontId="112" fillId="71" borderId="0" xfId="527" applyFont="1" applyFill="1" applyAlignment="1">
      <alignment horizontal="left" vertical="center"/>
    </xf>
    <xf numFmtId="0" fontId="113" fillId="71" borderId="0" xfId="527" applyFont="1" applyFill="1" applyAlignment="1">
      <alignment vertical="center"/>
    </xf>
    <xf numFmtId="0" fontId="113" fillId="71" borderId="73" xfId="527" applyFont="1" applyFill="1" applyBorder="1" applyAlignment="1">
      <alignment vertical="center"/>
    </xf>
    <xf numFmtId="0" fontId="8" fillId="0" borderId="0" xfId="527" applyFont="1"/>
    <xf numFmtId="0" fontId="113" fillId="71" borderId="70" xfId="527" applyFont="1" applyFill="1" applyBorder="1" applyAlignment="1">
      <alignment horizontal="center" vertical="center"/>
    </xf>
    <xf numFmtId="0" fontId="113" fillId="71" borderId="73" xfId="527" applyFont="1" applyFill="1" applyBorder="1" applyAlignment="1">
      <alignment horizontal="center" vertical="center"/>
    </xf>
    <xf numFmtId="3" fontId="113" fillId="0" borderId="39" xfId="527" applyNumberFormat="1" applyFont="1" applyBorder="1" applyAlignment="1">
      <alignment horizontal="center" vertical="center"/>
    </xf>
    <xf numFmtId="0" fontId="111" fillId="74" borderId="71" xfId="527" applyFont="1" applyFill="1" applyBorder="1" applyAlignment="1">
      <alignment vertical="center"/>
    </xf>
    <xf numFmtId="194" fontId="113" fillId="0" borderId="39" xfId="527" applyNumberFormat="1" applyFont="1" applyBorder="1" applyAlignment="1">
      <alignment horizontal="center" vertical="center"/>
    </xf>
    <xf numFmtId="0" fontId="113" fillId="71" borderId="70" xfId="527" applyFont="1" applyFill="1" applyBorder="1" applyAlignment="1">
      <alignment vertical="center"/>
    </xf>
    <xf numFmtId="170" fontId="113" fillId="0" borderId="39" xfId="527" applyNumberFormat="1" applyFont="1" applyBorder="1" applyAlignment="1">
      <alignment horizontal="center" vertical="center"/>
    </xf>
    <xf numFmtId="0" fontId="111" fillId="71" borderId="73" xfId="527" applyFont="1" applyFill="1" applyBorder="1" applyAlignment="1">
      <alignment vertical="center"/>
    </xf>
    <xf numFmtId="10" fontId="113" fillId="0" borderId="39" xfId="527" applyNumberFormat="1" applyFont="1" applyBorder="1" applyAlignment="1">
      <alignment horizontal="center" vertical="center"/>
    </xf>
    <xf numFmtId="38" fontId="113" fillId="0" borderId="39" xfId="527" applyNumberFormat="1" applyFont="1" applyBorder="1" applyAlignment="1">
      <alignment horizontal="center" vertical="center"/>
    </xf>
    <xf numFmtId="0" fontId="113" fillId="73" borderId="71" xfId="527" applyFont="1" applyFill="1" applyBorder="1" applyAlignment="1">
      <alignment vertical="center"/>
    </xf>
    <xf numFmtId="195" fontId="113" fillId="0" borderId="72" xfId="527" applyNumberFormat="1" applyFont="1" applyBorder="1" applyAlignment="1">
      <alignment horizontal="center" vertical="center"/>
    </xf>
    <xf numFmtId="0" fontId="113" fillId="73" borderId="72" xfId="527" applyFont="1" applyFill="1" applyBorder="1" applyAlignment="1">
      <alignment vertical="center"/>
    </xf>
    <xf numFmtId="0" fontId="106" fillId="71" borderId="81" xfId="527" applyFont="1" applyFill="1" applyBorder="1" applyAlignment="1">
      <alignment horizontal="center"/>
    </xf>
    <xf numFmtId="38" fontId="113" fillId="71" borderId="0" xfId="527" applyNumberFormat="1" applyFont="1" applyFill="1" applyAlignment="1">
      <alignment horizontal="center" vertical="center"/>
    </xf>
    <xf numFmtId="195" fontId="113" fillId="71" borderId="0" xfId="527" applyNumberFormat="1" applyFont="1" applyFill="1" applyAlignment="1">
      <alignment horizontal="center" vertical="center"/>
    </xf>
    <xf numFmtId="0" fontId="113" fillId="71" borderId="0" xfId="527" applyFont="1" applyFill="1" applyAlignment="1">
      <alignment horizontal="left" vertical="center"/>
    </xf>
    <xf numFmtId="0" fontId="111" fillId="71" borderId="0" xfId="527" applyFont="1" applyFill="1" applyAlignment="1">
      <alignment vertical="center"/>
    </xf>
    <xf numFmtId="194" fontId="113" fillId="71" borderId="0" xfId="527" applyNumberFormat="1" applyFont="1" applyFill="1" applyAlignment="1">
      <alignment horizontal="center" vertical="center"/>
    </xf>
    <xf numFmtId="0" fontId="106" fillId="71" borderId="82" xfId="527" applyFont="1" applyFill="1" applyBorder="1" applyAlignment="1">
      <alignment vertical="center"/>
    </xf>
    <xf numFmtId="0" fontId="111" fillId="71" borderId="83" xfId="527" applyFont="1" applyFill="1" applyBorder="1" applyAlignment="1">
      <alignment horizontal="center" vertical="center"/>
    </xf>
    <xf numFmtId="0" fontId="111" fillId="71" borderId="84" xfId="527" applyFont="1" applyFill="1" applyBorder="1" applyAlignment="1">
      <alignment horizontal="center" vertical="center" wrapText="1"/>
    </xf>
    <xf numFmtId="0" fontId="111" fillId="71" borderId="77" xfId="527" applyFont="1" applyFill="1" applyBorder="1" applyAlignment="1">
      <alignment horizontal="center" vertical="center" wrapText="1"/>
    </xf>
    <xf numFmtId="6" fontId="111" fillId="71" borderId="84" xfId="527" applyNumberFormat="1" applyFont="1" applyFill="1" applyBorder="1" applyAlignment="1">
      <alignment horizontal="center" vertical="center" wrapText="1"/>
    </xf>
    <xf numFmtId="174" fontId="111" fillId="71" borderId="84" xfId="527" applyNumberFormat="1" applyFont="1" applyFill="1" applyBorder="1" applyAlignment="1">
      <alignment horizontal="center" vertical="center" wrapText="1"/>
    </xf>
    <xf numFmtId="174" fontId="111" fillId="71" borderId="78" xfId="527" applyNumberFormat="1" applyFont="1" applyFill="1" applyBorder="1" applyAlignment="1">
      <alignment horizontal="center" vertical="center" wrapText="1"/>
    </xf>
    <xf numFmtId="0" fontId="111" fillId="71" borderId="85" xfId="527" applyFont="1" applyFill="1" applyBorder="1" applyAlignment="1">
      <alignment horizontal="center" vertical="center" wrapText="1"/>
    </xf>
    <xf numFmtId="0" fontId="106" fillId="0" borderId="86" xfId="527" applyFont="1" applyBorder="1" applyAlignment="1">
      <alignment horizontal="center" vertical="center"/>
    </xf>
    <xf numFmtId="0" fontId="106" fillId="0" borderId="87" xfId="527" applyFont="1" applyBorder="1" applyAlignment="1">
      <alignment vertical="center" shrinkToFit="1"/>
    </xf>
    <xf numFmtId="3" fontId="106" fillId="75" borderId="88" xfId="527" applyNumberFormat="1" applyFont="1" applyFill="1" applyBorder="1" applyAlignment="1">
      <alignment horizontal="center" vertical="center"/>
    </xf>
    <xf numFmtId="0" fontId="106" fillId="75" borderId="88" xfId="527" applyFont="1" applyFill="1" applyBorder="1" applyAlignment="1">
      <alignment horizontal="center" vertical="center"/>
    </xf>
    <xf numFmtId="194" fontId="106" fillId="72" borderId="88" xfId="527" applyNumberFormat="1" applyFont="1" applyFill="1" applyBorder="1" applyAlignment="1">
      <alignment horizontal="center" vertical="center"/>
    </xf>
    <xf numFmtId="194" fontId="106" fillId="75" borderId="88" xfId="527" applyNumberFormat="1" applyFont="1" applyFill="1" applyBorder="1" applyAlignment="1">
      <alignment horizontal="center" vertical="center"/>
    </xf>
    <xf numFmtId="169" fontId="106" fillId="72" borderId="89" xfId="527" applyNumberFormat="1" applyFont="1" applyFill="1" applyBorder="1" applyAlignment="1">
      <alignment horizontal="center" vertical="center"/>
    </xf>
    <xf numFmtId="194" fontId="106" fillId="75" borderId="87" xfId="527" applyNumberFormat="1" applyFont="1" applyFill="1" applyBorder="1" applyAlignment="1">
      <alignment horizontal="center" vertical="center"/>
    </xf>
    <xf numFmtId="194" fontId="106" fillId="75" borderId="90" xfId="527" applyNumberFormat="1" applyFont="1" applyFill="1" applyBorder="1" applyAlignment="1">
      <alignment horizontal="center" vertical="center"/>
    </xf>
    <xf numFmtId="194" fontId="106" fillId="75" borderId="91" xfId="527" applyNumberFormat="1" applyFont="1" applyFill="1" applyBorder="1" applyAlignment="1">
      <alignment horizontal="center" vertical="center"/>
    </xf>
    <xf numFmtId="194" fontId="106" fillId="75" borderId="74" xfId="527" applyNumberFormat="1" applyFont="1" applyFill="1" applyBorder="1" applyAlignment="1">
      <alignment horizontal="center" vertical="center" wrapText="1"/>
    </xf>
    <xf numFmtId="194" fontId="106" fillId="75" borderId="73" xfId="527" applyNumberFormat="1" applyFont="1" applyFill="1" applyBorder="1" applyAlignment="1">
      <alignment horizontal="center" vertical="center"/>
    </xf>
    <xf numFmtId="0" fontId="106" fillId="0" borderId="90" xfId="527" applyFont="1" applyBorder="1" applyAlignment="1">
      <alignment horizontal="center" vertical="center"/>
    </xf>
    <xf numFmtId="0" fontId="106" fillId="0" borderId="86" xfId="527" applyFont="1" applyBorder="1" applyAlignment="1">
      <alignment vertical="center" shrinkToFit="1"/>
    </xf>
    <xf numFmtId="3" fontId="106" fillId="0" borderId="89" xfId="527" applyNumberFormat="1" applyFont="1" applyBorder="1" applyAlignment="1">
      <alignment horizontal="center" vertical="center"/>
    </xf>
    <xf numFmtId="3" fontId="106" fillId="75" borderId="89" xfId="527" applyNumberFormat="1" applyFont="1" applyFill="1" applyBorder="1" applyAlignment="1">
      <alignment horizontal="center" vertical="center"/>
    </xf>
    <xf numFmtId="0" fontId="106" fillId="75" borderId="92" xfId="527" applyFont="1" applyFill="1" applyBorder="1" applyAlignment="1">
      <alignment horizontal="center" vertical="center"/>
    </xf>
    <xf numFmtId="194" fontId="106" fillId="75" borderId="92" xfId="527" applyNumberFormat="1" applyFont="1" applyFill="1" applyBorder="1" applyAlignment="1">
      <alignment horizontal="center" vertical="center"/>
    </xf>
    <xf numFmtId="194" fontId="106" fillId="75" borderId="93" xfId="527" applyNumberFormat="1" applyFont="1" applyFill="1" applyBorder="1" applyAlignment="1">
      <alignment horizontal="center" vertical="center"/>
    </xf>
    <xf numFmtId="194" fontId="106" fillId="72" borderId="92" xfId="527" applyNumberFormat="1" applyFont="1" applyFill="1" applyBorder="1" applyAlignment="1">
      <alignment horizontal="center" vertical="center"/>
    </xf>
    <xf numFmtId="0" fontId="106" fillId="0" borderId="94" xfId="527" applyFont="1" applyBorder="1" applyAlignment="1">
      <alignment horizontal="center" vertical="center"/>
    </xf>
    <xf numFmtId="0" fontId="114" fillId="0" borderId="95" xfId="527" applyFont="1" applyBorder="1" applyAlignment="1">
      <alignment vertical="center" shrinkToFit="1"/>
    </xf>
    <xf numFmtId="3" fontId="114" fillId="0" borderId="79" xfId="527" applyNumberFormat="1" applyFont="1" applyBorder="1" applyAlignment="1">
      <alignment horizontal="center" vertical="center"/>
    </xf>
    <xf numFmtId="3" fontId="114" fillId="75" borderId="79" xfId="527" applyNumberFormat="1" applyFont="1" applyFill="1" applyBorder="1" applyAlignment="1">
      <alignment horizontal="center" vertical="center"/>
    </xf>
    <xf numFmtId="0" fontId="114" fillId="75" borderId="96" xfId="527" applyFont="1" applyFill="1" applyBorder="1" applyAlignment="1">
      <alignment horizontal="center" vertical="center"/>
    </xf>
    <xf numFmtId="194" fontId="114" fillId="72" borderId="96" xfId="527" applyNumberFormat="1" applyFont="1" applyFill="1" applyBorder="1" applyAlignment="1">
      <alignment horizontal="center" vertical="center"/>
    </xf>
    <xf numFmtId="194" fontId="114" fillId="75" borderId="96" xfId="527" applyNumberFormat="1" applyFont="1" applyFill="1" applyBorder="1" applyAlignment="1">
      <alignment horizontal="center" vertical="center"/>
    </xf>
    <xf numFmtId="169" fontId="114" fillId="72" borderId="79" xfId="527" applyNumberFormat="1" applyFont="1" applyFill="1" applyBorder="1" applyAlignment="1">
      <alignment horizontal="center" vertical="center"/>
    </xf>
    <xf numFmtId="194" fontId="114" fillId="75" borderId="97" xfId="527" applyNumberFormat="1" applyFont="1" applyFill="1" applyBorder="1" applyAlignment="1">
      <alignment horizontal="center" vertical="center"/>
    </xf>
    <xf numFmtId="194" fontId="106" fillId="75" borderId="97" xfId="527" applyNumberFormat="1" applyFont="1" applyFill="1" applyBorder="1" applyAlignment="1">
      <alignment horizontal="center" vertical="center"/>
    </xf>
    <xf numFmtId="194" fontId="114" fillId="75" borderId="98" xfId="527" applyNumberFormat="1" applyFont="1" applyFill="1" applyBorder="1" applyAlignment="1">
      <alignment horizontal="center" vertical="center"/>
    </xf>
    <xf numFmtId="194" fontId="114" fillId="75" borderId="57" xfId="527" applyNumberFormat="1" applyFont="1" applyFill="1" applyBorder="1" applyAlignment="1">
      <alignment horizontal="center" vertical="center"/>
    </xf>
    <xf numFmtId="194" fontId="114" fillId="75" borderId="95" xfId="527" applyNumberFormat="1" applyFont="1" applyFill="1" applyBorder="1" applyAlignment="1">
      <alignment horizontal="center" vertical="center"/>
    </xf>
    <xf numFmtId="0" fontId="106" fillId="0" borderId="74" xfId="527" applyFont="1" applyBorder="1" applyAlignment="1">
      <alignment horizontal="center" vertical="center"/>
    </xf>
    <xf numFmtId="194" fontId="106" fillId="75" borderId="99" xfId="527" applyNumberFormat="1" applyFont="1" applyFill="1" applyBorder="1" applyAlignment="1">
      <alignment horizontal="center" vertical="center"/>
    </xf>
    <xf numFmtId="3" fontId="106" fillId="0" borderId="73" xfId="527" applyNumberFormat="1" applyFont="1" applyBorder="1" applyAlignment="1">
      <alignment horizontal="center" vertical="center"/>
    </xf>
    <xf numFmtId="0" fontId="106" fillId="0" borderId="95" xfId="527" applyFont="1" applyBorder="1" applyAlignment="1">
      <alignment horizontal="center" vertical="center"/>
    </xf>
    <xf numFmtId="0" fontId="114" fillId="0" borderId="86" xfId="527" applyFont="1" applyBorder="1" applyAlignment="1">
      <alignment vertical="center" shrinkToFit="1"/>
    </xf>
    <xf numFmtId="3" fontId="114" fillId="0" borderId="100" xfId="527" applyNumberFormat="1" applyFont="1" applyBorder="1" applyAlignment="1">
      <alignment horizontal="center" vertical="center"/>
    </xf>
    <xf numFmtId="3" fontId="114" fillId="75" borderId="89" xfId="527" applyNumberFormat="1" applyFont="1" applyFill="1" applyBorder="1" applyAlignment="1">
      <alignment horizontal="center" vertical="center"/>
    </xf>
    <xf numFmtId="0" fontId="114" fillId="75" borderId="100" xfId="527" applyFont="1" applyFill="1" applyBorder="1" applyAlignment="1">
      <alignment horizontal="center" vertical="center"/>
    </xf>
    <xf numFmtId="194" fontId="114" fillId="72" borderId="100" xfId="527" applyNumberFormat="1" applyFont="1" applyFill="1" applyBorder="1" applyAlignment="1">
      <alignment horizontal="center" vertical="center"/>
    </xf>
    <xf numFmtId="194" fontId="114" fillId="75" borderId="100" xfId="527" applyNumberFormat="1" applyFont="1" applyFill="1" applyBorder="1" applyAlignment="1">
      <alignment horizontal="center" vertical="center"/>
    </xf>
    <xf numFmtId="169" fontId="114" fillId="72" borderId="89" xfId="527" applyNumberFormat="1" applyFont="1" applyFill="1" applyBorder="1" applyAlignment="1">
      <alignment horizontal="center" vertical="center"/>
    </xf>
    <xf numFmtId="194" fontId="114" fillId="75" borderId="101" xfId="527" applyNumberFormat="1" applyFont="1" applyFill="1" applyBorder="1" applyAlignment="1">
      <alignment horizontal="center" vertical="center"/>
    </xf>
    <xf numFmtId="194" fontId="114" fillId="75" borderId="102" xfId="527" applyNumberFormat="1" applyFont="1" applyFill="1" applyBorder="1" applyAlignment="1">
      <alignment horizontal="center" vertical="center"/>
    </xf>
    <xf numFmtId="194" fontId="114" fillId="75" borderId="103" xfId="527" applyNumberFormat="1" applyFont="1" applyFill="1" applyBorder="1" applyAlignment="1">
      <alignment horizontal="center" vertical="center"/>
    </xf>
    <xf numFmtId="0" fontId="111" fillId="71" borderId="104" xfId="527" applyFont="1" applyFill="1" applyBorder="1" applyAlignment="1">
      <alignment horizontal="center" vertical="center"/>
    </xf>
    <xf numFmtId="3" fontId="111" fillId="71" borderId="105" xfId="527" applyNumberFormat="1" applyFont="1" applyFill="1" applyBorder="1" applyAlignment="1">
      <alignment horizontal="center" vertical="center"/>
    </xf>
    <xf numFmtId="3" fontId="111" fillId="71" borderId="106" xfId="527" applyNumberFormat="1" applyFont="1" applyFill="1" applyBorder="1" applyAlignment="1">
      <alignment horizontal="center" vertical="center"/>
    </xf>
    <xf numFmtId="194" fontId="111" fillId="71" borderId="105" xfId="527" applyNumberFormat="1" applyFont="1" applyFill="1" applyBorder="1" applyAlignment="1">
      <alignment horizontal="center" vertical="center"/>
    </xf>
    <xf numFmtId="194" fontId="111" fillId="71" borderId="106" xfId="527" applyNumberFormat="1" applyFont="1" applyFill="1" applyBorder="1" applyAlignment="1">
      <alignment horizontal="center" vertical="center"/>
    </xf>
    <xf numFmtId="174" fontId="111" fillId="71" borderId="106" xfId="527" applyNumberFormat="1" applyFont="1" applyFill="1" applyBorder="1" applyAlignment="1">
      <alignment horizontal="center" vertical="center"/>
    </xf>
    <xf numFmtId="194" fontId="111" fillId="71" borderId="64" xfId="527" applyNumberFormat="1" applyFont="1" applyFill="1" applyBorder="1" applyAlignment="1">
      <alignment horizontal="center" vertical="center"/>
    </xf>
    <xf numFmtId="194" fontId="111" fillId="71" borderId="107" xfId="527" applyNumberFormat="1" applyFont="1" applyFill="1" applyBorder="1" applyAlignment="1">
      <alignment horizontal="center" vertical="center"/>
    </xf>
    <xf numFmtId="0" fontId="70" fillId="0" borderId="0" xfId="527" applyFont="1"/>
    <xf numFmtId="0" fontId="109" fillId="0" borderId="0" xfId="527" applyFont="1"/>
    <xf numFmtId="194" fontId="109" fillId="0" borderId="0" xfId="527" applyNumberFormat="1" applyFont="1"/>
    <xf numFmtId="169" fontId="109" fillId="0" borderId="0" xfId="527" applyNumberFormat="1" applyFont="1"/>
    <xf numFmtId="3" fontId="106" fillId="0" borderId="89" xfId="0" applyNumberFormat="1" applyFont="1" applyBorder="1" applyAlignment="1">
      <alignment horizontal="center" vertical="center"/>
    </xf>
    <xf numFmtId="169" fontId="106" fillId="72" borderId="89" xfId="0" applyNumberFormat="1" applyFont="1" applyFill="1" applyBorder="1" applyAlignment="1">
      <alignment horizontal="center" vertical="center"/>
    </xf>
    <xf numFmtId="3" fontId="106" fillId="0" borderId="88" xfId="0" applyNumberFormat="1" applyFont="1" applyBorder="1" applyAlignment="1">
      <alignment horizontal="center" vertical="center"/>
    </xf>
    <xf numFmtId="171" fontId="0" fillId="0" borderId="3" xfId="98" applyNumberFormat="1" applyFont="1" applyBorder="1"/>
    <xf numFmtId="171" fontId="0" fillId="0" borderId="0" xfId="98" applyNumberFormat="1" applyFont="1"/>
    <xf numFmtId="0" fontId="11" fillId="0" borderId="110" xfId="0" applyFont="1" applyBorder="1"/>
    <xf numFmtId="171" fontId="11" fillId="0" borderId="110" xfId="98" applyNumberFormat="1" applyFont="1" applyBorder="1"/>
    <xf numFmtId="174" fontId="109" fillId="0" borderId="0" xfId="521" applyNumberFormat="1" applyFont="1"/>
    <xf numFmtId="196" fontId="109" fillId="0" borderId="0" xfId="530" applyNumberFormat="1" applyFont="1" applyFill="1"/>
    <xf numFmtId="2" fontId="109" fillId="0" borderId="0" xfId="521" applyNumberFormat="1" applyFont="1"/>
    <xf numFmtId="9" fontId="109" fillId="0" borderId="0" xfId="531" applyFont="1"/>
    <xf numFmtId="44" fontId="109" fillId="0" borderId="0" xfId="530" applyFont="1"/>
    <xf numFmtId="10" fontId="109" fillId="0" borderId="0" xfId="521" applyNumberFormat="1" applyFont="1"/>
    <xf numFmtId="175" fontId="103" fillId="0" borderId="0" xfId="532" applyNumberFormat="1" applyFont="1" applyAlignment="1">
      <alignment horizontal="left"/>
    </xf>
    <xf numFmtId="0" fontId="44" fillId="0" borderId="0" xfId="532" applyFont="1"/>
    <xf numFmtId="0" fontId="102" fillId="0" borderId="0" xfId="532" applyFont="1" applyAlignment="1">
      <alignment horizontal="right"/>
    </xf>
    <xf numFmtId="0" fontId="91" fillId="0" borderId="0" xfId="532" applyFont="1" applyAlignment="1">
      <alignment horizontal="center"/>
    </xf>
    <xf numFmtId="0" fontId="91" fillId="0" borderId="0" xfId="532" applyFont="1" applyAlignment="1">
      <alignment horizontal="center" vertical="center" wrapText="1"/>
    </xf>
    <xf numFmtId="44" fontId="117" fillId="0" borderId="0" xfId="530" applyFont="1"/>
    <xf numFmtId="2" fontId="117" fillId="0" borderId="0" xfId="521" applyNumberFormat="1" applyFont="1"/>
    <xf numFmtId="9" fontId="117" fillId="0" borderId="0" xfId="531" applyFont="1"/>
    <xf numFmtId="10" fontId="117" fillId="0" borderId="0" xfId="521" applyNumberFormat="1" applyFont="1"/>
    <xf numFmtId="0" fontId="44" fillId="0" borderId="3" xfId="532" applyFont="1" applyBorder="1" applyAlignment="1">
      <alignment wrapText="1"/>
    </xf>
    <xf numFmtId="37" fontId="120" fillId="0" borderId="0" xfId="530" applyNumberFormat="1" applyFont="1" applyAlignment="1">
      <alignment horizontal="center"/>
    </xf>
    <xf numFmtId="44" fontId="118" fillId="64" borderId="26" xfId="530" applyFont="1" applyFill="1" applyBorder="1" applyAlignment="1">
      <alignment horizontal="center" vertical="center" wrapText="1"/>
    </xf>
    <xf numFmtId="2" fontId="118" fillId="64" borderId="26" xfId="533" applyNumberFormat="1" applyFont="1" applyFill="1" applyBorder="1" applyAlignment="1">
      <alignment horizontal="center" vertical="center" wrapText="1"/>
    </xf>
    <xf numFmtId="9" fontId="118" fillId="64" borderId="26" xfId="531" applyFont="1" applyFill="1" applyBorder="1" applyAlignment="1">
      <alignment horizontal="center" vertical="center" wrapText="1"/>
    </xf>
    <xf numFmtId="44" fontId="118" fillId="64" borderId="10" xfId="530" applyFont="1" applyFill="1" applyBorder="1" applyAlignment="1">
      <alignment horizontal="center" vertical="center" wrapText="1"/>
    </xf>
    <xf numFmtId="10" fontId="118" fillId="64" borderId="26" xfId="533" applyNumberFormat="1" applyFont="1" applyFill="1" applyBorder="1" applyAlignment="1">
      <alignment horizontal="center" vertical="center" wrapText="1"/>
    </xf>
    <xf numFmtId="174" fontId="119" fillId="77" borderId="23" xfId="533" applyNumberFormat="1" applyFont="1" applyFill="1" applyBorder="1" applyAlignment="1">
      <alignment horizontal="center"/>
    </xf>
    <xf numFmtId="174" fontId="121" fillId="77" borderId="28" xfId="533" applyNumberFormat="1" applyFont="1" applyFill="1" applyBorder="1"/>
    <xf numFmtId="44" fontId="121" fillId="77" borderId="20" xfId="530" applyFont="1" applyFill="1" applyBorder="1"/>
    <xf numFmtId="2" fontId="121" fillId="77" borderId="26" xfId="533" applyNumberFormat="1" applyFont="1" applyFill="1" applyBorder="1"/>
    <xf numFmtId="9" fontId="121" fillId="77" borderId="26" xfId="531" applyFont="1" applyFill="1" applyBorder="1"/>
    <xf numFmtId="44" fontId="121" fillId="77" borderId="10" xfId="530" applyFont="1" applyFill="1" applyBorder="1"/>
    <xf numFmtId="10" fontId="121" fillId="77" borderId="26" xfId="533" applyNumberFormat="1" applyFont="1" applyFill="1" applyBorder="1"/>
    <xf numFmtId="44" fontId="121" fillId="77" borderId="26" xfId="530" applyFont="1" applyFill="1" applyBorder="1"/>
    <xf numFmtId="44" fontId="121" fillId="77" borderId="25" xfId="530" applyFont="1" applyFill="1" applyBorder="1"/>
    <xf numFmtId="174" fontId="122" fillId="0" borderId="117" xfId="521" applyNumberFormat="1" applyFont="1" applyBorder="1"/>
    <xf numFmtId="174" fontId="121" fillId="0" borderId="19" xfId="521" applyNumberFormat="1" applyFont="1" applyBorder="1"/>
    <xf numFmtId="44" fontId="121" fillId="0" borderId="0" xfId="530" applyFont="1" applyAlignment="1">
      <alignment horizontal="right"/>
    </xf>
    <xf numFmtId="2" fontId="121" fillId="0" borderId="0" xfId="521" applyNumberFormat="1" applyFont="1" applyAlignment="1">
      <alignment horizontal="right"/>
    </xf>
    <xf numFmtId="9" fontId="121" fillId="0" borderId="0" xfId="531" applyFont="1" applyAlignment="1">
      <alignment horizontal="right"/>
    </xf>
    <xf numFmtId="44" fontId="121" fillId="0" borderId="4" xfId="530" applyFont="1" applyBorder="1" applyAlignment="1">
      <alignment horizontal="right"/>
    </xf>
    <xf numFmtId="10" fontId="121" fillId="0" borderId="0" xfId="521" applyNumberFormat="1" applyFont="1" applyAlignment="1">
      <alignment horizontal="right"/>
    </xf>
    <xf numFmtId="9" fontId="123" fillId="0" borderId="0" xfId="531" applyFont="1"/>
    <xf numFmtId="174" fontId="121" fillId="0" borderId="0" xfId="521" applyNumberFormat="1" applyFont="1"/>
    <xf numFmtId="174" fontId="124" fillId="0" borderId="117" xfId="521" applyNumberFormat="1" applyFont="1" applyBorder="1"/>
    <xf numFmtId="174" fontId="109" fillId="0" borderId="22" xfId="533" quotePrefix="1" applyNumberFormat="1" applyFont="1" applyFill="1" applyBorder="1" applyAlignment="1">
      <alignment horizontal="center"/>
    </xf>
    <xf numFmtId="174" fontId="109" fillId="0" borderId="4" xfId="524" applyNumberFormat="1" applyFont="1" applyBorder="1"/>
    <xf numFmtId="44" fontId="109" fillId="0" borderId="0" xfId="530" applyFont="1" applyBorder="1"/>
    <xf numFmtId="2" fontId="109" fillId="0" borderId="0" xfId="524" applyNumberFormat="1" applyFont="1" applyBorder="1"/>
    <xf numFmtId="9" fontId="125" fillId="0" borderId="0" xfId="531" applyFont="1"/>
    <xf numFmtId="44" fontId="109" fillId="0" borderId="4" xfId="530" applyFont="1" applyBorder="1"/>
    <xf numFmtId="10" fontId="125" fillId="0" borderId="0" xfId="521" applyNumberFormat="1" applyFont="1"/>
    <xf numFmtId="197" fontId="123" fillId="0" borderId="0" xfId="521" applyNumberFormat="1" applyFont="1" applyAlignment="1">
      <alignment horizontal="left"/>
    </xf>
    <xf numFmtId="0" fontId="126" fillId="0" borderId="4" xfId="534" applyFont="1" applyBorder="1" applyAlignment="1">
      <alignment horizontal="left" vertical="top" wrapText="1"/>
    </xf>
    <xf numFmtId="174" fontId="109" fillId="0" borderId="4" xfId="521" applyNumberFormat="1" applyFont="1" applyBorder="1"/>
    <xf numFmtId="44" fontId="109" fillId="0" borderId="0" xfId="530" applyFont="1" applyAlignment="1">
      <alignment horizontal="right"/>
    </xf>
    <xf numFmtId="2" fontId="109" fillId="0" borderId="0" xfId="531" applyNumberFormat="1" applyFont="1" applyAlignment="1">
      <alignment horizontal="right"/>
    </xf>
    <xf numFmtId="10" fontId="109" fillId="0" borderId="0" xfId="521" applyNumberFormat="1" applyFont="1" applyAlignment="1">
      <alignment horizontal="right"/>
    </xf>
    <xf numFmtId="3" fontId="123" fillId="0" borderId="0" xfId="521" applyNumberFormat="1" applyFont="1" applyAlignment="1">
      <alignment horizontal="left"/>
    </xf>
    <xf numFmtId="174" fontId="123" fillId="0" borderId="0" xfId="521" applyNumberFormat="1" applyFont="1"/>
    <xf numFmtId="174" fontId="109" fillId="0" borderId="4" xfId="524" applyNumberFormat="1" applyFont="1" applyFill="1" applyBorder="1"/>
    <xf numFmtId="44" fontId="109" fillId="0" borderId="0" xfId="530" applyFont="1" applyFill="1" applyAlignment="1">
      <alignment horizontal="right"/>
    </xf>
    <xf numFmtId="2" fontId="109" fillId="0" borderId="0" xfId="531" applyNumberFormat="1" applyFont="1" applyFill="1" applyAlignment="1">
      <alignment horizontal="right"/>
    </xf>
    <xf numFmtId="174" fontId="109" fillId="0" borderId="4" xfId="533" quotePrefix="1" applyNumberFormat="1" applyFont="1" applyFill="1" applyBorder="1" applyAlignment="1">
      <alignment horizontal="center"/>
    </xf>
    <xf numFmtId="174" fontId="109" fillId="0" borderId="117" xfId="533" applyNumberFormat="1" applyFont="1" applyFill="1" applyBorder="1" applyAlignment="1">
      <alignment horizontal="left" indent="1"/>
    </xf>
    <xf numFmtId="9" fontId="109" fillId="0" borderId="6" xfId="531" applyFont="1" applyBorder="1"/>
    <xf numFmtId="174" fontId="122" fillId="78" borderId="23" xfId="533" applyNumberFormat="1" applyFont="1" applyFill="1" applyBorder="1"/>
    <xf numFmtId="174" fontId="121" fillId="78" borderId="3" xfId="533" applyNumberFormat="1" applyFont="1" applyFill="1" applyBorder="1"/>
    <xf numFmtId="174" fontId="121" fillId="78" borderId="25" xfId="524" applyNumberFormat="1" applyFont="1" applyFill="1" applyBorder="1"/>
    <xf numFmtId="44" fontId="121" fillId="78" borderId="6" xfId="530" applyFont="1" applyFill="1" applyBorder="1"/>
    <xf numFmtId="2" fontId="121" fillId="78" borderId="6" xfId="524" applyNumberFormat="1" applyFont="1" applyFill="1" applyBorder="1"/>
    <xf numFmtId="9" fontId="121" fillId="78" borderId="6" xfId="531" applyFont="1" applyFill="1" applyBorder="1"/>
    <xf numFmtId="10" fontId="121" fillId="78" borderId="6" xfId="524" applyNumberFormat="1" applyFont="1" applyFill="1" applyBorder="1"/>
    <xf numFmtId="37" fontId="120" fillId="0" borderId="26" xfId="530" applyNumberFormat="1" applyFont="1" applyBorder="1" applyAlignment="1">
      <alignment horizontal="center"/>
    </xf>
    <xf numFmtId="174" fontId="109" fillId="0" borderId="26" xfId="521" applyNumberFormat="1" applyFont="1" applyBorder="1"/>
    <xf numFmtId="174" fontId="121" fillId="0" borderId="26" xfId="521" applyNumberFormat="1" applyFont="1" applyBorder="1"/>
    <xf numFmtId="174" fontId="121" fillId="0" borderId="22" xfId="521" applyNumberFormat="1" applyFont="1" applyBorder="1"/>
    <xf numFmtId="174" fontId="127" fillId="0" borderId="117" xfId="533" applyNumberFormat="1" applyFont="1" applyFill="1" applyBorder="1" applyAlignment="1">
      <alignment horizontal="left" indent="1"/>
    </xf>
    <xf numFmtId="9" fontId="109" fillId="0" borderId="22" xfId="535" quotePrefix="1" applyNumberFormat="1" applyFont="1" applyFill="1" applyBorder="1" applyAlignment="1">
      <alignment horizontal="center"/>
    </xf>
    <xf numFmtId="174" fontId="109" fillId="0" borderId="0" xfId="530" applyNumberFormat="1" applyFont="1" applyFill="1" applyBorder="1"/>
    <xf numFmtId="2" fontId="109" fillId="0" borderId="0" xfId="524" applyNumberFormat="1" applyFont="1" applyFill="1" applyBorder="1"/>
    <xf numFmtId="198" fontId="109" fillId="0" borderId="0" xfId="535" applyNumberFormat="1" applyFont="1" applyFill="1"/>
    <xf numFmtId="174" fontId="122" fillId="0" borderId="23" xfId="521" applyNumberFormat="1" applyFont="1" applyBorder="1" applyAlignment="1">
      <alignment horizontal="left"/>
    </xf>
    <xf numFmtId="174" fontId="109" fillId="0" borderId="3" xfId="533" quotePrefix="1" applyNumberFormat="1" applyFont="1" applyFill="1" applyBorder="1" applyAlignment="1">
      <alignment horizontal="center"/>
    </xf>
    <xf numFmtId="174" fontId="121" fillId="0" borderId="25" xfId="524" applyNumberFormat="1" applyFont="1" applyBorder="1"/>
    <xf numFmtId="44" fontId="109" fillId="66" borderId="6" xfId="530" applyFont="1" applyFill="1" applyBorder="1"/>
    <xf numFmtId="2" fontId="109" fillId="66" borderId="6" xfId="524" applyNumberFormat="1" applyFont="1" applyFill="1" applyBorder="1"/>
    <xf numFmtId="10" fontId="109" fillId="0" borderId="6" xfId="521" applyNumberFormat="1" applyFont="1" applyBorder="1"/>
    <xf numFmtId="174" fontId="122" fillId="78" borderId="116" xfId="533" applyNumberFormat="1" applyFont="1" applyFill="1" applyBorder="1"/>
    <xf numFmtId="174" fontId="121" fillId="78" borderId="11" xfId="533" applyNumberFormat="1" applyFont="1" applyFill="1" applyBorder="1"/>
    <xf numFmtId="174" fontId="121" fillId="78" borderId="10" xfId="524" applyNumberFormat="1" applyFont="1" applyFill="1" applyBorder="1"/>
    <xf numFmtId="44" fontId="121" fillId="78" borderId="26" xfId="530" applyFont="1" applyFill="1" applyBorder="1"/>
    <xf numFmtId="2" fontId="121" fillId="78" borderId="26" xfId="524" applyNumberFormat="1" applyFont="1" applyFill="1" applyBorder="1"/>
    <xf numFmtId="9" fontId="121" fillId="78" borderId="26" xfId="531" applyFont="1" applyFill="1" applyBorder="1"/>
    <xf numFmtId="10" fontId="121" fillId="78" borderId="26" xfId="524" applyNumberFormat="1" applyFont="1" applyFill="1" applyBorder="1"/>
    <xf numFmtId="174" fontId="128" fillId="0" borderId="26" xfId="521" applyNumberFormat="1" applyFont="1" applyBorder="1"/>
    <xf numFmtId="44" fontId="109" fillId="0" borderId="0" xfId="530" applyFont="1" applyFill="1"/>
    <xf numFmtId="9" fontId="121" fillId="0" borderId="0" xfId="531" applyFont="1" applyFill="1" applyAlignment="1">
      <alignment horizontal="right"/>
    </xf>
    <xf numFmtId="174" fontId="128" fillId="0" borderId="0" xfId="521" applyNumberFormat="1" applyFont="1"/>
    <xf numFmtId="174" fontId="122" fillId="78" borderId="3" xfId="533" applyNumberFormat="1" applyFont="1" applyFill="1" applyBorder="1"/>
    <xf numFmtId="2" fontId="121" fillId="78" borderId="6" xfId="533" applyNumberFormat="1" applyFont="1" applyFill="1" applyBorder="1"/>
    <xf numFmtId="10" fontId="121" fillId="78" borderId="6" xfId="533" applyNumberFormat="1" applyFont="1" applyFill="1" applyBorder="1"/>
    <xf numFmtId="174" fontId="109" fillId="0" borderId="22" xfId="533" applyNumberFormat="1" applyFont="1" applyFill="1" applyBorder="1"/>
    <xf numFmtId="2" fontId="109" fillId="0" borderId="0" xfId="524" applyNumberFormat="1" applyFont="1"/>
    <xf numFmtId="9" fontId="109" fillId="0" borderId="0" xfId="531" applyFont="1" applyFill="1"/>
    <xf numFmtId="44" fontId="109" fillId="0" borderId="4" xfId="530" applyFont="1" applyFill="1" applyBorder="1"/>
    <xf numFmtId="10" fontId="109" fillId="0" borderId="0" xfId="533" applyNumberFormat="1" applyFont="1" applyFill="1"/>
    <xf numFmtId="174" fontId="127" fillId="0" borderId="22" xfId="533" applyNumberFormat="1" applyFont="1" applyFill="1" applyBorder="1" applyAlignment="1">
      <alignment horizontal="left" indent="1"/>
    </xf>
    <xf numFmtId="164" fontId="109" fillId="0" borderId="0" xfId="535" applyFont="1" applyFill="1" applyAlignment="1">
      <alignment horizontal="right"/>
    </xf>
    <xf numFmtId="174" fontId="109" fillId="0" borderId="19" xfId="533" quotePrefix="1" applyNumberFormat="1" applyFont="1" applyFill="1" applyBorder="1" applyAlignment="1">
      <alignment horizontal="center"/>
    </xf>
    <xf numFmtId="174" fontId="129" fillId="0" borderId="4" xfId="521" applyNumberFormat="1" applyFont="1" applyBorder="1"/>
    <xf numFmtId="44" fontId="109" fillId="0" borderId="0" xfId="530" applyFont="1" applyFill="1" applyBorder="1"/>
    <xf numFmtId="174" fontId="127" fillId="0" borderId="22" xfId="533" applyNumberFormat="1" applyFont="1" applyFill="1" applyBorder="1" applyAlignment="1">
      <alignment horizontal="left" indent="2"/>
    </xf>
    <xf numFmtId="174" fontId="127" fillId="0" borderId="4" xfId="533" applyNumberFormat="1" applyFont="1" applyFill="1" applyBorder="1" applyAlignment="1">
      <alignment horizontal="left" indent="2"/>
    </xf>
    <xf numFmtId="174" fontId="127" fillId="0" borderId="4" xfId="533" applyNumberFormat="1" applyFont="1" applyFill="1" applyBorder="1" applyAlignment="1">
      <alignment horizontal="left" indent="1"/>
    </xf>
    <xf numFmtId="172" fontId="109" fillId="0" borderId="0" xfId="530" applyNumberFormat="1" applyFont="1" applyBorder="1"/>
    <xf numFmtId="174" fontId="122" fillId="78" borderId="11" xfId="533" applyNumberFormat="1" applyFont="1" applyFill="1" applyBorder="1"/>
    <xf numFmtId="10" fontId="121" fillId="78" borderId="26" xfId="533" applyNumberFormat="1" applyFont="1" applyFill="1" applyBorder="1"/>
    <xf numFmtId="174" fontId="127" fillId="0" borderId="29" xfId="533" applyNumberFormat="1" applyFont="1" applyFill="1" applyBorder="1" applyAlignment="1">
      <alignment horizontal="left" indent="1"/>
    </xf>
    <xf numFmtId="174" fontId="122" fillId="79" borderId="3" xfId="524" applyNumberFormat="1" applyFont="1" applyFill="1" applyBorder="1"/>
    <xf numFmtId="174" fontId="121" fillId="79" borderId="25" xfId="533" applyNumberFormat="1" applyFont="1" applyFill="1" applyBorder="1" applyAlignment="1">
      <alignment horizontal="center"/>
    </xf>
    <xf numFmtId="174" fontId="121" fillId="79" borderId="25" xfId="524" applyNumberFormat="1" applyFont="1" applyFill="1" applyBorder="1"/>
    <xf numFmtId="44" fontId="121" fillId="79" borderId="6" xfId="530" applyFont="1" applyFill="1" applyBorder="1"/>
    <xf numFmtId="2" fontId="121" fillId="79" borderId="6" xfId="533" applyNumberFormat="1" applyFont="1" applyFill="1" applyBorder="1"/>
    <xf numFmtId="9" fontId="121" fillId="79" borderId="6" xfId="531" applyFont="1" applyFill="1" applyBorder="1"/>
    <xf numFmtId="10" fontId="121" fillId="79" borderId="6" xfId="533" applyNumberFormat="1" applyFont="1" applyFill="1" applyBorder="1"/>
    <xf numFmtId="174" fontId="109" fillId="0" borderId="4" xfId="533" applyNumberFormat="1" applyFont="1" applyFill="1" applyBorder="1" applyAlignment="1">
      <alignment horizontal="left" indent="1"/>
    </xf>
    <xf numFmtId="174" fontId="119" fillId="65" borderId="3" xfId="533" applyNumberFormat="1" applyFont="1" applyFill="1" applyBorder="1"/>
    <xf numFmtId="174" fontId="122" fillId="65" borderId="25" xfId="533" applyNumberFormat="1" applyFont="1" applyFill="1" applyBorder="1"/>
    <xf numFmtId="174" fontId="122" fillId="65" borderId="6" xfId="533" applyNumberFormat="1" applyFont="1" applyFill="1" applyBorder="1"/>
    <xf numFmtId="0" fontId="101" fillId="0" borderId="49" xfId="534" applyFont="1" applyBorder="1" applyAlignment="1">
      <alignment horizontal="left" vertical="top" wrapText="1"/>
    </xf>
    <xf numFmtId="174" fontId="130" fillId="0" borderId="4" xfId="533" applyNumberFormat="1" applyFont="1" applyFill="1" applyBorder="1" applyAlignment="1">
      <alignment horizontal="left"/>
    </xf>
    <xf numFmtId="0" fontId="131" fillId="0" borderId="51" xfId="534" applyFont="1" applyBorder="1" applyAlignment="1">
      <alignment horizontal="left" vertical="top" wrapText="1"/>
    </xf>
    <xf numFmtId="2" fontId="109" fillId="0" borderId="0" xfId="531" applyNumberFormat="1" applyFont="1" applyFill="1"/>
    <xf numFmtId="9" fontId="109" fillId="0" borderId="0" xfId="531" applyFont="1" applyAlignment="1">
      <alignment horizontal="right"/>
    </xf>
    <xf numFmtId="10" fontId="109" fillId="0" borderId="0" xfId="526" applyNumberFormat="1" applyFont="1" applyAlignment="1">
      <alignment horizontal="right"/>
    </xf>
    <xf numFmtId="174" fontId="122" fillId="64" borderId="11" xfId="524" applyNumberFormat="1" applyFont="1" applyFill="1" applyBorder="1"/>
    <xf numFmtId="174" fontId="121" fillId="64" borderId="10" xfId="524" applyNumberFormat="1" applyFont="1" applyFill="1" applyBorder="1" applyAlignment="1">
      <alignment horizontal="center"/>
    </xf>
    <xf numFmtId="174" fontId="121" fillId="64" borderId="10" xfId="524" applyNumberFormat="1" applyFont="1" applyFill="1" applyBorder="1"/>
    <xf numFmtId="44" fontId="121" fillId="64" borderId="26" xfId="530" applyFont="1" applyFill="1" applyBorder="1"/>
    <xf numFmtId="2" fontId="121" fillId="64" borderId="26" xfId="524" applyNumberFormat="1" applyFont="1" applyFill="1" applyBorder="1"/>
    <xf numFmtId="9" fontId="121" fillId="64" borderId="26" xfId="531" applyFont="1" applyFill="1" applyBorder="1"/>
    <xf numFmtId="10" fontId="121" fillId="64" borderId="26" xfId="524" applyNumberFormat="1" applyFont="1" applyFill="1" applyBorder="1"/>
    <xf numFmtId="174" fontId="127" fillId="0" borderId="10" xfId="521" applyNumberFormat="1" applyFont="1" applyBorder="1"/>
    <xf numFmtId="174" fontId="109" fillId="0" borderId="10" xfId="521" applyNumberFormat="1" applyFont="1" applyBorder="1"/>
    <xf numFmtId="174" fontId="109" fillId="0" borderId="10" xfId="524" applyNumberFormat="1" applyFont="1" applyBorder="1"/>
    <xf numFmtId="44" fontId="109" fillId="0" borderId="26" xfId="530" applyFont="1" applyBorder="1"/>
    <xf numFmtId="2" fontId="109" fillId="0" borderId="26" xfId="521" applyNumberFormat="1" applyFont="1" applyBorder="1"/>
    <xf numFmtId="9" fontId="109" fillId="0" borderId="26" xfId="531" applyFont="1" applyBorder="1"/>
    <xf numFmtId="10" fontId="109" fillId="0" borderId="26" xfId="521" applyNumberFormat="1" applyFont="1" applyBorder="1"/>
    <xf numFmtId="174" fontId="129" fillId="80" borderId="3" xfId="533" applyNumberFormat="1" applyFont="1" applyFill="1" applyBorder="1" applyAlignment="1">
      <alignment horizontal="left" wrapText="1"/>
    </xf>
    <xf numFmtId="174" fontId="109" fillId="80" borderId="25" xfId="521" applyNumberFormat="1" applyFont="1" applyFill="1" applyBorder="1" applyAlignment="1">
      <alignment horizontal="center"/>
    </xf>
    <xf numFmtId="44" fontId="109" fillId="80" borderId="6" xfId="530" applyFont="1" applyFill="1" applyBorder="1"/>
    <xf numFmtId="2" fontId="109" fillId="80" borderId="6" xfId="521" applyNumberFormat="1" applyFont="1" applyFill="1" applyBorder="1"/>
    <xf numFmtId="9" fontId="109" fillId="80" borderId="6" xfId="531" applyFont="1" applyFill="1" applyBorder="1"/>
    <xf numFmtId="44" fontId="109" fillId="80" borderId="25" xfId="530" applyFont="1" applyFill="1" applyBorder="1"/>
    <xf numFmtId="10" fontId="109" fillId="80" borderId="6" xfId="521" applyNumberFormat="1" applyFont="1" applyFill="1" applyBorder="1"/>
    <xf numFmtId="9" fontId="44" fillId="0" borderId="3" xfId="526" applyFont="1" applyFill="1" applyBorder="1" applyAlignment="1">
      <alignment horizontal="center" wrapText="1"/>
    </xf>
    <xf numFmtId="10" fontId="109" fillId="0" borderId="0" xfId="337" applyNumberFormat="1" applyFont="1"/>
    <xf numFmtId="2" fontId="121" fillId="0" borderId="0" xfId="521" applyNumberFormat="1" applyFont="1"/>
    <xf numFmtId="9" fontId="121" fillId="0" borderId="0" xfId="531" applyFont="1"/>
    <xf numFmtId="44" fontId="121" fillId="0" borderId="0" xfId="530" applyFont="1"/>
    <xf numFmtId="10" fontId="121" fillId="0" borderId="0" xfId="521" applyNumberFormat="1" applyFont="1"/>
    <xf numFmtId="171" fontId="121" fillId="0" borderId="0" xfId="98" applyNumberFormat="1" applyFont="1"/>
    <xf numFmtId="10" fontId="11" fillId="0" borderId="110" xfId="337" applyNumberFormat="1" applyFont="1" applyBorder="1"/>
    <xf numFmtId="43" fontId="91" fillId="0" borderId="0" xfId="0" applyNumberFormat="1" applyFont="1" applyAlignment="1">
      <alignment horizontal="center" vertical="center" wrapText="1"/>
    </xf>
    <xf numFmtId="175" fontId="132" fillId="0" borderId="39" xfId="0" applyNumberFormat="1" applyFont="1" applyBorder="1" applyAlignment="1">
      <alignment horizontal="center" vertical="top" wrapText="1"/>
    </xf>
    <xf numFmtId="173" fontId="15" fillId="0" borderId="20" xfId="98" applyNumberFormat="1" applyFont="1" applyFill="1" applyBorder="1" applyAlignment="1">
      <alignment horizontal="center" wrapText="1"/>
    </xf>
    <xf numFmtId="1" fontId="93" fillId="0" borderId="3" xfId="0" applyNumberFormat="1" applyFont="1" applyBorder="1" applyAlignment="1">
      <alignment horizontal="center" vertical="top"/>
    </xf>
    <xf numFmtId="166" fontId="15" fillId="61" borderId="3" xfId="52" applyFont="1" applyFill="1" applyBorder="1" applyAlignment="1">
      <alignment wrapText="1"/>
    </xf>
    <xf numFmtId="173" fontId="15" fillId="0" borderId="3" xfId="0" applyNumberFormat="1" applyFont="1" applyBorder="1" applyAlignment="1">
      <alignment wrapText="1"/>
    </xf>
    <xf numFmtId="173" fontId="44" fillId="0" borderId="0" xfId="0" applyNumberFormat="1" applyFont="1"/>
    <xf numFmtId="172" fontId="44" fillId="0" borderId="0" xfId="0" applyNumberFormat="1" applyFont="1"/>
    <xf numFmtId="173" fontId="44" fillId="0" borderId="0" xfId="0" applyNumberFormat="1" applyFont="1" applyAlignment="1">
      <alignment horizontal="center"/>
    </xf>
    <xf numFmtId="10" fontId="91" fillId="67" borderId="0" xfId="337" applyNumberFormat="1" applyFont="1" applyFill="1"/>
    <xf numFmtId="0" fontId="111" fillId="74" borderId="70" xfId="527" applyFont="1" applyFill="1" applyBorder="1" applyAlignment="1">
      <alignment horizontal="center" vertical="center" textRotation="90" wrapText="1"/>
    </xf>
    <xf numFmtId="0" fontId="8" fillId="0" borderId="70" xfId="527" applyFont="1" applyBorder="1"/>
    <xf numFmtId="0" fontId="8" fillId="0" borderId="82" xfId="527" applyFont="1" applyBorder="1"/>
    <xf numFmtId="6" fontId="111" fillId="71" borderId="84" xfId="0" applyNumberFormat="1" applyFont="1" applyFill="1" applyBorder="1" applyAlignment="1">
      <alignment horizontal="center" vertical="center" wrapText="1"/>
    </xf>
    <xf numFmtId="174" fontId="111" fillId="71" borderId="84" xfId="0" applyNumberFormat="1" applyFont="1" applyFill="1" applyBorder="1" applyAlignment="1">
      <alignment horizontal="center" vertical="center" wrapText="1"/>
    </xf>
    <xf numFmtId="194" fontId="106" fillId="75" borderId="87" xfId="0" applyNumberFormat="1" applyFont="1" applyFill="1" applyBorder="1" applyAlignment="1">
      <alignment horizontal="center" vertical="center"/>
    </xf>
    <xf numFmtId="169" fontId="114" fillId="72" borderId="79" xfId="0" applyNumberFormat="1" applyFont="1" applyFill="1" applyBorder="1" applyAlignment="1">
      <alignment horizontal="center" vertical="center"/>
    </xf>
    <xf numFmtId="3" fontId="90" fillId="0" borderId="0" xfId="527" applyNumberFormat="1" applyFont="1"/>
    <xf numFmtId="194" fontId="90" fillId="0" borderId="0" xfId="527" applyNumberFormat="1" applyFont="1"/>
    <xf numFmtId="169" fontId="95" fillId="0" borderId="0" xfId="0" applyNumberFormat="1" applyFont="1"/>
    <xf numFmtId="0" fontId="0" fillId="0" borderId="82" xfId="527" applyFont="1" applyBorder="1"/>
    <xf numFmtId="171" fontId="0" fillId="0" borderId="0" xfId="0" applyNumberFormat="1"/>
    <xf numFmtId="171" fontId="0" fillId="0" borderId="3" xfId="98" applyNumberFormat="1" applyFont="1" applyFill="1" applyBorder="1"/>
    <xf numFmtId="0" fontId="101" fillId="66" borderId="43" xfId="0" applyFont="1" applyFill="1" applyBorder="1" applyAlignment="1">
      <alignment horizontal="left" vertical="top" wrapText="1"/>
    </xf>
    <xf numFmtId="175" fontId="101" fillId="66" borderId="3" xfId="0" applyNumberFormat="1" applyFont="1" applyFill="1" applyBorder="1" applyAlignment="1">
      <alignment horizontal="right" vertical="top" wrapText="1"/>
    </xf>
    <xf numFmtId="175" fontId="101" fillId="67" borderId="42" xfId="0" applyNumberFormat="1" applyFont="1" applyFill="1" applyBorder="1" applyAlignment="1">
      <alignment horizontal="right" vertical="top" wrapText="1"/>
    </xf>
    <xf numFmtId="173" fontId="32" fillId="0" borderId="0" xfId="98" applyNumberFormat="1" applyFont="1"/>
    <xf numFmtId="171" fontId="32" fillId="0" borderId="0" xfId="0" applyNumberFormat="1" applyFont="1"/>
    <xf numFmtId="8" fontId="104" fillId="0" borderId="0" xfId="0" applyNumberFormat="1" applyFont="1"/>
    <xf numFmtId="171" fontId="104" fillId="0" borderId="0" xfId="0" applyNumberFormat="1" applyFont="1"/>
    <xf numFmtId="175" fontId="22" fillId="67" borderId="42" xfId="0" applyNumberFormat="1" applyFont="1" applyFill="1" applyBorder="1" applyAlignment="1">
      <alignment horizontal="right" vertical="top" wrapText="1"/>
    </xf>
    <xf numFmtId="0" fontId="22" fillId="81" borderId="39" xfId="0" applyFont="1" applyFill="1" applyBorder="1" applyAlignment="1">
      <alignment horizontal="center" wrapText="1"/>
    </xf>
    <xf numFmtId="8" fontId="32" fillId="0" borderId="0" xfId="0" applyNumberFormat="1" applyFont="1"/>
    <xf numFmtId="175" fontId="101" fillId="67" borderId="3" xfId="0" applyNumberFormat="1" applyFont="1" applyFill="1" applyBorder="1" applyAlignment="1">
      <alignment horizontal="right" vertical="top" wrapText="1"/>
    </xf>
    <xf numFmtId="175" fontId="22" fillId="67" borderId="3" xfId="0" applyNumberFormat="1" applyFont="1" applyFill="1" applyBorder="1" applyAlignment="1">
      <alignment horizontal="right" vertical="top" wrapText="1"/>
    </xf>
    <xf numFmtId="8" fontId="32" fillId="67" borderId="0" xfId="0" applyNumberFormat="1" applyFont="1" applyFill="1"/>
    <xf numFmtId="8" fontId="104" fillId="67" borderId="0" xfId="0" applyNumberFormat="1" applyFont="1" applyFill="1"/>
    <xf numFmtId="199" fontId="44" fillId="0" borderId="0" xfId="0" applyNumberFormat="1" applyFont="1"/>
    <xf numFmtId="4" fontId="15" fillId="0" borderId="0" xfId="0" applyNumberFormat="1" applyFont="1"/>
    <xf numFmtId="10" fontId="121" fillId="82" borderId="3" xfId="337" applyNumberFormat="1" applyFont="1" applyFill="1" applyBorder="1"/>
    <xf numFmtId="166" fontId="44" fillId="0" borderId="0" xfId="0" applyNumberFormat="1" applyFont="1"/>
    <xf numFmtId="167" fontId="44" fillId="62" borderId="0" xfId="0" applyNumberFormat="1" applyFont="1" applyFill="1"/>
    <xf numFmtId="167" fontId="15" fillId="61" borderId="13" xfId="98" applyNumberFormat="1" applyFont="1" applyFill="1" applyBorder="1" applyAlignment="1">
      <alignment horizontal="right" wrapText="1"/>
    </xf>
    <xf numFmtId="167" fontId="94" fillId="62" borderId="0" xfId="0" applyNumberFormat="1" applyFont="1" applyFill="1" applyAlignment="1">
      <alignment horizontal="left" wrapText="1"/>
    </xf>
    <xf numFmtId="9" fontId="44" fillId="0" borderId="0" xfId="337" applyFont="1" applyAlignment="1">
      <alignment wrapText="1"/>
    </xf>
    <xf numFmtId="0" fontId="44" fillId="66" borderId="0" xfId="0" applyFont="1" applyFill="1" applyAlignment="1">
      <alignment wrapText="1"/>
    </xf>
    <xf numFmtId="166" fontId="44" fillId="0" borderId="0" xfId="0" applyNumberFormat="1" applyFont="1" applyAlignment="1">
      <alignment horizontal="right" wrapText="1"/>
    </xf>
    <xf numFmtId="166" fontId="96" fillId="0" borderId="0" xfId="0" applyNumberFormat="1" applyFont="1" applyAlignment="1">
      <alignment horizontal="right" wrapText="1"/>
    </xf>
    <xf numFmtId="166" fontId="15" fillId="0" borderId="0" xfId="0" applyNumberFormat="1" applyFont="1" applyAlignment="1">
      <alignment horizontal="right" wrapText="1"/>
    </xf>
    <xf numFmtId="171" fontId="15" fillId="62" borderId="13" xfId="0" applyNumberFormat="1" applyFont="1" applyFill="1" applyBorder="1" applyAlignment="1">
      <alignment horizontal="right" wrapText="1"/>
    </xf>
    <xf numFmtId="169" fontId="121" fillId="0" borderId="4" xfId="530" quotePrefix="1" applyNumberFormat="1" applyFont="1" applyBorder="1" applyAlignment="1">
      <alignment horizontal="right"/>
    </xf>
    <xf numFmtId="169" fontId="109" fillId="0" borderId="4" xfId="530" applyNumberFormat="1" applyFont="1" applyFill="1" applyBorder="1"/>
    <xf numFmtId="169" fontId="109" fillId="0" borderId="4" xfId="530" applyNumberFormat="1" applyFont="1" applyBorder="1"/>
    <xf numFmtId="169" fontId="121" fillId="78" borderId="25" xfId="524" applyNumberFormat="1" applyFont="1" applyFill="1" applyBorder="1"/>
    <xf numFmtId="169" fontId="121" fillId="66" borderId="10" xfId="530" applyNumberFormat="1" applyFont="1" applyFill="1" applyBorder="1"/>
    <xf numFmtId="169" fontId="121" fillId="78" borderId="10" xfId="524" applyNumberFormat="1" applyFont="1" applyFill="1" applyBorder="1"/>
    <xf numFmtId="169" fontId="109" fillId="0" borderId="4" xfId="524" applyNumberFormat="1" applyFont="1" applyFill="1" applyBorder="1"/>
    <xf numFmtId="169" fontId="121" fillId="79" borderId="25" xfId="524" applyNumberFormat="1" applyFont="1" applyFill="1" applyBorder="1"/>
    <xf numFmtId="169" fontId="122" fillId="65" borderId="25" xfId="533" applyNumberFormat="1" applyFont="1" applyFill="1" applyBorder="1"/>
    <xf numFmtId="169" fontId="121" fillId="64" borderId="10" xfId="524" applyNumberFormat="1" applyFont="1" applyFill="1" applyBorder="1"/>
    <xf numFmtId="49" fontId="44" fillId="0" borderId="0" xfId="0" applyNumberFormat="1" applyFont="1"/>
    <xf numFmtId="49" fontId="133" fillId="0" borderId="3" xfId="0" applyNumberFormat="1" applyFont="1" applyBorder="1" applyAlignment="1">
      <alignment horizontal="left" wrapText="1"/>
    </xf>
    <xf numFmtId="49" fontId="44" fillId="0" borderId="0" xfId="0" applyNumberFormat="1" applyFont="1" applyAlignment="1">
      <alignment wrapText="1"/>
    </xf>
    <xf numFmtId="49" fontId="15" fillId="0" borderId="13" xfId="0" applyNumberFormat="1" applyFont="1" applyBorder="1" applyAlignment="1">
      <alignment horizontal="center" wrapText="1"/>
    </xf>
    <xf numFmtId="49" fontId="15" fillId="63" borderId="0" xfId="0" applyNumberFormat="1" applyFont="1" applyFill="1" applyAlignment="1">
      <alignment vertical="center" wrapText="1"/>
    </xf>
    <xf numFmtId="49" fontId="94" fillId="62" borderId="0" xfId="0" applyNumberFormat="1" applyFont="1" applyFill="1" applyAlignment="1">
      <alignment wrapText="1"/>
    </xf>
    <xf numFmtId="49" fontId="105" fillId="0" borderId="0" xfId="0" applyNumberFormat="1" applyFont="1" applyAlignment="1">
      <alignment wrapText="1"/>
    </xf>
    <xf numFmtId="49" fontId="15" fillId="61" borderId="13" xfId="0" applyNumberFormat="1" applyFont="1" applyFill="1" applyBorder="1" applyAlignment="1">
      <alignment wrapText="1"/>
    </xf>
    <xf numFmtId="49" fontId="15" fillId="0" borderId="0" xfId="0" applyNumberFormat="1" applyFont="1" applyAlignment="1">
      <alignment horizontal="left" vertical="top"/>
    </xf>
    <xf numFmtId="49" fontId="15" fillId="63" borderId="0" xfId="0" applyNumberFormat="1" applyFont="1" applyFill="1" applyAlignment="1">
      <alignment wrapText="1"/>
    </xf>
    <xf numFmtId="49" fontId="44" fillId="0" borderId="0" xfId="0" applyNumberFormat="1" applyFont="1" applyAlignment="1">
      <alignment horizontal="left" wrapText="1"/>
    </xf>
    <xf numFmtId="49" fontId="15" fillId="61" borderId="13" xfId="0" applyNumberFormat="1" applyFont="1" applyFill="1" applyBorder="1" applyAlignment="1">
      <alignment horizontal="left" wrapText="1"/>
    </xf>
    <xf numFmtId="49" fontId="108" fillId="62" borderId="0" xfId="0" applyNumberFormat="1" applyFont="1" applyFill="1" applyAlignment="1">
      <alignment wrapText="1"/>
    </xf>
    <xf numFmtId="49" fontId="44" fillId="66" borderId="0" xfId="0" applyNumberFormat="1" applyFont="1" applyFill="1" applyAlignment="1">
      <alignment wrapText="1"/>
    </xf>
    <xf numFmtId="49" fontId="94" fillId="62" borderId="0" xfId="0" applyNumberFormat="1" applyFont="1" applyFill="1" applyAlignment="1">
      <alignment horizontal="left" wrapText="1"/>
    </xf>
    <xf numFmtId="49" fontId="91" fillId="69" borderId="0" xfId="0" applyNumberFormat="1" applyFont="1" applyFill="1" applyAlignment="1">
      <alignment wrapText="1"/>
    </xf>
    <xf numFmtId="49" fontId="15" fillId="63" borderId="0" xfId="0" applyNumberFormat="1" applyFont="1" applyFill="1" applyAlignment="1">
      <alignment vertical="center"/>
    </xf>
    <xf numFmtId="49" fontId="15" fillId="68" borderId="0" xfId="0" applyNumberFormat="1" applyFont="1" applyFill="1" applyAlignment="1">
      <alignment horizontal="left" wrapText="1"/>
    </xf>
    <xf numFmtId="49" fontId="91" fillId="61" borderId="0" xfId="0" applyNumberFormat="1" applyFont="1" applyFill="1" applyAlignment="1">
      <alignment horizontal="left" wrapText="1"/>
    </xf>
    <xf numFmtId="49" fontId="91" fillId="0" borderId="0" xfId="0" applyNumberFormat="1" applyFont="1" applyAlignment="1">
      <alignment horizontal="left" wrapText="1"/>
    </xf>
    <xf numFmtId="49" fontId="15" fillId="0" borderId="0" xfId="0" applyNumberFormat="1" applyFont="1" applyAlignment="1">
      <alignment wrapText="1"/>
    </xf>
    <xf numFmtId="49" fontId="15" fillId="62" borderId="13" xfId="0" applyNumberFormat="1" applyFont="1" applyFill="1" applyBorder="1" applyAlignment="1">
      <alignment wrapText="1"/>
    </xf>
    <xf numFmtId="49" fontId="97" fillId="0" borderId="0" xfId="0" applyNumberFormat="1" applyFont="1" applyAlignment="1">
      <alignment wrapText="1"/>
    </xf>
    <xf numFmtId="49" fontId="95" fillId="0" borderId="0" xfId="0" applyNumberFormat="1" applyFont="1"/>
    <xf numFmtId="49" fontId="15" fillId="62" borderId="18" xfId="0" applyNumberFormat="1" applyFont="1" applyFill="1" applyBorder="1" applyAlignment="1">
      <alignment wrapText="1"/>
    </xf>
    <xf numFmtId="49" fontId="95" fillId="0" borderId="0" xfId="0" applyNumberFormat="1" applyFont="1" applyAlignment="1">
      <alignment wrapText="1"/>
    </xf>
    <xf numFmtId="49" fontId="100" fillId="0" borderId="0" xfId="0" applyNumberFormat="1" applyFont="1" applyAlignment="1">
      <alignment wrapText="1"/>
    </xf>
    <xf numFmtId="9" fontId="15" fillId="0" borderId="0" xfId="337" applyFont="1"/>
    <xf numFmtId="9" fontId="44" fillId="0" borderId="0" xfId="337" applyFont="1"/>
    <xf numFmtId="0" fontId="22" fillId="0" borderId="27" xfId="0" applyFont="1" applyBorder="1" applyAlignment="1">
      <alignment horizontal="right" wrapText="1"/>
    </xf>
    <xf numFmtId="0" fontId="102" fillId="0" borderId="5" xfId="0" applyFont="1" applyBorder="1" applyAlignment="1">
      <alignment horizontal="right" wrapText="1"/>
    </xf>
    <xf numFmtId="0" fontId="102" fillId="0" borderId="0" xfId="0" applyFont="1" applyAlignment="1">
      <alignment horizontal="center" wrapText="1"/>
    </xf>
    <xf numFmtId="0" fontId="102" fillId="0" borderId="57" xfId="0" applyFont="1" applyBorder="1" applyAlignment="1">
      <alignment horizontal="center" wrapText="1"/>
    </xf>
    <xf numFmtId="0" fontId="22" fillId="61" borderId="56" xfId="0" applyFont="1" applyFill="1" applyBorder="1" applyAlignment="1">
      <alignment horizontal="left" vertical="top" wrapText="1"/>
    </xf>
    <xf numFmtId="0" fontId="22" fillId="61" borderId="45" xfId="0" applyFont="1" applyFill="1" applyBorder="1" applyAlignment="1">
      <alignment horizontal="left" vertical="top" wrapText="1"/>
    </xf>
    <xf numFmtId="0" fontId="32" fillId="0" borderId="58" xfId="0" applyFont="1" applyBorder="1" applyAlignment="1">
      <alignment vertical="top" wrapText="1"/>
    </xf>
    <xf numFmtId="0" fontId="32" fillId="0" borderId="54" xfId="0" applyFont="1" applyBorder="1" applyAlignment="1">
      <alignment horizontal="left" vertical="top" wrapText="1"/>
    </xf>
    <xf numFmtId="0" fontId="22" fillId="61" borderId="44" xfId="0" applyFont="1" applyFill="1" applyBorder="1" applyAlignment="1">
      <alignment horizontal="left" vertical="top" wrapText="1"/>
    </xf>
    <xf numFmtId="0" fontId="32" fillId="0" borderId="59" xfId="0" applyFont="1" applyBorder="1" applyAlignment="1">
      <alignment vertical="top" wrapText="1"/>
    </xf>
    <xf numFmtId="0" fontId="32" fillId="61" borderId="45" xfId="0" applyFont="1" applyFill="1" applyBorder="1" applyAlignment="1">
      <alignment vertical="top" wrapText="1"/>
    </xf>
    <xf numFmtId="0" fontId="104" fillId="61" borderId="60" xfId="0" applyFont="1" applyFill="1" applyBorder="1" applyAlignment="1">
      <alignment horizontal="left" vertical="top" wrapText="1"/>
    </xf>
    <xf numFmtId="0" fontId="32" fillId="61" borderId="61" xfId="0" applyFont="1" applyFill="1" applyBorder="1" applyAlignment="1">
      <alignment wrapText="1"/>
    </xf>
    <xf numFmtId="0" fontId="32" fillId="0" borderId="62" xfId="0" applyFont="1" applyBorder="1" applyAlignment="1">
      <alignment wrapText="1"/>
    </xf>
    <xf numFmtId="0" fontId="98" fillId="69" borderId="3" xfId="0" applyFont="1" applyFill="1" applyBorder="1" applyAlignment="1">
      <alignment horizontal="center" vertical="center" wrapText="1"/>
    </xf>
    <xf numFmtId="0" fontId="98" fillId="67" borderId="3" xfId="0" applyFont="1" applyFill="1" applyBorder="1" applyAlignment="1">
      <alignment horizontal="center" vertical="center" wrapText="1"/>
    </xf>
    <xf numFmtId="0" fontId="98" fillId="0" borderId="28" xfId="0" applyFont="1" applyBorder="1" applyAlignment="1">
      <alignment horizontal="center" wrapText="1"/>
    </xf>
    <xf numFmtId="0" fontId="98" fillId="69" borderId="20" xfId="0" applyFont="1" applyFill="1" applyBorder="1" applyAlignment="1">
      <alignment horizontal="center" vertical="center" wrapText="1"/>
    </xf>
    <xf numFmtId="174" fontId="118" fillId="64" borderId="111" xfId="533" applyNumberFormat="1" applyFont="1" applyFill="1" applyBorder="1" applyAlignment="1">
      <alignment horizontal="left"/>
    </xf>
    <xf numFmtId="174" fontId="118" fillId="64" borderId="116" xfId="533" applyNumberFormat="1" applyFont="1" applyFill="1" applyBorder="1" applyAlignment="1">
      <alignment horizontal="left"/>
    </xf>
    <xf numFmtId="174" fontId="118" fillId="64" borderId="112" xfId="533" applyNumberFormat="1" applyFont="1" applyFill="1" applyBorder="1" applyAlignment="1">
      <alignment horizontal="center" wrapText="1"/>
    </xf>
    <xf numFmtId="174" fontId="118" fillId="64" borderId="11" xfId="533" applyNumberFormat="1" applyFont="1" applyFill="1" applyBorder="1" applyAlignment="1">
      <alignment horizontal="center" wrapText="1"/>
    </xf>
    <xf numFmtId="174" fontId="118" fillId="64" borderId="113" xfId="533" applyNumberFormat="1" applyFont="1" applyFill="1" applyBorder="1" applyAlignment="1">
      <alignment horizontal="center" vertical="center" wrapText="1"/>
    </xf>
    <xf numFmtId="174" fontId="118" fillId="64" borderId="114" xfId="533" applyNumberFormat="1" applyFont="1" applyFill="1" applyBorder="1" applyAlignment="1">
      <alignment horizontal="center" vertical="center" wrapText="1"/>
    </xf>
    <xf numFmtId="174" fontId="118" fillId="64" borderId="115" xfId="533" applyNumberFormat="1" applyFont="1" applyFill="1" applyBorder="1" applyAlignment="1">
      <alignment horizontal="center" vertical="center" wrapText="1"/>
    </xf>
    <xf numFmtId="44" fontId="119" fillId="64" borderId="112" xfId="530" applyFont="1" applyFill="1" applyBorder="1" applyAlignment="1">
      <alignment horizontal="center" vertical="center" wrapText="1"/>
    </xf>
    <xf numFmtId="44" fontId="119" fillId="64" borderId="11" xfId="530" applyFont="1" applyFill="1" applyBorder="1" applyAlignment="1">
      <alignment horizontal="center" vertical="center" wrapText="1"/>
    </xf>
    <xf numFmtId="0" fontId="116" fillId="0" borderId="0" xfId="532" applyFont="1" applyAlignment="1">
      <alignment horizontal="center"/>
    </xf>
    <xf numFmtId="0" fontId="91" fillId="69" borderId="21" xfId="0" applyFont="1" applyFill="1" applyBorder="1" applyAlignment="1">
      <alignment horizontal="center" vertical="center" wrapText="1"/>
    </xf>
    <xf numFmtId="0" fontId="91" fillId="69" borderId="0" xfId="0" applyFont="1" applyFill="1" applyAlignment="1">
      <alignment horizontal="center" vertical="center" wrapText="1"/>
    </xf>
    <xf numFmtId="0" fontId="115" fillId="0" borderId="3" xfId="0" applyFont="1" applyBorder="1" applyAlignment="1">
      <alignment horizontal="center" vertical="center"/>
    </xf>
    <xf numFmtId="0" fontId="91" fillId="69" borderId="3" xfId="0" applyFont="1" applyFill="1" applyBorder="1" applyAlignment="1">
      <alignment horizontal="center" vertical="center" wrapText="1"/>
    </xf>
    <xf numFmtId="0" fontId="113" fillId="73" borderId="108" xfId="527" applyFont="1" applyFill="1" applyBorder="1" applyAlignment="1">
      <alignment horizontal="center" vertical="center" textRotation="90"/>
    </xf>
    <xf numFmtId="0" fontId="113" fillId="73" borderId="109" xfId="527" applyFont="1" applyFill="1" applyBorder="1" applyAlignment="1">
      <alignment horizontal="center" vertical="center" textRotation="90"/>
    </xf>
    <xf numFmtId="0" fontId="113" fillId="0" borderId="63" xfId="527" applyFont="1" applyBorder="1" applyAlignment="1">
      <alignment horizontal="center" vertical="center"/>
    </xf>
    <xf numFmtId="0" fontId="8" fillId="0" borderId="64" xfId="527" applyFont="1" applyBorder="1"/>
    <xf numFmtId="194" fontId="113" fillId="0" borderId="77" xfId="527" applyNumberFormat="1" applyFont="1" applyBorder="1" applyAlignment="1">
      <alignment horizontal="center" vertical="center"/>
    </xf>
    <xf numFmtId="0" fontId="8" fillId="0" borderId="79" xfId="527" applyFont="1" applyBorder="1"/>
    <xf numFmtId="0" fontId="111" fillId="74" borderId="78" xfId="527" applyFont="1" applyFill="1" applyBorder="1" applyAlignment="1">
      <alignment horizontal="left" vertical="center"/>
    </xf>
    <xf numFmtId="0" fontId="8" fillId="0" borderId="77" xfId="527" applyFont="1" applyBorder="1"/>
    <xf numFmtId="0" fontId="8" fillId="0" borderId="80" xfId="527" applyFont="1" applyBorder="1"/>
    <xf numFmtId="0" fontId="110" fillId="72" borderId="71" xfId="527" applyFont="1" applyFill="1" applyBorder="1" applyAlignment="1">
      <alignment horizontal="center" vertical="center"/>
    </xf>
    <xf numFmtId="0" fontId="8" fillId="0" borderId="72" xfId="527" applyFont="1" applyBorder="1"/>
    <xf numFmtId="0" fontId="113" fillId="73" borderId="71" xfId="527" applyFont="1" applyFill="1" applyBorder="1" applyAlignment="1">
      <alignment horizontal="center" vertical="center"/>
    </xf>
    <xf numFmtId="0" fontId="8" fillId="0" borderId="76" xfId="527" applyFont="1" applyBorder="1"/>
    <xf numFmtId="0" fontId="113" fillId="73" borderId="76" xfId="527" applyFont="1" applyFill="1" applyBorder="1" applyAlignment="1">
      <alignment horizontal="center" vertical="center" shrinkToFit="1"/>
    </xf>
    <xf numFmtId="0" fontId="113" fillId="73" borderId="76" xfId="527" applyFont="1" applyFill="1" applyBorder="1" applyAlignment="1">
      <alignment horizontal="center" vertical="center"/>
    </xf>
    <xf numFmtId="0" fontId="113" fillId="73" borderId="72" xfId="527" applyFont="1" applyFill="1" applyBorder="1" applyAlignment="1">
      <alignment horizontal="center" vertical="center"/>
    </xf>
    <xf numFmtId="0" fontId="113" fillId="73" borderId="71" xfId="527" applyFont="1" applyFill="1" applyBorder="1" applyAlignment="1">
      <alignment horizontal="left" vertical="center"/>
    </xf>
    <xf numFmtId="0" fontId="113" fillId="73" borderId="72" xfId="527" applyFont="1" applyFill="1" applyBorder="1" applyAlignment="1">
      <alignment horizontal="left" vertical="center"/>
    </xf>
    <xf numFmtId="0" fontId="111" fillId="74" borderId="71" xfId="527" applyFont="1" applyFill="1" applyBorder="1" applyAlignment="1">
      <alignment horizontal="left" vertical="center"/>
    </xf>
    <xf numFmtId="0" fontId="111" fillId="74" borderId="72" xfId="527" applyFont="1" applyFill="1" applyBorder="1" applyAlignment="1">
      <alignment horizontal="left" vertical="center"/>
    </xf>
    <xf numFmtId="43" fontId="44" fillId="0" borderId="0" xfId="0" applyNumberFormat="1" applyFont="1"/>
  </cellXfs>
  <cellStyles count="536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4 3" xfId="5" xr:uid="{00000000-0005-0000-0000-000004000000}"/>
    <cellStyle name="20% - Accent5 2" xfId="6" xr:uid="{00000000-0005-0000-0000-000005000000}"/>
    <cellStyle name="20% - Accent6 2" xfId="7" xr:uid="{00000000-0005-0000-0000-000006000000}"/>
    <cellStyle name="20% - アクセント 1" xfId="8" xr:uid="{00000000-0005-0000-0000-000007000000}"/>
    <cellStyle name="20% - アクセント 2" xfId="9" xr:uid="{00000000-0005-0000-0000-000008000000}"/>
    <cellStyle name="20% - アクセント 3" xfId="10" xr:uid="{00000000-0005-0000-0000-000009000000}"/>
    <cellStyle name="20% - アクセント 4" xfId="11" xr:uid="{00000000-0005-0000-0000-00000A000000}"/>
    <cellStyle name="20% - アクセント 5" xfId="12" xr:uid="{00000000-0005-0000-0000-00000B000000}"/>
    <cellStyle name="20% - アクセント 6" xfId="13" xr:uid="{00000000-0005-0000-0000-00000C000000}"/>
    <cellStyle name="40% - Accent1 2" xfId="14" xr:uid="{00000000-0005-0000-0000-00000D000000}"/>
    <cellStyle name="40% - Accent2 2" xfId="15" xr:uid="{00000000-0005-0000-0000-00000E000000}"/>
    <cellStyle name="40% - Accent3 2" xfId="16" xr:uid="{00000000-0005-0000-0000-00000F000000}"/>
    <cellStyle name="40% - Accent4 2" xfId="17" xr:uid="{00000000-0005-0000-0000-000010000000}"/>
    <cellStyle name="40% - Accent5 2" xfId="18" xr:uid="{00000000-0005-0000-0000-000011000000}"/>
    <cellStyle name="40% - Accent6 2" xfId="19" xr:uid="{00000000-0005-0000-0000-000012000000}"/>
    <cellStyle name="40% - アクセント 1" xfId="20" xr:uid="{00000000-0005-0000-0000-000013000000}"/>
    <cellStyle name="40% - アクセント 2" xfId="21" xr:uid="{00000000-0005-0000-0000-000014000000}"/>
    <cellStyle name="40% - アクセント 3" xfId="22" xr:uid="{00000000-0005-0000-0000-000015000000}"/>
    <cellStyle name="40% - アクセント 4" xfId="23" xr:uid="{00000000-0005-0000-0000-000016000000}"/>
    <cellStyle name="40% - アクセント 5" xfId="24" xr:uid="{00000000-0005-0000-0000-000017000000}"/>
    <cellStyle name="40% - アクセント 6" xfId="25" xr:uid="{00000000-0005-0000-0000-000018000000}"/>
    <cellStyle name="60% - Accent1 2" xfId="26" xr:uid="{00000000-0005-0000-0000-000019000000}"/>
    <cellStyle name="60% - Accent2 2" xfId="27" xr:uid="{00000000-0005-0000-0000-00001A000000}"/>
    <cellStyle name="60% - Accent3 2" xfId="28" xr:uid="{00000000-0005-0000-0000-00001B000000}"/>
    <cellStyle name="60% - Accent4 2" xfId="29" xr:uid="{00000000-0005-0000-0000-00001C000000}"/>
    <cellStyle name="60% - Accent5 2" xfId="30" xr:uid="{00000000-0005-0000-0000-00001D000000}"/>
    <cellStyle name="60% - Accent6 2" xfId="31" xr:uid="{00000000-0005-0000-0000-00001E000000}"/>
    <cellStyle name="60% - アクセント 1" xfId="32" xr:uid="{00000000-0005-0000-0000-00001F000000}"/>
    <cellStyle name="60% - アクセント 2" xfId="33" xr:uid="{00000000-0005-0000-0000-000020000000}"/>
    <cellStyle name="60% - アクセント 3" xfId="34" xr:uid="{00000000-0005-0000-0000-000021000000}"/>
    <cellStyle name="60% - アクセント 4" xfId="35" xr:uid="{00000000-0005-0000-0000-000022000000}"/>
    <cellStyle name="60% - アクセント 5" xfId="36" xr:uid="{00000000-0005-0000-0000-000023000000}"/>
    <cellStyle name="60% - アクセント 6" xfId="37" xr:uid="{00000000-0005-0000-0000-000024000000}"/>
    <cellStyle name="Accent1 2" xfId="38" xr:uid="{00000000-0005-0000-0000-000025000000}"/>
    <cellStyle name="Accent2 2" xfId="39" xr:uid="{00000000-0005-0000-0000-000026000000}"/>
    <cellStyle name="Accent2 3" xfId="40" xr:uid="{00000000-0005-0000-0000-000027000000}"/>
    <cellStyle name="Accent3 2" xfId="41" xr:uid="{00000000-0005-0000-0000-000028000000}"/>
    <cellStyle name="Accent4 2" xfId="42" xr:uid="{00000000-0005-0000-0000-000029000000}"/>
    <cellStyle name="Accent5 2" xfId="43" xr:uid="{00000000-0005-0000-0000-00002A000000}"/>
    <cellStyle name="Accent6 2" xfId="44" xr:uid="{00000000-0005-0000-0000-00002B000000}"/>
    <cellStyle name="arial12" xfId="45" xr:uid="{00000000-0005-0000-0000-00002C000000}"/>
    <cellStyle name="arial14" xfId="46" xr:uid="{00000000-0005-0000-0000-00002D000000}"/>
    <cellStyle name="B&amp;P" xfId="47" xr:uid="{00000000-0005-0000-0000-00002E000000}"/>
    <cellStyle name="Bad 2" xfId="48" xr:uid="{00000000-0005-0000-0000-00002F000000}"/>
    <cellStyle name="Calculation 2" xfId="49" xr:uid="{00000000-0005-0000-0000-000030000000}"/>
    <cellStyle name="Check Cell 2" xfId="50" xr:uid="{00000000-0005-0000-0000-000031000000}"/>
    <cellStyle name="Check Cell 3" xfId="51" xr:uid="{00000000-0005-0000-0000-000032000000}"/>
    <cellStyle name="Comma" xfId="52" builtinId="3"/>
    <cellStyle name="Comma 10" xfId="528" xr:uid="{B0BC0DB1-7E12-4401-9850-5ECD94DE411E}"/>
    <cellStyle name="Comma 11" xfId="535" xr:uid="{C07721B0-9601-48D3-98A7-8A52C0749169}"/>
    <cellStyle name="Comma 2" xfId="53" xr:uid="{00000000-0005-0000-0000-000034000000}"/>
    <cellStyle name="Comma 2 2" xfId="54" xr:uid="{00000000-0005-0000-0000-000035000000}"/>
    <cellStyle name="Comma 2 2 2" xfId="55" xr:uid="{00000000-0005-0000-0000-000036000000}"/>
    <cellStyle name="Comma 2 2 2 2" xfId="56" xr:uid="{00000000-0005-0000-0000-000037000000}"/>
    <cellStyle name="Comma 2 2 3" xfId="57" xr:uid="{00000000-0005-0000-0000-000038000000}"/>
    <cellStyle name="Comma 2 2 4" xfId="58" xr:uid="{00000000-0005-0000-0000-000039000000}"/>
    <cellStyle name="Comma 2 3" xfId="59" xr:uid="{00000000-0005-0000-0000-00003A000000}"/>
    <cellStyle name="Comma 2 3 2" xfId="60" xr:uid="{00000000-0005-0000-0000-00003B000000}"/>
    <cellStyle name="Comma 2 4" xfId="61" xr:uid="{00000000-0005-0000-0000-00003C000000}"/>
    <cellStyle name="Comma 2 5" xfId="516" xr:uid="{66BAD9F9-31B2-4317-B24D-5D5A31C0F80D}"/>
    <cellStyle name="Comma 2_CHF Armenia SSIP Budget 08 22 2009 Final Internal" xfId="62" xr:uid="{00000000-0005-0000-0000-00003D000000}"/>
    <cellStyle name="Comma 3" xfId="63" xr:uid="{00000000-0005-0000-0000-00003E000000}"/>
    <cellStyle name="Comma 3 2" xfId="64" xr:uid="{00000000-0005-0000-0000-00003F000000}"/>
    <cellStyle name="Comma 3 3" xfId="65" xr:uid="{00000000-0005-0000-0000-000040000000}"/>
    <cellStyle name="Comma 3 4" xfId="66" xr:uid="{00000000-0005-0000-0000-000041000000}"/>
    <cellStyle name="Comma 4" xfId="67" xr:uid="{00000000-0005-0000-0000-000042000000}"/>
    <cellStyle name="Comma 4 2" xfId="68" xr:uid="{00000000-0005-0000-0000-000043000000}"/>
    <cellStyle name="Comma 4 3" xfId="69" xr:uid="{00000000-0005-0000-0000-000044000000}"/>
    <cellStyle name="Comma 4 4" xfId="70" xr:uid="{00000000-0005-0000-0000-000045000000}"/>
    <cellStyle name="Comma 5" xfId="71" xr:uid="{00000000-0005-0000-0000-000046000000}"/>
    <cellStyle name="Comma 5 2" xfId="72" xr:uid="{00000000-0005-0000-0000-000047000000}"/>
    <cellStyle name="Comma 5 2 2" xfId="73" xr:uid="{00000000-0005-0000-0000-000048000000}"/>
    <cellStyle name="Comma 5 3" xfId="74" xr:uid="{00000000-0005-0000-0000-000049000000}"/>
    <cellStyle name="Comma 6" xfId="75" xr:uid="{00000000-0005-0000-0000-00004A000000}"/>
    <cellStyle name="Comma 6 2" xfId="76" xr:uid="{00000000-0005-0000-0000-00004B000000}"/>
    <cellStyle name="Comma 6 2 2" xfId="77" xr:uid="{00000000-0005-0000-0000-00004C000000}"/>
    <cellStyle name="Comma 6 3" xfId="78" xr:uid="{00000000-0005-0000-0000-00004D000000}"/>
    <cellStyle name="Comma 6 4" xfId="79" xr:uid="{00000000-0005-0000-0000-00004E000000}"/>
    <cellStyle name="Comma 7" xfId="80" xr:uid="{00000000-0005-0000-0000-00004F000000}"/>
    <cellStyle name="Comma 7 2" xfId="81" xr:uid="{00000000-0005-0000-0000-000050000000}"/>
    <cellStyle name="Comma 8" xfId="82" xr:uid="{00000000-0005-0000-0000-000051000000}"/>
    <cellStyle name="Comma 8 2" xfId="83" xr:uid="{00000000-0005-0000-0000-000052000000}"/>
    <cellStyle name="Comma 9" xfId="84" xr:uid="{00000000-0005-0000-0000-000053000000}"/>
    <cellStyle name="Comma0" xfId="85" xr:uid="{00000000-0005-0000-0000-000054000000}"/>
    <cellStyle name="Comma0 - Style2" xfId="86" xr:uid="{00000000-0005-0000-0000-000055000000}"/>
    <cellStyle name="Comma0 - Style3" xfId="87" xr:uid="{00000000-0005-0000-0000-000056000000}"/>
    <cellStyle name="Comma0 2" xfId="88" xr:uid="{00000000-0005-0000-0000-000057000000}"/>
    <cellStyle name="Comma0 3" xfId="89" xr:uid="{00000000-0005-0000-0000-000058000000}"/>
    <cellStyle name="Comma0 4" xfId="90" xr:uid="{00000000-0005-0000-0000-000059000000}"/>
    <cellStyle name="Comma0_Copy of S3R-0167pricing v3 Option B _ GMH" xfId="91" xr:uid="{00000000-0005-0000-0000-00005A000000}"/>
    <cellStyle name="Comma1 - Style1" xfId="92" xr:uid="{00000000-0005-0000-0000-00005B000000}"/>
    <cellStyle name="Curren - Style1" xfId="93" xr:uid="{00000000-0005-0000-0000-00005C000000}"/>
    <cellStyle name="Curren - Style2" xfId="94" xr:uid="{00000000-0005-0000-0000-00005D000000}"/>
    <cellStyle name="Curren - Style3" xfId="95" xr:uid="{00000000-0005-0000-0000-00005E000000}"/>
    <cellStyle name="Curren - Style4" xfId="96" xr:uid="{00000000-0005-0000-0000-00005F000000}"/>
    <cellStyle name="Curren - Style5" xfId="97" xr:uid="{00000000-0005-0000-0000-000060000000}"/>
    <cellStyle name="Currency" xfId="98" builtinId="4"/>
    <cellStyle name="Currency 10" xfId="99" xr:uid="{00000000-0005-0000-0000-000062000000}"/>
    <cellStyle name="Currency 11" xfId="522" xr:uid="{7F3E61D0-D818-4CF7-82EE-724BBD2C8466}"/>
    <cellStyle name="Currency 11 2" xfId="530" xr:uid="{FD38EDC2-9EF9-4091-927C-7B6B90B65C5D}"/>
    <cellStyle name="Currency 12" xfId="529" xr:uid="{0E33AA3D-A236-4E84-AC1D-EA9D8067996F}"/>
    <cellStyle name="Currency 2" xfId="100" xr:uid="{00000000-0005-0000-0000-000063000000}"/>
    <cellStyle name="Currency 2 2" xfId="101" xr:uid="{00000000-0005-0000-0000-000064000000}"/>
    <cellStyle name="Currency 2 2 2" xfId="102" xr:uid="{00000000-0005-0000-0000-000065000000}"/>
    <cellStyle name="Currency 2 3" xfId="103" xr:uid="{00000000-0005-0000-0000-000066000000}"/>
    <cellStyle name="Currency 2 4" xfId="524" xr:uid="{6C32C04A-8938-4B05-8897-490CAB41CAA0}"/>
    <cellStyle name="Currency 22" xfId="104" xr:uid="{00000000-0005-0000-0000-000067000000}"/>
    <cellStyle name="Currency 3" xfId="105" xr:uid="{00000000-0005-0000-0000-000068000000}"/>
    <cellStyle name="Currency 3 2" xfId="106" xr:uid="{00000000-0005-0000-0000-000069000000}"/>
    <cellStyle name="Currency 4" xfId="107" xr:uid="{00000000-0005-0000-0000-00006A000000}"/>
    <cellStyle name="Currency 4 2" xfId="108" xr:uid="{00000000-0005-0000-0000-00006B000000}"/>
    <cellStyle name="Currency 4 2 2" xfId="109" xr:uid="{00000000-0005-0000-0000-00006C000000}"/>
    <cellStyle name="Currency 4 3" xfId="110" xr:uid="{00000000-0005-0000-0000-00006D000000}"/>
    <cellStyle name="Currency 5" xfId="111" xr:uid="{00000000-0005-0000-0000-00006E000000}"/>
    <cellStyle name="Currency 5 2" xfId="112" xr:uid="{00000000-0005-0000-0000-00006F000000}"/>
    <cellStyle name="Currency 5 3" xfId="113" xr:uid="{00000000-0005-0000-0000-000070000000}"/>
    <cellStyle name="Currency 5 4" xfId="114" xr:uid="{00000000-0005-0000-0000-000071000000}"/>
    <cellStyle name="Currency 6" xfId="115" xr:uid="{00000000-0005-0000-0000-000072000000}"/>
    <cellStyle name="Currency 6 2" xfId="116" xr:uid="{00000000-0005-0000-0000-000073000000}"/>
    <cellStyle name="Currency 7" xfId="117" xr:uid="{00000000-0005-0000-0000-000074000000}"/>
    <cellStyle name="Currency 8" xfId="118" xr:uid="{00000000-0005-0000-0000-000075000000}"/>
    <cellStyle name="Currency 9" xfId="119" xr:uid="{00000000-0005-0000-0000-000076000000}"/>
    <cellStyle name="Currency0" xfId="120" xr:uid="{00000000-0005-0000-0000-000077000000}"/>
    <cellStyle name="Date" xfId="121" xr:uid="{00000000-0005-0000-0000-000078000000}"/>
    <cellStyle name="Date 2" xfId="122" xr:uid="{00000000-0005-0000-0000-000079000000}"/>
    <cellStyle name="DateTime" xfId="123" xr:uid="{00000000-0005-0000-0000-00007A000000}"/>
    <cellStyle name="Desc" xfId="124" xr:uid="{00000000-0005-0000-0000-00007B000000}"/>
    <cellStyle name="dollar" xfId="125" xr:uid="{00000000-0005-0000-0000-00007C000000}"/>
    <cellStyle name="Euro" xfId="126" xr:uid="{00000000-0005-0000-0000-00007D000000}"/>
    <cellStyle name="Explanatory Text 2" xfId="127" xr:uid="{00000000-0005-0000-0000-00007E000000}"/>
    <cellStyle name="F2" xfId="128" xr:uid="{00000000-0005-0000-0000-00007F000000}"/>
    <cellStyle name="F3" xfId="129" xr:uid="{00000000-0005-0000-0000-000080000000}"/>
    <cellStyle name="F4" xfId="130" xr:uid="{00000000-0005-0000-0000-000081000000}"/>
    <cellStyle name="F5" xfId="131" xr:uid="{00000000-0005-0000-0000-000082000000}"/>
    <cellStyle name="F6" xfId="132" xr:uid="{00000000-0005-0000-0000-000083000000}"/>
    <cellStyle name="F7" xfId="133" xr:uid="{00000000-0005-0000-0000-000084000000}"/>
    <cellStyle name="F8" xfId="134" xr:uid="{00000000-0005-0000-0000-000085000000}"/>
    <cellStyle name="Fixed" xfId="135" xr:uid="{00000000-0005-0000-0000-000086000000}"/>
    <cellStyle name="Fixed 2" xfId="136" xr:uid="{00000000-0005-0000-0000-000087000000}"/>
    <cellStyle name="FRxAmtStyle" xfId="137" xr:uid="{00000000-0005-0000-0000-000088000000}"/>
    <cellStyle name="FRxCurrStyle" xfId="138" xr:uid="{00000000-0005-0000-0000-000089000000}"/>
    <cellStyle name="FRxPcntStyle" xfId="139" xr:uid="{00000000-0005-0000-0000-00008A000000}"/>
    <cellStyle name="Good 2" xfId="140" xr:uid="{00000000-0005-0000-0000-00008B000000}"/>
    <cellStyle name="Good 3" xfId="141" xr:uid="{00000000-0005-0000-0000-00008C000000}"/>
    <cellStyle name="Good 4" xfId="142" xr:uid="{00000000-0005-0000-0000-00008D000000}"/>
    <cellStyle name="Green cell" xfId="143" xr:uid="{00000000-0005-0000-0000-00008E000000}"/>
    <cellStyle name="Green cell 2" xfId="144" xr:uid="{00000000-0005-0000-0000-00008F000000}"/>
    <cellStyle name="Green cell 2 2" xfId="145" xr:uid="{00000000-0005-0000-0000-000090000000}"/>
    <cellStyle name="Green cell 2 2 2" xfId="146" xr:uid="{00000000-0005-0000-0000-000091000000}"/>
    <cellStyle name="Green cell 2 3" xfId="147" xr:uid="{00000000-0005-0000-0000-000092000000}"/>
    <cellStyle name="Green cell 3" xfId="148" xr:uid="{00000000-0005-0000-0000-000093000000}"/>
    <cellStyle name="Green cell 3 2" xfId="149" xr:uid="{00000000-0005-0000-0000-000094000000}"/>
    <cellStyle name="Green cell 3 2 2" xfId="150" xr:uid="{00000000-0005-0000-0000-000095000000}"/>
    <cellStyle name="Green cell 3 3" xfId="151" xr:uid="{00000000-0005-0000-0000-000096000000}"/>
    <cellStyle name="Green cell 4" xfId="152" xr:uid="{00000000-0005-0000-0000-000097000000}"/>
    <cellStyle name="Green cell 4 2" xfId="153" xr:uid="{00000000-0005-0000-0000-000098000000}"/>
    <cellStyle name="Green cell 4 2 2" xfId="154" xr:uid="{00000000-0005-0000-0000-000099000000}"/>
    <cellStyle name="Green cell 4 3" xfId="155" xr:uid="{00000000-0005-0000-0000-00009A000000}"/>
    <cellStyle name="Green cell 5" xfId="156" xr:uid="{00000000-0005-0000-0000-00009B000000}"/>
    <cellStyle name="Green cell 5 2" xfId="157" xr:uid="{00000000-0005-0000-0000-00009C000000}"/>
    <cellStyle name="Grey" xfId="158" xr:uid="{00000000-0005-0000-0000-00009D000000}"/>
    <cellStyle name="Header" xfId="159" xr:uid="{00000000-0005-0000-0000-00009E000000}"/>
    <cellStyle name="Header1" xfId="160" xr:uid="{00000000-0005-0000-0000-00009F000000}"/>
    <cellStyle name="Header2" xfId="161" xr:uid="{00000000-0005-0000-0000-0000A0000000}"/>
    <cellStyle name="Header2 2" xfId="162" xr:uid="{00000000-0005-0000-0000-0000A1000000}"/>
    <cellStyle name="Header2 2 2" xfId="163" xr:uid="{00000000-0005-0000-0000-0000A2000000}"/>
    <cellStyle name="Header2 2 2 2" xfId="164" xr:uid="{00000000-0005-0000-0000-0000A3000000}"/>
    <cellStyle name="Header2 2 3" xfId="165" xr:uid="{00000000-0005-0000-0000-0000A4000000}"/>
    <cellStyle name="Header2 3" xfId="166" xr:uid="{00000000-0005-0000-0000-0000A5000000}"/>
    <cellStyle name="Header2 3 2" xfId="167" xr:uid="{00000000-0005-0000-0000-0000A6000000}"/>
    <cellStyle name="Header2 3 2 2" xfId="168" xr:uid="{00000000-0005-0000-0000-0000A7000000}"/>
    <cellStyle name="Header2 3 3" xfId="169" xr:uid="{00000000-0005-0000-0000-0000A8000000}"/>
    <cellStyle name="Header2 4" xfId="170" xr:uid="{00000000-0005-0000-0000-0000A9000000}"/>
    <cellStyle name="Header2 4 2" xfId="171" xr:uid="{00000000-0005-0000-0000-0000AA000000}"/>
    <cellStyle name="Heading 1 2" xfId="172" xr:uid="{00000000-0005-0000-0000-0000AB000000}"/>
    <cellStyle name="Heading 2 2" xfId="173" xr:uid="{00000000-0005-0000-0000-0000AC000000}"/>
    <cellStyle name="Heading 3 2" xfId="174" xr:uid="{00000000-0005-0000-0000-0000AD000000}"/>
    <cellStyle name="Heading 4 2" xfId="175" xr:uid="{00000000-0005-0000-0000-0000AE000000}"/>
    <cellStyle name="HEADING1" xfId="176" xr:uid="{00000000-0005-0000-0000-0000AF000000}"/>
    <cellStyle name="HEADING2" xfId="177" xr:uid="{00000000-0005-0000-0000-0000B0000000}"/>
    <cellStyle name="Hyperlink 2" xfId="178" xr:uid="{00000000-0005-0000-0000-0000B1000000}"/>
    <cellStyle name="Hyperlink 2 2" xfId="179" xr:uid="{00000000-0005-0000-0000-0000B2000000}"/>
    <cellStyle name="Hyperlink 2 3" xfId="180" xr:uid="{00000000-0005-0000-0000-0000B3000000}"/>
    <cellStyle name="Hyperlink 3" xfId="181" xr:uid="{00000000-0005-0000-0000-0000B4000000}"/>
    <cellStyle name="Hyperlink 3 2" xfId="182" xr:uid="{00000000-0005-0000-0000-0000B5000000}"/>
    <cellStyle name="Hyperlink 3 3" xfId="183" xr:uid="{00000000-0005-0000-0000-0000B6000000}"/>
    <cellStyle name="Hyperlink 3 4" xfId="184" xr:uid="{00000000-0005-0000-0000-0000B7000000}"/>
    <cellStyle name="Hyperlink 3 5" xfId="185" xr:uid="{00000000-0005-0000-0000-0000B8000000}"/>
    <cellStyle name="Hyperlink 4" xfId="186" xr:uid="{00000000-0005-0000-0000-0000B9000000}"/>
    <cellStyle name="Hyperlink 5" xfId="187" xr:uid="{00000000-0005-0000-0000-0000BA000000}"/>
    <cellStyle name="Input [yellow]" xfId="188" xr:uid="{00000000-0005-0000-0000-0000BB000000}"/>
    <cellStyle name="Input [yellow] 2" xfId="189" xr:uid="{00000000-0005-0000-0000-0000BC000000}"/>
    <cellStyle name="Input [yellow] 2 2" xfId="190" xr:uid="{00000000-0005-0000-0000-0000BD000000}"/>
    <cellStyle name="Input [yellow] 2 2 2" xfId="191" xr:uid="{00000000-0005-0000-0000-0000BE000000}"/>
    <cellStyle name="Input [yellow] 2 3" xfId="192" xr:uid="{00000000-0005-0000-0000-0000BF000000}"/>
    <cellStyle name="Input [yellow] 3" xfId="193" xr:uid="{00000000-0005-0000-0000-0000C0000000}"/>
    <cellStyle name="Input [yellow] 3 2" xfId="194" xr:uid="{00000000-0005-0000-0000-0000C1000000}"/>
    <cellStyle name="Input [yellow] 3 2 2" xfId="195" xr:uid="{00000000-0005-0000-0000-0000C2000000}"/>
    <cellStyle name="Input [yellow] 3 3" xfId="196" xr:uid="{00000000-0005-0000-0000-0000C3000000}"/>
    <cellStyle name="Input [yellow] 4" xfId="197" xr:uid="{00000000-0005-0000-0000-0000C4000000}"/>
    <cellStyle name="Input [yellow] 4 2" xfId="198" xr:uid="{00000000-0005-0000-0000-0000C5000000}"/>
    <cellStyle name="Input [yellow] 4 2 2" xfId="199" xr:uid="{00000000-0005-0000-0000-0000C6000000}"/>
    <cellStyle name="Input [yellow] 4 3" xfId="200" xr:uid="{00000000-0005-0000-0000-0000C7000000}"/>
    <cellStyle name="Input [yellow] 5" xfId="201" xr:uid="{00000000-0005-0000-0000-0000C8000000}"/>
    <cellStyle name="Input [yellow] 5 2" xfId="202" xr:uid="{00000000-0005-0000-0000-0000C9000000}"/>
    <cellStyle name="Input 2" xfId="203" xr:uid="{00000000-0005-0000-0000-0000CA000000}"/>
    <cellStyle name="Jim" xfId="204" xr:uid="{00000000-0005-0000-0000-0000CB000000}"/>
    <cellStyle name="Jim 2" xfId="205" xr:uid="{00000000-0005-0000-0000-0000CC000000}"/>
    <cellStyle name="Jim 2 2" xfId="206" xr:uid="{00000000-0005-0000-0000-0000CD000000}"/>
    <cellStyle name="Jim 2 2 2" xfId="207" xr:uid="{00000000-0005-0000-0000-0000CE000000}"/>
    <cellStyle name="Jim 2 3" xfId="208" xr:uid="{00000000-0005-0000-0000-0000CF000000}"/>
    <cellStyle name="Jim 3" xfId="209" xr:uid="{00000000-0005-0000-0000-0000D0000000}"/>
    <cellStyle name="Jim 3 2" xfId="210" xr:uid="{00000000-0005-0000-0000-0000D1000000}"/>
    <cellStyle name="Jim 3 2 2" xfId="211" xr:uid="{00000000-0005-0000-0000-0000D2000000}"/>
    <cellStyle name="Jim 3 3" xfId="212" xr:uid="{00000000-0005-0000-0000-0000D3000000}"/>
    <cellStyle name="Jim 4" xfId="213" xr:uid="{00000000-0005-0000-0000-0000D4000000}"/>
    <cellStyle name="Jim 4 2" xfId="214" xr:uid="{00000000-0005-0000-0000-0000D5000000}"/>
    <cellStyle name="Jim 4 2 2" xfId="215" xr:uid="{00000000-0005-0000-0000-0000D6000000}"/>
    <cellStyle name="Jim 4 3" xfId="216" xr:uid="{00000000-0005-0000-0000-0000D7000000}"/>
    <cellStyle name="Jim 5" xfId="217" xr:uid="{00000000-0005-0000-0000-0000D8000000}"/>
    <cellStyle name="Jim 5 2" xfId="218" xr:uid="{00000000-0005-0000-0000-0000D9000000}"/>
    <cellStyle name="Linked Cell 2" xfId="219" xr:uid="{00000000-0005-0000-0000-0000DA000000}"/>
    <cellStyle name="Linked Cell 3" xfId="220" xr:uid="{00000000-0005-0000-0000-0000DB000000}"/>
    <cellStyle name="Locked" xfId="221" xr:uid="{00000000-0005-0000-0000-0000DC000000}"/>
    <cellStyle name="m/d/y" xfId="222" xr:uid="{00000000-0005-0000-0000-0000DD000000}"/>
    <cellStyle name="mm/dd/yy" xfId="223" xr:uid="{00000000-0005-0000-0000-0000DE000000}"/>
    <cellStyle name="N,NNN (blank 0)" xfId="224" xr:uid="{00000000-0005-0000-0000-0000DF000000}"/>
    <cellStyle name="Neutral 2" xfId="225" xr:uid="{00000000-0005-0000-0000-0000E0000000}"/>
    <cellStyle name="Neutral 3" xfId="226" xr:uid="{00000000-0005-0000-0000-0000E1000000}"/>
    <cellStyle name="Normal" xfId="0" builtinId="0"/>
    <cellStyle name="Normal - Style1" xfId="227" xr:uid="{00000000-0005-0000-0000-0000E3000000}"/>
    <cellStyle name="Normal 10" xfId="228" xr:uid="{00000000-0005-0000-0000-0000E4000000}"/>
    <cellStyle name="Normal 10 2" xfId="229" xr:uid="{00000000-0005-0000-0000-0000E5000000}"/>
    <cellStyle name="Normal 10 2 2" xfId="230" xr:uid="{00000000-0005-0000-0000-0000E6000000}"/>
    <cellStyle name="Normal 10 8" xfId="231" xr:uid="{00000000-0005-0000-0000-0000E7000000}"/>
    <cellStyle name="Normal 11" xfId="232" xr:uid="{00000000-0005-0000-0000-0000E8000000}"/>
    <cellStyle name="Normal 12" xfId="233" xr:uid="{00000000-0005-0000-0000-0000E9000000}"/>
    <cellStyle name="Normal 13" xfId="234" xr:uid="{00000000-0005-0000-0000-0000EA000000}"/>
    <cellStyle name="Normal 14" xfId="235" xr:uid="{00000000-0005-0000-0000-0000EB000000}"/>
    <cellStyle name="Normal 15" xfId="236" xr:uid="{00000000-0005-0000-0000-0000EC000000}"/>
    <cellStyle name="Normal 16" xfId="237" xr:uid="{00000000-0005-0000-0000-0000ED000000}"/>
    <cellStyle name="Normal 17" xfId="238" xr:uid="{00000000-0005-0000-0000-0000EE000000}"/>
    <cellStyle name="Normal 18" xfId="239" xr:uid="{00000000-0005-0000-0000-0000EF000000}"/>
    <cellStyle name="Normal 19" xfId="240" xr:uid="{00000000-0005-0000-0000-0000F0000000}"/>
    <cellStyle name="Normal 2" xfId="241" xr:uid="{00000000-0005-0000-0000-0000F1000000}"/>
    <cellStyle name="Normal 2 10" xfId="242" xr:uid="{00000000-0005-0000-0000-0000F2000000}"/>
    <cellStyle name="Normal 2 11" xfId="243" xr:uid="{00000000-0005-0000-0000-0000F3000000}"/>
    <cellStyle name="Normal 2 12" xfId="244" xr:uid="{00000000-0005-0000-0000-0000F4000000}"/>
    <cellStyle name="Normal 2 13" xfId="245" xr:uid="{00000000-0005-0000-0000-0000F5000000}"/>
    <cellStyle name="Normal 2 14" xfId="246" xr:uid="{00000000-0005-0000-0000-0000F6000000}"/>
    <cellStyle name="Normal 2 15" xfId="247" xr:uid="{00000000-0005-0000-0000-0000F7000000}"/>
    <cellStyle name="Normal 2 16" xfId="248" xr:uid="{00000000-0005-0000-0000-0000F8000000}"/>
    <cellStyle name="Normal 2 17" xfId="249" xr:uid="{00000000-0005-0000-0000-0000F9000000}"/>
    <cellStyle name="Normal 2 18" xfId="250" xr:uid="{00000000-0005-0000-0000-0000FA000000}"/>
    <cellStyle name="Normal 2 19" xfId="251" xr:uid="{00000000-0005-0000-0000-0000FB000000}"/>
    <cellStyle name="Normal 2 2" xfId="252" xr:uid="{00000000-0005-0000-0000-0000FC000000}"/>
    <cellStyle name="Normal 2 2 2" xfId="253" xr:uid="{00000000-0005-0000-0000-0000FD000000}"/>
    <cellStyle name="Normal 2 2 3" xfId="254" xr:uid="{00000000-0005-0000-0000-0000FE000000}"/>
    <cellStyle name="Normal 2 2 4" xfId="255" xr:uid="{00000000-0005-0000-0000-0000FF000000}"/>
    <cellStyle name="Normal 2 20" xfId="256" xr:uid="{00000000-0005-0000-0000-000000010000}"/>
    <cellStyle name="Normal 2 21" xfId="257" xr:uid="{00000000-0005-0000-0000-000001010000}"/>
    <cellStyle name="Normal 2 22" xfId="258" xr:uid="{00000000-0005-0000-0000-000002010000}"/>
    <cellStyle name="Normal 2 23" xfId="521" xr:uid="{3117EBDE-CC54-46E8-AF1B-1A5252C13AEC}"/>
    <cellStyle name="Normal 2 3" xfId="259" xr:uid="{00000000-0005-0000-0000-000003010000}"/>
    <cellStyle name="Normal 2 3 2" xfId="260" xr:uid="{00000000-0005-0000-0000-000004010000}"/>
    <cellStyle name="Normal 2 4" xfId="261" xr:uid="{00000000-0005-0000-0000-000005010000}"/>
    <cellStyle name="Normal 2 5" xfId="262" xr:uid="{00000000-0005-0000-0000-000006010000}"/>
    <cellStyle name="Normal 2 6" xfId="263" xr:uid="{00000000-0005-0000-0000-000007010000}"/>
    <cellStyle name="Normal 2 7" xfId="264" xr:uid="{00000000-0005-0000-0000-000008010000}"/>
    <cellStyle name="Normal 2 8" xfId="265" xr:uid="{00000000-0005-0000-0000-000009010000}"/>
    <cellStyle name="Normal 2 9" xfId="266" xr:uid="{00000000-0005-0000-0000-00000A010000}"/>
    <cellStyle name="Normal 2_ARD CEP 2 Budget Final" xfId="267" xr:uid="{00000000-0005-0000-0000-00000B010000}"/>
    <cellStyle name="Normal 20" xfId="268" xr:uid="{00000000-0005-0000-0000-00000C010000}"/>
    <cellStyle name="Normal 21" xfId="269" xr:uid="{00000000-0005-0000-0000-00000D010000}"/>
    <cellStyle name="Normal 22" xfId="270" xr:uid="{00000000-0005-0000-0000-00000E010000}"/>
    <cellStyle name="Normal 23" xfId="271" xr:uid="{00000000-0005-0000-0000-00000F010000}"/>
    <cellStyle name="Normal 24" xfId="272" xr:uid="{00000000-0005-0000-0000-000010010000}"/>
    <cellStyle name="Normal 25" xfId="273" xr:uid="{00000000-0005-0000-0000-000011010000}"/>
    <cellStyle name="Normal 26" xfId="274" xr:uid="{00000000-0005-0000-0000-000012010000}"/>
    <cellStyle name="Normal 27" xfId="275" xr:uid="{00000000-0005-0000-0000-000013010000}"/>
    <cellStyle name="Normal 28" xfId="276" xr:uid="{00000000-0005-0000-0000-000014010000}"/>
    <cellStyle name="Normal 29" xfId="277" xr:uid="{00000000-0005-0000-0000-000015010000}"/>
    <cellStyle name="Normal 3" xfId="278" xr:uid="{00000000-0005-0000-0000-000016010000}"/>
    <cellStyle name="Normal 3 2" xfId="279" xr:uid="{00000000-0005-0000-0000-000017010000}"/>
    <cellStyle name="Normal 3 2 2" xfId="280" xr:uid="{00000000-0005-0000-0000-000018010000}"/>
    <cellStyle name="Normal 3 2 2 2" xfId="281" xr:uid="{00000000-0005-0000-0000-000019010000}"/>
    <cellStyle name="Normal 3 2 2 3" xfId="282" xr:uid="{00000000-0005-0000-0000-00001A010000}"/>
    <cellStyle name="Normal 3 2 3" xfId="283" xr:uid="{00000000-0005-0000-0000-00001B010000}"/>
    <cellStyle name="Normal 3 2 3 2" xfId="284" xr:uid="{00000000-0005-0000-0000-00001C010000}"/>
    <cellStyle name="Normal 3 3" xfId="285" xr:uid="{00000000-0005-0000-0000-00001D010000}"/>
    <cellStyle name="Normal 3 4" xfId="286" xr:uid="{00000000-0005-0000-0000-00001E010000}"/>
    <cellStyle name="Normal 3_CHF-GEII Schools Rehab &amp; WatSan Combined Budget 9 7 2009 FINAL" xfId="287" xr:uid="{00000000-0005-0000-0000-00001F010000}"/>
    <cellStyle name="Normal 30" xfId="288" xr:uid="{00000000-0005-0000-0000-000020010000}"/>
    <cellStyle name="Normal 31" xfId="289" xr:uid="{00000000-0005-0000-0000-000021010000}"/>
    <cellStyle name="Normal 32" xfId="290" xr:uid="{00000000-0005-0000-0000-000022010000}"/>
    <cellStyle name="Normal 33" xfId="291" xr:uid="{00000000-0005-0000-0000-000023010000}"/>
    <cellStyle name="Normal 34" xfId="292" xr:uid="{00000000-0005-0000-0000-000024010000}"/>
    <cellStyle name="Normal 35" xfId="293" xr:uid="{00000000-0005-0000-0000-000025010000}"/>
    <cellStyle name="Normal 36" xfId="294" xr:uid="{00000000-0005-0000-0000-000026010000}"/>
    <cellStyle name="Normal 37" xfId="295" xr:uid="{00000000-0005-0000-0000-000027010000}"/>
    <cellStyle name="Normal 38" xfId="515" xr:uid="{D98FBAD3-AA2F-4AD7-8C43-93B948557DDD}"/>
    <cellStyle name="Normal 39" xfId="517" xr:uid="{9AB7FD94-7D35-4FE5-AF55-7668E4611BB7}"/>
    <cellStyle name="Normal 39 2" xfId="518" xr:uid="{318D78A5-79CE-4202-9905-7E5E7A60F1E7}"/>
    <cellStyle name="Normal 39 3" xfId="520" xr:uid="{7A9F400D-4917-4B3A-BDDD-8E81E9712054}"/>
    <cellStyle name="Normal 4" xfId="296" xr:uid="{00000000-0005-0000-0000-000028010000}"/>
    <cellStyle name="Normal 4 2" xfId="297" xr:uid="{00000000-0005-0000-0000-000029010000}"/>
    <cellStyle name="Normal 40" xfId="519" xr:uid="{8A08F67B-C5C6-4B8C-AA4A-943DE13FB1D9}"/>
    <cellStyle name="Normal 41" xfId="525" xr:uid="{229B1DDF-56C3-4C6A-889C-68A2198DEAF8}"/>
    <cellStyle name="Normal 41 2" xfId="534" xr:uid="{6DC8C72A-3B46-49B8-B3E7-02B27A32C733}"/>
    <cellStyle name="Normal 42" xfId="527" xr:uid="{02219EB9-FA1C-45F0-A594-341FA1BFE325}"/>
    <cellStyle name="Normal 43" xfId="532" xr:uid="{E8EE8600-576D-4146-81DE-D1E114924AE7}"/>
    <cellStyle name="Normal 44" xfId="298" xr:uid="{00000000-0005-0000-0000-00002A010000}"/>
    <cellStyle name="Normal 5" xfId="299" xr:uid="{00000000-0005-0000-0000-00002B010000}"/>
    <cellStyle name="Normal 5 2" xfId="300" xr:uid="{00000000-0005-0000-0000-00002C010000}"/>
    <cellStyle name="Normal 5 2 2" xfId="301" xr:uid="{00000000-0005-0000-0000-00002D010000}"/>
    <cellStyle name="Normal 5 2 3" xfId="302" xr:uid="{00000000-0005-0000-0000-00002E010000}"/>
    <cellStyle name="Normal 5_12 04 20 Iraq Budget_ICNL BACKUP" xfId="303" xr:uid="{00000000-0005-0000-0000-00002F010000}"/>
    <cellStyle name="Normal 6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7" xfId="307" xr:uid="{00000000-0005-0000-0000-000033010000}"/>
    <cellStyle name="Normal 7 2" xfId="308" xr:uid="{00000000-0005-0000-0000-000034010000}"/>
    <cellStyle name="Normal 7 2 2" xfId="309" xr:uid="{00000000-0005-0000-0000-000035010000}"/>
    <cellStyle name="Normal 7 2 3" xfId="310" xr:uid="{00000000-0005-0000-0000-000036010000}"/>
    <cellStyle name="Normal 7 2_12 04 20 Iraq Budget_ICNL BACKUP" xfId="311" xr:uid="{00000000-0005-0000-0000-000037010000}"/>
    <cellStyle name="Normal 7 3" xfId="312" xr:uid="{00000000-0005-0000-0000-000038010000}"/>
    <cellStyle name="Normal 7 3 2" xfId="313" xr:uid="{00000000-0005-0000-0000-000039010000}"/>
    <cellStyle name="Normal 7 3_12 04 20 Iraq Budget_ICNL BACKUP" xfId="314" xr:uid="{00000000-0005-0000-0000-00003A010000}"/>
    <cellStyle name="Normal 7 4" xfId="315" xr:uid="{00000000-0005-0000-0000-00003B010000}"/>
    <cellStyle name="Normal 7 5" xfId="316" xr:uid="{00000000-0005-0000-0000-00003C010000}"/>
    <cellStyle name="Normal 7 6" xfId="317" xr:uid="{00000000-0005-0000-0000-00003D010000}"/>
    <cellStyle name="Normal 7_12 04 20 Iraq Budget_ICNL BACKUP" xfId="318" xr:uid="{00000000-0005-0000-0000-00003E010000}"/>
    <cellStyle name="Normal 8" xfId="319" xr:uid="{00000000-0005-0000-0000-00003F010000}"/>
    <cellStyle name="Normal 8 2" xfId="320" xr:uid="{00000000-0005-0000-0000-000040010000}"/>
    <cellStyle name="Normal 8 3" xfId="321" xr:uid="{00000000-0005-0000-0000-000041010000}"/>
    <cellStyle name="Normal 8 4" xfId="322" xr:uid="{00000000-0005-0000-0000-000042010000}"/>
    <cellStyle name="Normal 8 5" xfId="323" xr:uid="{00000000-0005-0000-0000-000043010000}"/>
    <cellStyle name="Normal 8 6" xfId="324" xr:uid="{00000000-0005-0000-0000-000044010000}"/>
    <cellStyle name="Normal 8_12 04 20 Iraq Budget_ICNL BACKUP" xfId="325" xr:uid="{00000000-0005-0000-0000-000045010000}"/>
    <cellStyle name="Normal 9" xfId="326" xr:uid="{00000000-0005-0000-0000-000046010000}"/>
    <cellStyle name="Normal 9 2" xfId="327" xr:uid="{00000000-0005-0000-0000-000047010000}"/>
    <cellStyle name="Normal_UKRAINE SME BUDGET" xfId="533" xr:uid="{51025841-864E-4E2E-96AF-54B75841C10D}"/>
    <cellStyle name="Note 2" xfId="328" xr:uid="{00000000-0005-0000-0000-000048010000}"/>
    <cellStyle name="Number" xfId="329" xr:uid="{00000000-0005-0000-0000-000049010000}"/>
    <cellStyle name="Number 2" xfId="330" xr:uid="{00000000-0005-0000-0000-00004A010000}"/>
    <cellStyle name="number 3" xfId="331" xr:uid="{00000000-0005-0000-0000-00004B010000}"/>
    <cellStyle name="number 3 2" xfId="332" xr:uid="{00000000-0005-0000-0000-00004C010000}"/>
    <cellStyle name="Option" xfId="333" xr:uid="{00000000-0005-0000-0000-00004D010000}"/>
    <cellStyle name="Output 2" xfId="334" xr:uid="{00000000-0005-0000-0000-00004E010000}"/>
    <cellStyle name="Percen - Style1" xfId="335" xr:uid="{00000000-0005-0000-0000-00004F010000}"/>
    <cellStyle name="Percen - Style3" xfId="336" xr:uid="{00000000-0005-0000-0000-000050010000}"/>
    <cellStyle name="Percent" xfId="337" builtinId="5"/>
    <cellStyle name="Percent [0]" xfId="338" xr:uid="{00000000-0005-0000-0000-000052010000}"/>
    <cellStyle name="Percent [2]" xfId="339" xr:uid="{00000000-0005-0000-0000-000053010000}"/>
    <cellStyle name="Percent 10" xfId="523" xr:uid="{F2AB75FB-EB56-43CF-9F9C-054A28781697}"/>
    <cellStyle name="Percent 10 2" xfId="531" xr:uid="{A24DFD77-D241-4638-909B-E85E2C54D57D}"/>
    <cellStyle name="Percent 2" xfId="340" xr:uid="{00000000-0005-0000-0000-000054010000}"/>
    <cellStyle name="Percent 2 2" xfId="341" xr:uid="{00000000-0005-0000-0000-000055010000}"/>
    <cellStyle name="Percent 2 2 2" xfId="342" xr:uid="{00000000-0005-0000-0000-000056010000}"/>
    <cellStyle name="Percent 2 2 3" xfId="343" xr:uid="{00000000-0005-0000-0000-000057010000}"/>
    <cellStyle name="Percent 2 2 4" xfId="344" xr:uid="{00000000-0005-0000-0000-000058010000}"/>
    <cellStyle name="Percent 2 3" xfId="345" xr:uid="{00000000-0005-0000-0000-000059010000}"/>
    <cellStyle name="Percent 2 3 2" xfId="346" xr:uid="{00000000-0005-0000-0000-00005A010000}"/>
    <cellStyle name="Percent 2 4" xfId="526" xr:uid="{3F9F6B81-C47C-4496-B2B1-30CC3037A95D}"/>
    <cellStyle name="Percent 3" xfId="347" xr:uid="{00000000-0005-0000-0000-00005B010000}"/>
    <cellStyle name="Percent 3 2" xfId="348" xr:uid="{00000000-0005-0000-0000-00005C010000}"/>
    <cellStyle name="Percent 4" xfId="349" xr:uid="{00000000-0005-0000-0000-00005D010000}"/>
    <cellStyle name="Percent 4 2" xfId="350" xr:uid="{00000000-0005-0000-0000-00005E010000}"/>
    <cellStyle name="Percent 4 2 2" xfId="351" xr:uid="{00000000-0005-0000-0000-00005F010000}"/>
    <cellStyle name="Percent 4 3" xfId="352" xr:uid="{00000000-0005-0000-0000-000060010000}"/>
    <cellStyle name="Percent 5" xfId="353" xr:uid="{00000000-0005-0000-0000-000061010000}"/>
    <cellStyle name="Percent 5 2" xfId="354" xr:uid="{00000000-0005-0000-0000-000062010000}"/>
    <cellStyle name="Percent 5 2 2" xfId="355" xr:uid="{00000000-0005-0000-0000-000063010000}"/>
    <cellStyle name="Percent 5 3" xfId="356" xr:uid="{00000000-0005-0000-0000-000064010000}"/>
    <cellStyle name="Percent 6" xfId="357" xr:uid="{00000000-0005-0000-0000-000065010000}"/>
    <cellStyle name="Percent 6 2" xfId="358" xr:uid="{00000000-0005-0000-0000-000066010000}"/>
    <cellStyle name="Percent 7" xfId="359" xr:uid="{00000000-0005-0000-0000-000067010000}"/>
    <cellStyle name="Percent 8" xfId="360" xr:uid="{00000000-0005-0000-0000-000068010000}"/>
    <cellStyle name="Percent 9" xfId="361" xr:uid="{00000000-0005-0000-0000-000069010000}"/>
    <cellStyle name="Period" xfId="362" xr:uid="{00000000-0005-0000-0000-00006A010000}"/>
    <cellStyle name="PROJ_NUM" xfId="363" xr:uid="{00000000-0005-0000-0000-00006B010000}"/>
    <cellStyle name="PSChar" xfId="364" xr:uid="{00000000-0005-0000-0000-00006C010000}"/>
    <cellStyle name="PSDate" xfId="365" xr:uid="{00000000-0005-0000-0000-00006D010000}"/>
    <cellStyle name="PSDec" xfId="366" xr:uid="{00000000-0005-0000-0000-00006E010000}"/>
    <cellStyle name="PSHeading" xfId="367" xr:uid="{00000000-0005-0000-0000-00006F010000}"/>
    <cellStyle name="PSInt" xfId="368" xr:uid="{00000000-0005-0000-0000-000070010000}"/>
    <cellStyle name="PSSpacer" xfId="369" xr:uid="{00000000-0005-0000-0000-000071010000}"/>
    <cellStyle name="RAMEY" xfId="370" xr:uid="{00000000-0005-0000-0000-000072010000}"/>
    <cellStyle name="Ramey $k" xfId="371" xr:uid="{00000000-0005-0000-0000-000073010000}"/>
    <cellStyle name="RAMEY_P&amp;O BKUP" xfId="372" xr:uid="{00000000-0005-0000-0000-000074010000}"/>
    <cellStyle name="STYL1 - Style1" xfId="373" xr:uid="{00000000-0005-0000-0000-000075010000}"/>
    <cellStyle name="Style 1" xfId="374" xr:uid="{00000000-0005-0000-0000-000076010000}"/>
    <cellStyle name="Style 21" xfId="375" xr:uid="{00000000-0005-0000-0000-000077010000}"/>
    <cellStyle name="Style 22" xfId="376" xr:uid="{00000000-0005-0000-0000-000078010000}"/>
    <cellStyle name="Style 23" xfId="377" xr:uid="{00000000-0005-0000-0000-000079010000}"/>
    <cellStyle name="Style 24" xfId="378" xr:uid="{00000000-0005-0000-0000-00007A010000}"/>
    <cellStyle name="Style 25" xfId="379" xr:uid="{00000000-0005-0000-0000-00007B010000}"/>
    <cellStyle name="Style 26" xfId="380" xr:uid="{00000000-0005-0000-0000-00007C010000}"/>
    <cellStyle name="Style 27" xfId="381" xr:uid="{00000000-0005-0000-0000-00007D010000}"/>
    <cellStyle name="STYLE1" xfId="382" xr:uid="{00000000-0005-0000-0000-00007E010000}"/>
    <cellStyle name="STYLE1 2" xfId="383" xr:uid="{00000000-0005-0000-0000-00007F010000}"/>
    <cellStyle name="STYLE1 3" xfId="384" xr:uid="{00000000-0005-0000-0000-000080010000}"/>
    <cellStyle name="STYLE2" xfId="385" xr:uid="{00000000-0005-0000-0000-000081010000}"/>
    <cellStyle name="STYLE3" xfId="386" xr:uid="{00000000-0005-0000-0000-000082010000}"/>
    <cellStyle name="STYLE4" xfId="387" xr:uid="{00000000-0005-0000-0000-000083010000}"/>
    <cellStyle name="STYLE5" xfId="388" xr:uid="{00000000-0005-0000-0000-000084010000}"/>
    <cellStyle name="þ_x0011_Í-&amp;ý&amp;‰ýG_x0008_Æ_x0009__x000a__x0007__x0001__x0001_" xfId="389" xr:uid="{00000000-0005-0000-0000-000085010000}"/>
    <cellStyle name="Thousands" xfId="390" xr:uid="{00000000-0005-0000-0000-000086010000}"/>
    <cellStyle name="Title 2" xfId="391" xr:uid="{00000000-0005-0000-0000-000087010000}"/>
    <cellStyle name="Total 2" xfId="392" xr:uid="{00000000-0005-0000-0000-000088010000}"/>
    <cellStyle name="Unit" xfId="393" xr:uid="{00000000-0005-0000-0000-000089010000}"/>
    <cellStyle name="Unlocked" xfId="394" xr:uid="{00000000-0005-0000-0000-00008A010000}"/>
    <cellStyle name="Warning Text 2" xfId="395" xr:uid="{00000000-0005-0000-0000-00008B010000}"/>
    <cellStyle name="Обычный_Budget_final_25_02_02" xfId="396" xr:uid="{00000000-0005-0000-0000-00008C010000}"/>
    <cellStyle name="アクセント 1" xfId="397" xr:uid="{00000000-0005-0000-0000-00008D010000}"/>
    <cellStyle name="アクセント 2" xfId="398" xr:uid="{00000000-0005-0000-0000-00008E010000}"/>
    <cellStyle name="アクセント 3" xfId="399" xr:uid="{00000000-0005-0000-0000-00008F010000}"/>
    <cellStyle name="アクセント 4" xfId="400" xr:uid="{00000000-0005-0000-0000-000090010000}"/>
    <cellStyle name="アクセント 5" xfId="401" xr:uid="{00000000-0005-0000-0000-000091010000}"/>
    <cellStyle name="アクセント 6" xfId="402" xr:uid="{00000000-0005-0000-0000-000092010000}"/>
    <cellStyle name="タイトル" xfId="403" xr:uid="{00000000-0005-0000-0000-000093010000}"/>
    <cellStyle name="チェック セル" xfId="404" xr:uid="{00000000-0005-0000-0000-000094010000}"/>
    <cellStyle name="どちらでもない" xfId="405" xr:uid="{00000000-0005-0000-0000-000095010000}"/>
    <cellStyle name="メモ" xfId="406" xr:uid="{00000000-0005-0000-0000-000096010000}"/>
    <cellStyle name="メモ 2" xfId="407" xr:uid="{00000000-0005-0000-0000-000097010000}"/>
    <cellStyle name="メモ 2 2" xfId="408" xr:uid="{00000000-0005-0000-0000-000098010000}"/>
    <cellStyle name="メモ 2 2 2" xfId="409" xr:uid="{00000000-0005-0000-0000-000099010000}"/>
    <cellStyle name="メモ 2 3" xfId="410" xr:uid="{00000000-0005-0000-0000-00009A010000}"/>
    <cellStyle name="メモ 3" xfId="411" xr:uid="{00000000-0005-0000-0000-00009B010000}"/>
    <cellStyle name="メモ 3 2" xfId="412" xr:uid="{00000000-0005-0000-0000-00009C010000}"/>
    <cellStyle name="メモ 3 2 2" xfId="413" xr:uid="{00000000-0005-0000-0000-00009D010000}"/>
    <cellStyle name="メモ 3 3" xfId="414" xr:uid="{00000000-0005-0000-0000-00009E010000}"/>
    <cellStyle name="メモ 4" xfId="415" xr:uid="{00000000-0005-0000-0000-00009F010000}"/>
    <cellStyle name="メモ 4 2" xfId="416" xr:uid="{00000000-0005-0000-0000-0000A0010000}"/>
    <cellStyle name="メモ 4 2 2" xfId="417" xr:uid="{00000000-0005-0000-0000-0000A1010000}"/>
    <cellStyle name="メモ 4 3" xfId="418" xr:uid="{00000000-0005-0000-0000-0000A2010000}"/>
    <cellStyle name="メモ 5" xfId="419" xr:uid="{00000000-0005-0000-0000-0000A3010000}"/>
    <cellStyle name="メモ 5 2" xfId="420" xr:uid="{00000000-0005-0000-0000-0000A4010000}"/>
    <cellStyle name="メモ 5 2 2" xfId="421" xr:uid="{00000000-0005-0000-0000-0000A5010000}"/>
    <cellStyle name="メモ 5 3" xfId="422" xr:uid="{00000000-0005-0000-0000-0000A6010000}"/>
    <cellStyle name="メモ 6" xfId="423" xr:uid="{00000000-0005-0000-0000-0000A7010000}"/>
    <cellStyle name="メモ 6 2" xfId="424" xr:uid="{00000000-0005-0000-0000-0000A8010000}"/>
    <cellStyle name="メモ 7" xfId="425" xr:uid="{00000000-0005-0000-0000-0000A9010000}"/>
    <cellStyle name="リンク セル" xfId="426" xr:uid="{00000000-0005-0000-0000-0000AA010000}"/>
    <cellStyle name="入力" xfId="427" xr:uid="{00000000-0005-0000-0000-0000AB010000}"/>
    <cellStyle name="入力 2" xfId="428" xr:uid="{00000000-0005-0000-0000-0000AC010000}"/>
    <cellStyle name="入力 2 2" xfId="429" xr:uid="{00000000-0005-0000-0000-0000AD010000}"/>
    <cellStyle name="入力 2 2 2" xfId="430" xr:uid="{00000000-0005-0000-0000-0000AE010000}"/>
    <cellStyle name="入力 2 3" xfId="431" xr:uid="{00000000-0005-0000-0000-0000AF010000}"/>
    <cellStyle name="入力 3" xfId="432" xr:uid="{00000000-0005-0000-0000-0000B0010000}"/>
    <cellStyle name="入力 3 2" xfId="433" xr:uid="{00000000-0005-0000-0000-0000B1010000}"/>
    <cellStyle name="入力 3 2 2" xfId="434" xr:uid="{00000000-0005-0000-0000-0000B2010000}"/>
    <cellStyle name="入力 3 3" xfId="435" xr:uid="{00000000-0005-0000-0000-0000B3010000}"/>
    <cellStyle name="入力 4" xfId="436" xr:uid="{00000000-0005-0000-0000-0000B4010000}"/>
    <cellStyle name="入力 4 2" xfId="437" xr:uid="{00000000-0005-0000-0000-0000B5010000}"/>
    <cellStyle name="入力 4 2 2" xfId="438" xr:uid="{00000000-0005-0000-0000-0000B6010000}"/>
    <cellStyle name="入力 4 3" xfId="439" xr:uid="{00000000-0005-0000-0000-0000B7010000}"/>
    <cellStyle name="入力 5" xfId="440" xr:uid="{00000000-0005-0000-0000-0000B8010000}"/>
    <cellStyle name="入力 5 2" xfId="441" xr:uid="{00000000-0005-0000-0000-0000B9010000}"/>
    <cellStyle name="入力 5 2 2" xfId="442" xr:uid="{00000000-0005-0000-0000-0000BA010000}"/>
    <cellStyle name="入力 5 3" xfId="443" xr:uid="{00000000-0005-0000-0000-0000BB010000}"/>
    <cellStyle name="入力 6" xfId="444" xr:uid="{00000000-0005-0000-0000-0000BC010000}"/>
    <cellStyle name="入力 6 2" xfId="445" xr:uid="{00000000-0005-0000-0000-0000BD010000}"/>
    <cellStyle name="入力 7" xfId="446" xr:uid="{00000000-0005-0000-0000-0000BE010000}"/>
    <cellStyle name="出力" xfId="447" xr:uid="{00000000-0005-0000-0000-0000BF010000}"/>
    <cellStyle name="出力 2" xfId="448" xr:uid="{00000000-0005-0000-0000-0000C0010000}"/>
    <cellStyle name="出力 2 2" xfId="449" xr:uid="{00000000-0005-0000-0000-0000C1010000}"/>
    <cellStyle name="出力 2 2 2" xfId="450" xr:uid="{00000000-0005-0000-0000-0000C2010000}"/>
    <cellStyle name="出力 2 3" xfId="451" xr:uid="{00000000-0005-0000-0000-0000C3010000}"/>
    <cellStyle name="出力 3" xfId="452" xr:uid="{00000000-0005-0000-0000-0000C4010000}"/>
    <cellStyle name="出力 3 2" xfId="453" xr:uid="{00000000-0005-0000-0000-0000C5010000}"/>
    <cellStyle name="出力 3 2 2" xfId="454" xr:uid="{00000000-0005-0000-0000-0000C6010000}"/>
    <cellStyle name="出力 3 3" xfId="455" xr:uid="{00000000-0005-0000-0000-0000C7010000}"/>
    <cellStyle name="出力 4" xfId="456" xr:uid="{00000000-0005-0000-0000-0000C8010000}"/>
    <cellStyle name="出力 4 2" xfId="457" xr:uid="{00000000-0005-0000-0000-0000C9010000}"/>
    <cellStyle name="出力 4 2 2" xfId="458" xr:uid="{00000000-0005-0000-0000-0000CA010000}"/>
    <cellStyle name="出力 4 3" xfId="459" xr:uid="{00000000-0005-0000-0000-0000CB010000}"/>
    <cellStyle name="出力 5" xfId="460" xr:uid="{00000000-0005-0000-0000-0000CC010000}"/>
    <cellStyle name="出力 5 2" xfId="461" xr:uid="{00000000-0005-0000-0000-0000CD010000}"/>
    <cellStyle name="出力 5 2 2" xfId="462" xr:uid="{00000000-0005-0000-0000-0000CE010000}"/>
    <cellStyle name="出力 5 3" xfId="463" xr:uid="{00000000-0005-0000-0000-0000CF010000}"/>
    <cellStyle name="出力 6" xfId="464" xr:uid="{00000000-0005-0000-0000-0000D0010000}"/>
    <cellStyle name="出力 6 2" xfId="465" xr:uid="{00000000-0005-0000-0000-0000D1010000}"/>
    <cellStyle name="出力 7" xfId="466" xr:uid="{00000000-0005-0000-0000-0000D2010000}"/>
    <cellStyle name="悪い" xfId="467" xr:uid="{00000000-0005-0000-0000-0000D3010000}"/>
    <cellStyle name="良い" xfId="468" xr:uid="{00000000-0005-0000-0000-0000D4010000}"/>
    <cellStyle name="見出し 1" xfId="469" xr:uid="{00000000-0005-0000-0000-0000D5010000}"/>
    <cellStyle name="見出し 2" xfId="470" xr:uid="{00000000-0005-0000-0000-0000D6010000}"/>
    <cellStyle name="見出し 3" xfId="471" xr:uid="{00000000-0005-0000-0000-0000D7010000}"/>
    <cellStyle name="見出し 4" xfId="472" xr:uid="{00000000-0005-0000-0000-0000D8010000}"/>
    <cellStyle name="計算" xfId="473" xr:uid="{00000000-0005-0000-0000-0000D9010000}"/>
    <cellStyle name="計算 2" xfId="474" xr:uid="{00000000-0005-0000-0000-0000DA010000}"/>
    <cellStyle name="計算 2 2" xfId="475" xr:uid="{00000000-0005-0000-0000-0000DB010000}"/>
    <cellStyle name="計算 2 2 2" xfId="476" xr:uid="{00000000-0005-0000-0000-0000DC010000}"/>
    <cellStyle name="計算 2 3" xfId="477" xr:uid="{00000000-0005-0000-0000-0000DD010000}"/>
    <cellStyle name="計算 3" xfId="478" xr:uid="{00000000-0005-0000-0000-0000DE010000}"/>
    <cellStyle name="計算 3 2" xfId="479" xr:uid="{00000000-0005-0000-0000-0000DF010000}"/>
    <cellStyle name="計算 3 2 2" xfId="480" xr:uid="{00000000-0005-0000-0000-0000E0010000}"/>
    <cellStyle name="計算 3 3" xfId="481" xr:uid="{00000000-0005-0000-0000-0000E1010000}"/>
    <cellStyle name="計算 4" xfId="482" xr:uid="{00000000-0005-0000-0000-0000E2010000}"/>
    <cellStyle name="計算 4 2" xfId="483" xr:uid="{00000000-0005-0000-0000-0000E3010000}"/>
    <cellStyle name="計算 4 2 2" xfId="484" xr:uid="{00000000-0005-0000-0000-0000E4010000}"/>
    <cellStyle name="計算 4 3" xfId="485" xr:uid="{00000000-0005-0000-0000-0000E5010000}"/>
    <cellStyle name="計算 5" xfId="486" xr:uid="{00000000-0005-0000-0000-0000E6010000}"/>
    <cellStyle name="計算 5 2" xfId="487" xr:uid="{00000000-0005-0000-0000-0000E7010000}"/>
    <cellStyle name="計算 5 2 2" xfId="488" xr:uid="{00000000-0005-0000-0000-0000E8010000}"/>
    <cellStyle name="計算 5 3" xfId="489" xr:uid="{00000000-0005-0000-0000-0000E9010000}"/>
    <cellStyle name="計算 6" xfId="490" xr:uid="{00000000-0005-0000-0000-0000EA010000}"/>
    <cellStyle name="計算 6 2" xfId="491" xr:uid="{00000000-0005-0000-0000-0000EB010000}"/>
    <cellStyle name="計算 7" xfId="492" xr:uid="{00000000-0005-0000-0000-0000EC010000}"/>
    <cellStyle name="説明文" xfId="493" xr:uid="{00000000-0005-0000-0000-0000ED010000}"/>
    <cellStyle name="警告文" xfId="494" xr:uid="{00000000-0005-0000-0000-0000EE010000}"/>
    <cellStyle name="集計" xfId="495" xr:uid="{00000000-0005-0000-0000-0000EF010000}"/>
    <cellStyle name="集計 2" xfId="496" xr:uid="{00000000-0005-0000-0000-0000F0010000}"/>
    <cellStyle name="集計 2 2" xfId="497" xr:uid="{00000000-0005-0000-0000-0000F1010000}"/>
    <cellStyle name="集計 2 2 2" xfId="498" xr:uid="{00000000-0005-0000-0000-0000F2010000}"/>
    <cellStyle name="集計 2 3" xfId="499" xr:uid="{00000000-0005-0000-0000-0000F3010000}"/>
    <cellStyle name="集計 3" xfId="500" xr:uid="{00000000-0005-0000-0000-0000F4010000}"/>
    <cellStyle name="集計 3 2" xfId="501" xr:uid="{00000000-0005-0000-0000-0000F5010000}"/>
    <cellStyle name="集計 3 2 2" xfId="502" xr:uid="{00000000-0005-0000-0000-0000F6010000}"/>
    <cellStyle name="集計 3 3" xfId="503" xr:uid="{00000000-0005-0000-0000-0000F7010000}"/>
    <cellStyle name="集計 4" xfId="504" xr:uid="{00000000-0005-0000-0000-0000F8010000}"/>
    <cellStyle name="集計 4 2" xfId="505" xr:uid="{00000000-0005-0000-0000-0000F9010000}"/>
    <cellStyle name="集計 4 2 2" xfId="506" xr:uid="{00000000-0005-0000-0000-0000FA010000}"/>
    <cellStyle name="集計 4 3" xfId="507" xr:uid="{00000000-0005-0000-0000-0000FB010000}"/>
    <cellStyle name="集計 5" xfId="508" xr:uid="{00000000-0005-0000-0000-0000FC010000}"/>
    <cellStyle name="集計 5 2" xfId="509" xr:uid="{00000000-0005-0000-0000-0000FD010000}"/>
    <cellStyle name="集計 5 2 2" xfId="510" xr:uid="{00000000-0005-0000-0000-0000FE010000}"/>
    <cellStyle name="集計 5 3" xfId="511" xr:uid="{00000000-0005-0000-0000-0000FF010000}"/>
    <cellStyle name="集計 6" xfId="512" xr:uid="{00000000-0005-0000-0000-000000020000}"/>
    <cellStyle name="集計 6 2" xfId="513" xr:uid="{00000000-0005-0000-0000-000001020000}"/>
    <cellStyle name="集計 7" xfId="514" xr:uid="{00000000-0005-0000-0000-00000202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8.xml"/><Relationship Id="rId21" Type="http://schemas.openxmlformats.org/officeDocument/2006/relationships/externalLink" Target="externalLinks/externalLink13.xml"/><Relationship Id="rId34" Type="http://schemas.openxmlformats.org/officeDocument/2006/relationships/externalLink" Target="externalLinks/externalLink26.xml"/><Relationship Id="rId42" Type="http://schemas.openxmlformats.org/officeDocument/2006/relationships/externalLink" Target="externalLinks/externalLink34.xml"/><Relationship Id="rId47" Type="http://schemas.openxmlformats.org/officeDocument/2006/relationships/externalLink" Target="externalLinks/externalLink39.xml"/><Relationship Id="rId50" Type="http://schemas.openxmlformats.org/officeDocument/2006/relationships/externalLink" Target="externalLinks/externalLink42.xml"/><Relationship Id="rId55" Type="http://schemas.openxmlformats.org/officeDocument/2006/relationships/externalLink" Target="externalLinks/externalLink47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9" Type="http://schemas.openxmlformats.org/officeDocument/2006/relationships/externalLink" Target="externalLinks/externalLink21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externalLink" Target="externalLinks/externalLink24.xml"/><Relationship Id="rId37" Type="http://schemas.openxmlformats.org/officeDocument/2006/relationships/externalLink" Target="externalLinks/externalLink29.xml"/><Relationship Id="rId40" Type="http://schemas.openxmlformats.org/officeDocument/2006/relationships/externalLink" Target="externalLinks/externalLink32.xml"/><Relationship Id="rId45" Type="http://schemas.openxmlformats.org/officeDocument/2006/relationships/externalLink" Target="externalLinks/externalLink37.xml"/><Relationship Id="rId53" Type="http://schemas.openxmlformats.org/officeDocument/2006/relationships/externalLink" Target="externalLinks/externalLink45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externalLink" Target="externalLinks/externalLink1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35" Type="http://schemas.openxmlformats.org/officeDocument/2006/relationships/externalLink" Target="externalLinks/externalLink27.xml"/><Relationship Id="rId43" Type="http://schemas.openxmlformats.org/officeDocument/2006/relationships/externalLink" Target="externalLinks/externalLink35.xml"/><Relationship Id="rId48" Type="http://schemas.openxmlformats.org/officeDocument/2006/relationships/externalLink" Target="externalLinks/externalLink40.xml"/><Relationship Id="rId56" Type="http://schemas.openxmlformats.org/officeDocument/2006/relationships/externalLink" Target="externalLinks/externalLink48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3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25.xml"/><Relationship Id="rId38" Type="http://schemas.openxmlformats.org/officeDocument/2006/relationships/externalLink" Target="externalLinks/externalLink30.xml"/><Relationship Id="rId46" Type="http://schemas.openxmlformats.org/officeDocument/2006/relationships/externalLink" Target="externalLinks/externalLink38.xml"/><Relationship Id="rId59" Type="http://schemas.openxmlformats.org/officeDocument/2006/relationships/styles" Target="styles.xml"/><Relationship Id="rId20" Type="http://schemas.openxmlformats.org/officeDocument/2006/relationships/externalLink" Target="externalLinks/externalLink12.xml"/><Relationship Id="rId41" Type="http://schemas.openxmlformats.org/officeDocument/2006/relationships/externalLink" Target="externalLinks/externalLink33.xml"/><Relationship Id="rId54" Type="http://schemas.openxmlformats.org/officeDocument/2006/relationships/externalLink" Target="externalLinks/externalLink46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externalLink" Target="externalLinks/externalLink28.xml"/><Relationship Id="rId49" Type="http://schemas.openxmlformats.org/officeDocument/2006/relationships/externalLink" Target="externalLinks/externalLink41.xml"/><Relationship Id="rId57" Type="http://schemas.openxmlformats.org/officeDocument/2006/relationships/externalLink" Target="externalLinks/externalLink49.xml"/><Relationship Id="rId10" Type="http://schemas.openxmlformats.org/officeDocument/2006/relationships/externalLink" Target="externalLinks/externalLink2.xml"/><Relationship Id="rId31" Type="http://schemas.openxmlformats.org/officeDocument/2006/relationships/externalLink" Target="externalLinks/externalLink23.xml"/><Relationship Id="rId44" Type="http://schemas.openxmlformats.org/officeDocument/2006/relationships/externalLink" Target="externalLinks/externalLink36.xml"/><Relationship Id="rId52" Type="http://schemas.openxmlformats.org/officeDocument/2006/relationships/externalLink" Target="externalLinks/externalLink44.xml"/><Relationship Id="rId60" Type="http://schemas.openxmlformats.org/officeDocument/2006/relationships/sharedStrings" Target="sharedStrings.xml"/><Relationship Id="rId65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39" Type="http://schemas.openxmlformats.org/officeDocument/2006/relationships/externalLink" Target="externalLinks/externalLink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119</xdr:row>
      <xdr:rowOff>0</xdr:rowOff>
    </xdr:from>
    <xdr:to>
      <xdr:col>0</xdr:col>
      <xdr:colOff>304800</xdr:colOff>
      <xdr:row>120</xdr:row>
      <xdr:rowOff>145525</xdr:rowOff>
    </xdr:to>
    <xdr:sp macro="" textlink="">
      <xdr:nvSpPr>
        <xdr:cNvPr id="2" name="AutoShape 23">
          <a:extLst>
            <a:ext uri="{FF2B5EF4-FFF2-40B4-BE49-F238E27FC236}">
              <a16:creationId xmlns:a16="http://schemas.microsoft.com/office/drawing/2014/main" id="{68ACF2D5-1B0A-452E-9EEC-3C9ACD9EE361}"/>
            </a:ext>
          </a:extLst>
        </xdr:cNvPr>
        <xdr:cNvSpPr>
          <a:spLocks noChangeAspect="1" noChangeArrowheads="1"/>
        </xdr:cNvSpPr>
      </xdr:nvSpPr>
      <xdr:spPr bwMode="auto">
        <a:xfrm>
          <a:off x="0" y="26967180"/>
          <a:ext cx="304800" cy="3189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304800</xdr:colOff>
      <xdr:row>120</xdr:row>
      <xdr:rowOff>126987</xdr:rowOff>
    </xdr:to>
    <xdr:sp macro="" textlink="">
      <xdr:nvSpPr>
        <xdr:cNvPr id="3" name="AutoShape 24">
          <a:extLst>
            <a:ext uri="{FF2B5EF4-FFF2-40B4-BE49-F238E27FC236}">
              <a16:creationId xmlns:a16="http://schemas.microsoft.com/office/drawing/2014/main" id="{864500D6-33E7-4164-B153-EC80837905BC}"/>
            </a:ext>
          </a:extLst>
        </xdr:cNvPr>
        <xdr:cNvSpPr>
          <a:spLocks noChangeAspect="1" noChangeArrowheads="1"/>
        </xdr:cNvSpPr>
      </xdr:nvSpPr>
      <xdr:spPr bwMode="auto">
        <a:xfrm>
          <a:off x="0" y="26967180"/>
          <a:ext cx="304800" cy="3051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304800</xdr:colOff>
      <xdr:row>120</xdr:row>
      <xdr:rowOff>126988</xdr:rowOff>
    </xdr:to>
    <xdr:sp macro="" textlink="">
      <xdr:nvSpPr>
        <xdr:cNvPr id="4" name="AutoShape 25">
          <a:extLst>
            <a:ext uri="{FF2B5EF4-FFF2-40B4-BE49-F238E27FC236}">
              <a16:creationId xmlns:a16="http://schemas.microsoft.com/office/drawing/2014/main" id="{DC258085-9C09-4F90-B2F9-B6438832011D}"/>
            </a:ext>
          </a:extLst>
        </xdr:cNvPr>
        <xdr:cNvSpPr>
          <a:spLocks noChangeAspect="1" noChangeArrowheads="1"/>
        </xdr:cNvSpPr>
      </xdr:nvSpPr>
      <xdr:spPr bwMode="auto">
        <a:xfrm>
          <a:off x="0" y="26967180"/>
          <a:ext cx="304800" cy="3051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304800</xdr:colOff>
      <xdr:row>120</xdr:row>
      <xdr:rowOff>126987</xdr:rowOff>
    </xdr:to>
    <xdr:sp macro="" textlink="">
      <xdr:nvSpPr>
        <xdr:cNvPr id="5" name="x_x_image_0">
          <a:extLst>
            <a:ext uri="{FF2B5EF4-FFF2-40B4-BE49-F238E27FC236}">
              <a16:creationId xmlns:a16="http://schemas.microsoft.com/office/drawing/2014/main" id="{9B0CA169-7E4A-4F86-9A37-27BCC735ACA1}"/>
            </a:ext>
          </a:extLst>
        </xdr:cNvPr>
        <xdr:cNvSpPr>
          <a:spLocks noChangeAspect="1" noChangeArrowheads="1"/>
        </xdr:cNvSpPr>
      </xdr:nvSpPr>
      <xdr:spPr bwMode="auto">
        <a:xfrm>
          <a:off x="0" y="26967180"/>
          <a:ext cx="304800" cy="3051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304800</xdr:colOff>
      <xdr:row>120</xdr:row>
      <xdr:rowOff>126987</xdr:rowOff>
    </xdr:to>
    <xdr:sp macro="" textlink="">
      <xdr:nvSpPr>
        <xdr:cNvPr id="6" name="AutoShape 33">
          <a:extLst>
            <a:ext uri="{FF2B5EF4-FFF2-40B4-BE49-F238E27FC236}">
              <a16:creationId xmlns:a16="http://schemas.microsoft.com/office/drawing/2014/main" id="{8389B89D-6B94-41F7-AA08-6CF54BA81670}"/>
            </a:ext>
          </a:extLst>
        </xdr:cNvPr>
        <xdr:cNvSpPr>
          <a:spLocks noChangeAspect="1" noChangeArrowheads="1"/>
        </xdr:cNvSpPr>
      </xdr:nvSpPr>
      <xdr:spPr bwMode="auto">
        <a:xfrm>
          <a:off x="0" y="26967180"/>
          <a:ext cx="304800" cy="3051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304800</xdr:colOff>
      <xdr:row>120</xdr:row>
      <xdr:rowOff>126441</xdr:rowOff>
    </xdr:to>
    <xdr:sp macro="" textlink="">
      <xdr:nvSpPr>
        <xdr:cNvPr id="7" name="x_image_0">
          <a:extLst>
            <a:ext uri="{FF2B5EF4-FFF2-40B4-BE49-F238E27FC236}">
              <a16:creationId xmlns:a16="http://schemas.microsoft.com/office/drawing/2014/main" id="{D3D04F5A-B81C-4DE6-A972-F19DBF0D709A}"/>
            </a:ext>
          </a:extLst>
        </xdr:cNvPr>
        <xdr:cNvSpPr>
          <a:spLocks noChangeAspect="1" noChangeArrowheads="1"/>
        </xdr:cNvSpPr>
      </xdr:nvSpPr>
      <xdr:spPr bwMode="auto">
        <a:xfrm>
          <a:off x="0" y="26967180"/>
          <a:ext cx="304800" cy="30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304800</xdr:colOff>
      <xdr:row>120</xdr:row>
      <xdr:rowOff>126987</xdr:rowOff>
    </xdr:to>
    <xdr:sp macro="" textlink="">
      <xdr:nvSpPr>
        <xdr:cNvPr id="8" name="AutoShape 39">
          <a:extLst>
            <a:ext uri="{FF2B5EF4-FFF2-40B4-BE49-F238E27FC236}">
              <a16:creationId xmlns:a16="http://schemas.microsoft.com/office/drawing/2014/main" id="{1BE2B628-C2A6-4B88-9CA1-2417BAC7AF79}"/>
            </a:ext>
          </a:extLst>
        </xdr:cNvPr>
        <xdr:cNvSpPr>
          <a:spLocks noChangeAspect="1" noChangeArrowheads="1"/>
        </xdr:cNvSpPr>
      </xdr:nvSpPr>
      <xdr:spPr bwMode="auto">
        <a:xfrm>
          <a:off x="0" y="26967180"/>
          <a:ext cx="304800" cy="3051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op3.ncsc.dni.us/My%20Documents/NCSC/Macedonia/Business%20Proposal/NCSC%20Macedonia%20Budget--internal%20final%203-21-02%207%20p.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My%20Documents/NCSC/Macedonia/Business%20Proposal/NCSC%20Macedonia%20Budget--internal%20final%203-21-02%207%20p.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Documents%20and%20Settings/sprotacio/My%20Documents/SMTs/Copy%20of%20SC_Budget_ARMM_HEALTH_Jun19%20with%20Community%20Match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ing%20Cost%20v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Users/Katya/AppData/Local/Microsoft/Windows/Temporary%20Internet%20Files/Content.Outlook/3MW8ZO8X/Peru_Decentralization_Cost_5_9_CM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BUSOPS/CEP/Rat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st,%20RAMP,%20consistent%20with%20contract,%20with%20subs%20change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Documents%20and%20Settings/Dewey%20Thomas/Local%20Settings/Temporary%20Internet%20Files/OLK2/SubK%20TM%20budget%20template%20(2)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hqfilesrv3/project/C%20disk/vahan.CP/Desktop/Acc%20CPI/300_Salary/Salary%20Calculatin/Salary%20FY%202013.xlsm" TargetMode="External"/><Relationship Id="rId1" Type="http://schemas.openxmlformats.org/officeDocument/2006/relationships/externalLinkPath" Target="/hqfilesrv3/project/C%20disk/vahan.CP/Desktop/Acc%20CPI/300_Salary/Salary%20Calculatin/Salary%20FY%202013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ISE%20Ethiopia%20MLVP%20to%20DAI%20Budget%2011-1-0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GL%20!!!/Voucher%20form-fina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NAL_Cost_Spreadsheets.Mali_TRADE_03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BASAR%20Timor%20Leste%20Budget%20and%20Track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S1028023222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ENI%20COST%20MODE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BE%20Budget%20-%20Overall%20v6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ing%20Costv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Users/Jazami/OneDrive%20-%20Counterpart%20International/Desktop/PSR%20review%20summary%20-%20FY19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C%20disk/vahan.CP/Desktop/Acc%20CPI/777_Vouchers/2009/11/Voucher/CPI-GL-2010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microsoft.com/office/2019/04/relationships/externalLinkLongPath" Target="file:///\\sharepoint.cnfa.org\DavWWWRoot\Project%20Accounting\Archives\Archive%20Files_Vinod%20Goyal\Documents\AGP-LMD%202015-16\INVOICE%20TO%20USAID\Invoice%202017\LMD%20August%202017%20Voucher%2062\(08b)%20August%2031%202017_ETH%20Payroll%20and%20Reconciliation%20Revised%20AG.xlsx?5421C9AF" TargetMode="External"/><Relationship Id="rId1" Type="http://schemas.openxmlformats.org/officeDocument/2006/relationships/externalLinkPath" Target="file:///\\5421C9AF\(08b)%20August%2031%202017_ETH%20Payroll%20and%20Reconciliation%20Revised%20AG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personal/carlodaniel_abuyuan_usda_gov/Documents/Budget%20templates/Nofo/Revised%20Agribusiness%20Investment%20Budget_8.1.2022%20CA%20(2)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hqfilesrv3/project/Users/Karen/Desktop/Salary%20Calculation%20for%20April%202012.xlsm" TargetMode="External"/><Relationship Id="rId1" Type="http://schemas.openxmlformats.org/officeDocument/2006/relationships/externalLinkPath" Target="/hqfilesrv3/project/Users/Karen/Desktop/Salary%20Calculation%20for%20April%202012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program%20files/eudora/attach/BUDGET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Users\imadanat\Documents\Programs\Cameron%20FFP%202012\REV6254%20of%20Cameroon%20FFE%202012Budget%20-%20Sep%2030%20-%20Entered%20in%20FAIS%20system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Program%20Development%20Unit\2.%20Proposals\REGIONAL%20-%20Africa\2013%20REGIS-AG\5.%20Cost%20Application\Counterpart%20REGIS-AG%20Draft%20Version%204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USER\MDREXLER\RFP\BUD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I_MOBIS%20Peru%20ADP%20Budget%20Comp%20Range%20DLB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unterpart1org-my.sharepoint.com/Budgets%20--%20Funded/Belarus/PACT/Proposed%20Revisions/08%2008%2012%20%20Pact%20Proposal%20Budget-%20ICN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GIR%20MACRO%20II%20-%20El%20Salvador%20Profitability%20Analysis%20Final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Budget%20Template--AMAP-MF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GIR%20WestBankGaz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xico%20AMAP%20Budget%20final.dai.xls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Intranet.chemonics.net/regions/eaf/Proposals/Ethiopia_SIPED_II/Cost/CPFF%20Spreadsheet%20Shell_SIPED%20II%20v9%20to%20editor.xls" TargetMode="External"/><Relationship Id="rId1" Type="http://schemas.openxmlformats.org/officeDocument/2006/relationships/externalLinkPath" Target="/Intranet.chemonics.net/regions/eaf/Proposals/Ethiopia_SIPED_II/Cost/CPFF%20Spreadsheet%20Shell_SIPED%20II%20v9%20to%20editor.xls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tsclient/S/International/Indonesia/2004/Q1/I3R/JE%20I3R%20Mar2004%202004004%20mapping.xls" TargetMode="External"/><Relationship Id="rId1" Type="http://schemas.openxmlformats.org/officeDocument/2006/relationships/externalLinkPath" Target="/tsclient/S/International/Indonesia/2004/Q1/I3R/JE%20I3R%20Mar2004%202004004%20mapping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hqbackup3/lgasparian/Desktop/Training/Trackers%20and%20templates/Project%20Equipment%20Inventory%20Tracker.xlsx" TargetMode="External"/><Relationship Id="rId1" Type="http://schemas.openxmlformats.org/officeDocument/2006/relationships/externalLinkPath" Target="/hqbackup3/lgasparian/Desktop/Training/Trackers%20and%20templates/Project%20Equipment%20Inventory%20Tracker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Romania%20Civil%20Society%20Strenghtening/Cost%20Application/Budget%20&amp;%20Notes/MSI/MSI%20Budge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rt%2009_DAI%20Peru%20AD%20Cost%20Proposal%20-%20Comp%20Range24nov03.lh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tsclient/S/International/Indonesia/2003/Q4_2003/I3RH/I3RH-121203.xls" TargetMode="External"/><Relationship Id="rId1" Type="http://schemas.openxmlformats.org/officeDocument/2006/relationships/externalLinkPath" Target="/tsclient/S/International/Indonesia/2003/Q4_2003/I3RH/I3RH-12120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FILES/RFP/MALIRC/MALI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Users/lgasparian/Desktop/Training/Trackers%20and%20templates/Project%20Equipment%20Inventory%20Tracker.xlsx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hqfilesrv3/project/Users/lgasparian/Desktop/Training/Trackers%20and%20templates/Project%20Equipment%20Inventory%20Tracker.xlsx" TargetMode="External"/><Relationship Id="rId1" Type="http://schemas.openxmlformats.org/officeDocument/2006/relationships/externalLinkPath" Target="/hqfilesrv3/project/Users/lgasparian/Desktop/Training/Trackers%20and%20templates/Project%20Equipment%20Inventory%20Tracker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NADA%20Budget%20BAFO%20II_final%20(unprotected)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lgasparian/Desktop/Training/Trackers%20and%20templates/Project%20Equipment%20Inventory%20Tracker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rt%2002_Mexico%20AMAP%20Budget%20Final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G%20PhP_ECA%20Budget_FINAL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ROUPS\BP\U%20S%20A%20I%20D\U%20S%20A%20I%20D\USAID09\Africa\Morocco%20-%20Youth%20Education%20Program%20RFA\Submission\Morocco%20Youth%20Budget%20FINAL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ROUPS\BP\U%20S%20A%20I%20D\U%20S%20A%20I%20D\USAID10\Africa\Mozambique%20-%20Integrated%20Health%20Social%20Marketing\Budget\Mozambique%20Draft%20Budget%20Dec%201%202010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fkarim\LOCALS~1\Temp\XPgrpwise\Kosovo%20KASS%20Budget%206.16-epr.xls" TargetMode="External"/></Relationships>
</file>

<file path=xl/externalLinks/_rels/externalLink4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s/sibanda_gift/Downloads/FY22_Q3_Commodity_Calculator.xlsx" TargetMode="External"/><Relationship Id="rId1" Type="http://schemas.openxmlformats.org/officeDocument/2006/relationships/externalLinkPath" Target="/Users/sibanda_gift/Downloads/FY22_Q3_Commodity_Calculat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CSC SUMMARY"/>
      <sheetName val="NCSC DETAIL"/>
      <sheetName val="Schedule A"/>
      <sheetName val="Schedule B"/>
      <sheetName val="IPA"/>
      <sheetName val="SB ESTIMATE"/>
      <sheetName val="."/>
      <sheetName val="Sheet2"/>
      <sheetName val="Drop downs"/>
      <sheetName val="IRC SUMMARY"/>
      <sheetName val="Dropdown Menus"/>
      <sheetName val="ABR"/>
      <sheetName val="Key"/>
      <sheetName val="Details GG266"/>
      <sheetName val="IVAP Budget (IRC)"/>
      <sheetName val="Formula Sheet"/>
      <sheetName val="NCSC_SUMMARY"/>
      <sheetName val="NCSC_DETAIL"/>
      <sheetName val="Schedule_A"/>
      <sheetName val="Schedule_B"/>
      <sheetName val="SB_ESTIMATE"/>
      <sheetName val="IRC_SUMMARY"/>
      <sheetName val="_"/>
      <sheetName val="Dropdown_Menus"/>
      <sheetName val="Drop_downs"/>
      <sheetName val="Details_GG266"/>
      <sheetName val="Summary"/>
      <sheetName val="Range_Page6"/>
      <sheetName val="AdminNames"/>
      <sheetName val="Range_Page1"/>
      <sheetName val="Signature_sheet"/>
      <sheetName val="Pricing"/>
      <sheetName val="CODES"/>
      <sheetName val="Baseline_Calc1"/>
      <sheetName val="DropDown"/>
      <sheetName val="Config"/>
      <sheetName val="Summary_Pact"/>
      <sheetName val="Account_code_lookups-_internal"/>
      <sheetName val="Rates"/>
      <sheetName val="Option-Year2"/>
      <sheetName val="CIOSP"/>
      <sheetName val="COST___CASE1"/>
      <sheetName val="Definitions"/>
      <sheetName val="Backend_serv"/>
      <sheetName val="List"/>
      <sheetName val="Budget"/>
      <sheetName val="1411"/>
      <sheetName val="Data,Jan-Mar"/>
      <sheetName val="Data,Apr-Jun"/>
      <sheetName val="Data,Jul-Sept"/>
      <sheetName val="IRC_Format1"/>
      <sheetName val="template"/>
      <sheetName val="Detail_Pact"/>
      <sheetName val="PARAMETER"/>
      <sheetName val="Backend_drugs"/>
      <sheetName val="PARAMETRES"/>
      <sheetName val="#Lookup"/>
      <sheetName val="Budget__by_Objective2"/>
      <sheetName val="Original_Budget1"/>
      <sheetName val="Refs"/>
      <sheetName val="Lists"/>
      <sheetName val="IRC_Format-Detailed_Budget"/>
      <sheetName val="COMMITMENT_TO_BVA2"/>
      <sheetName val="TablesCodes"/>
      <sheetName val="COMMITMENT_TO_BVA1"/>
      <sheetName val="ALL_ACTUALS1"/>
      <sheetName val="Budget__by_Objective4"/>
      <sheetName val="Do_Not_Touch1"/>
      <sheetName val="1_Parameters"/>
      <sheetName val="Budget_Line_Item"/>
      <sheetName val="renvoi"/>
      <sheetName val="Summary_KE_&amp;_SO"/>
      <sheetName val="Grants_in_Pipeline"/>
      <sheetName val="Budget_Line_Item1"/>
      <sheetName val="Country_Budget_x_66"/>
      <sheetName val="Personnel_Costs"/>
      <sheetName val="Facilities"/>
      <sheetName val="insurance_current-SEPT-work"/>
      <sheetName val="Budget__by_Objective1"/>
      <sheetName val="ref1"/>
      <sheetName val="quarters"/>
      <sheetName val="Share_cost_allocation_sheet1"/>
      <sheetName val="Shared_costs_table1"/>
      <sheetName val="SDAs_impact_datasources"/>
      <sheetName val="Sdc's"/>
      <sheetName val="ALL_ACTUALS3"/>
      <sheetName val="Parameters"/>
      <sheetName val="Worksheet_1_Project_budget1"/>
      <sheetName val="Actuals"/>
      <sheetName val="Currencies"/>
      <sheetName val="paramètres"/>
      <sheetName val="CONSOLIDATED SHEET"/>
      <sheetName val="Categories"/>
      <sheetName val="2NER_SF Financial overview - Y2"/>
      <sheetName val="2NER_SF Financial overview - Y3"/>
      <sheetName val="Account"/>
      <sheetName val="Sammary"/>
      <sheetName val="Scenario 1"/>
      <sheetName val="01. Summary Comb"/>
      <sheetName val="CN28302Entry"/>
      <sheetName val="CN28302"/>
      <sheetName val="Cost Notes &amp; Analysis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CSC SUMMARY"/>
      <sheetName val="NCSC DETAIL"/>
      <sheetName val="Schedule A"/>
      <sheetName val="Schedule B"/>
      <sheetName val="IPA"/>
      <sheetName val="SB ESTIMATE"/>
    </sheetNames>
    <sheetDataSet>
      <sheetData sheetId="0"/>
      <sheetData sheetId="1"/>
      <sheetData sheetId="2" refreshError="1"/>
      <sheetData sheetId="3"/>
      <sheetData sheetId="4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Notes1"/>
      <sheetName val="Budget Notes2"/>
      <sheetName val="Budget Summary-SAVE"/>
      <sheetName val="Detailed Budget-SAVE"/>
      <sheetName val="Fringes-SAVE"/>
      <sheetName val="Equipment, Materials &amp; Suppls"/>
      <sheetName val="Component 1- COMMUNITY"/>
      <sheetName val="Component 2- HEALTH SYSTEM"/>
      <sheetName val="Component 3- LG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etailed"/>
      <sheetName val="JHPIEGO"/>
      <sheetName val="HKI"/>
      <sheetName val="TRG"/>
      <sheetName val="Georgetown"/>
      <sheetName val="The Mitchell Group"/>
      <sheetName val="Pop Council"/>
      <sheetName val="Prospect International"/>
      <sheetName val="EVF"/>
      <sheetName val="Training"/>
      <sheetName val="LOE"/>
      <sheetName val="Parameters"/>
      <sheetName val="Chart of Accounts"/>
      <sheetName val="Graph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1a. USAID Summary Budget"/>
      <sheetName val="1b. USAID Detail Budget"/>
      <sheetName val="1c. Summary"/>
      <sheetName val="1d. Summary by CLIN"/>
      <sheetName val="2a. LOE"/>
      <sheetName val="CLIN factor"/>
      <sheetName val="2b. LOE by CLIN"/>
      <sheetName val="3a. Main Detailed"/>
      <sheetName val="3b. CLIN 1 Detailed"/>
      <sheetName val="3c. CLIN 2 Detailed"/>
      <sheetName val="3d. CLIN 3 Detailed"/>
      <sheetName val="4. Travel"/>
      <sheetName val="5. Allowances"/>
      <sheetName val="6. EVF"/>
      <sheetName val="7. Training"/>
      <sheetName val="Annex A. Quals for LT Positions"/>
      <sheetName val="Annex B. STTA Scale"/>
      <sheetName val="Annex C. Fee Percent Breakdown"/>
      <sheetName val="Annex D. Fee Breakdown"/>
      <sheetName val="1a__USAID_Summary_Budget"/>
      <sheetName val="1b__USAID_Detail_Budget"/>
      <sheetName val="1c__Summary"/>
      <sheetName val="1d__Summary_by_CLIN"/>
      <sheetName val="2a__LOE"/>
      <sheetName val="CLIN_factor"/>
      <sheetName val="2b__LOE_by_CLIN"/>
      <sheetName val="3a__Main_Detailed"/>
      <sheetName val="3b__CLIN_1_Detailed"/>
      <sheetName val="3c__CLIN_2_Detailed"/>
      <sheetName val="3d__CLIN_3_Detailed"/>
      <sheetName val="4__Travel"/>
      <sheetName val="5__Allowances"/>
      <sheetName val="6__EVF"/>
      <sheetName val="7__Training"/>
      <sheetName val="Annex_A__Quals_for_LT_Positions"/>
      <sheetName val="Annex_B__STTA_Scale"/>
      <sheetName val="Annex_C__Fee_Percent_Breakdown"/>
      <sheetName val="Annex_D__Fee_Breakdown"/>
      <sheetName val="1a__USAID_Summary_Budget1"/>
      <sheetName val="1b__USAID_Detail_Budget1"/>
      <sheetName val="1c__Summary1"/>
      <sheetName val="1d__Summary_by_CLIN1"/>
      <sheetName val="2a__LOE1"/>
      <sheetName val="CLIN_factor1"/>
      <sheetName val="2b__LOE_by_CLIN1"/>
      <sheetName val="3a__Main_Detailed1"/>
      <sheetName val="3b__CLIN_1_Detailed1"/>
      <sheetName val="3c__CLIN_2_Detailed1"/>
      <sheetName val="3d__CLIN_3_Detailed1"/>
      <sheetName val="4__Travel1"/>
      <sheetName val="5__Allowances1"/>
      <sheetName val="6__EVF1"/>
      <sheetName val="7__Training1"/>
      <sheetName val="Annex_A__Quals_for_LT_Position1"/>
      <sheetName val="Annex_B__STTA_Scale1"/>
      <sheetName val="Annex_C__Fee_Percent_Breakdown1"/>
      <sheetName val="Annex_D__Fee_Breakdow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Chart2"/>
      <sheetName val="Bill Rates"/>
      <sheetName val="#REF"/>
      <sheetName val="Actuals"/>
      <sheetName val="Profit"/>
      <sheetName val="Task 000"/>
      <sheetName val="Forecast"/>
      <sheetName val="001"/>
      <sheetName val="1618000 Roll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Summary"/>
      <sheetName val="Summary by CLIN"/>
      <sheetName val="LOE CLIN 1"/>
      <sheetName val="LOE Total"/>
      <sheetName val="Chemonics"/>
      <sheetName val="CLIN 1"/>
      <sheetName val="CLIN 2"/>
      <sheetName val="CLIN 3"/>
      <sheetName val="CLIN 4"/>
      <sheetName val="Shorebank CLIN 1"/>
      <sheetName val="IFDC CLIN 1"/>
      <sheetName val="Profitability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-Wide Fringe Benefit Calc"/>
      <sheetName val="Fringe Benefit Calc"/>
      <sheetName val="OH calc"/>
      <sheetName val="Labor Calc"/>
      <sheetName val="Notes"/>
      <sheetName val="sample fringe calc"/>
      <sheetName val="sample OH calc"/>
      <sheetName val="sample labor cal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111NH 1"/>
      <sheetName val="1111KT"/>
      <sheetName val="1111NH 2"/>
      <sheetName val="November-11"/>
      <sheetName val="December-11"/>
      <sheetName val="1211LG"/>
      <sheetName val="1211AS"/>
      <sheetName val="Increase &amp; Bonus 2011"/>
      <sheetName val="January-12"/>
      <sheetName val="0112RM"/>
      <sheetName val="February-12"/>
      <sheetName val="March-12"/>
      <sheetName val="HSBC Salary PO instraction"/>
      <sheetName val="0312VA"/>
      <sheetName val="April-12"/>
      <sheetName val="0412AD"/>
      <sheetName val="0412KH"/>
      <sheetName val="0412AV"/>
      <sheetName val="0412AM"/>
      <sheetName val="0412TD"/>
      <sheetName val="May-12"/>
      <sheetName val="0512HS"/>
      <sheetName val="0512PY"/>
      <sheetName val="0512TM"/>
      <sheetName val="June-12"/>
      <sheetName val="0612MT"/>
      <sheetName val="0612VD"/>
      <sheetName val="0612AA"/>
      <sheetName val="0612MS"/>
      <sheetName val="July-12"/>
      <sheetName val="0712NH"/>
      <sheetName val="0712SS"/>
      <sheetName val="0712TM"/>
      <sheetName val="0712GM"/>
      <sheetName val="0712VA"/>
      <sheetName val="0712PY"/>
      <sheetName val="0712AM"/>
      <sheetName val="0712AP"/>
      <sheetName val="0712KH"/>
      <sheetName val="0712AA"/>
      <sheetName val="0712AD"/>
      <sheetName val="0712VD"/>
      <sheetName val="0712AS"/>
      <sheetName val="Aug-12"/>
      <sheetName val="Guards recalculation Aug-12"/>
      <sheetName val="Armen A. recalculation Aug-12"/>
      <sheetName val="0812AD"/>
      <sheetName val="0812AS"/>
      <sheetName val="0812AM"/>
      <sheetName val="0812MH"/>
      <sheetName val="0812LH"/>
      <sheetName val="0812MS"/>
      <sheetName val="0812LA"/>
      <sheetName val="0812TD"/>
      <sheetName val="0812GV"/>
      <sheetName val="0812AK"/>
      <sheetName val="0812KT"/>
      <sheetName val="0812MT"/>
      <sheetName val="Sep-12"/>
      <sheetName val="0912MH"/>
      <sheetName val="0912KH"/>
      <sheetName val="0912KH (2)"/>
      <sheetName val="0912TM"/>
      <sheetName val="Ani Melikyan 1003 Project"/>
      <sheetName val="0912GP"/>
      <sheetName val="0912VD"/>
      <sheetName val="0912SS"/>
      <sheetName val="Oct-12"/>
      <sheetName val="1012AM"/>
      <sheetName val="Nov-12"/>
      <sheetName val="Salary recalculation for KH"/>
      <sheetName val="1112LA"/>
      <sheetName val="1112NH"/>
      <sheetName val="1112RH"/>
      <sheetName val="Dec-12"/>
      <sheetName val="13-th salary for 2012"/>
      <sheetName val="Jan-13"/>
      <sheetName val="Salary recalculation for KH &amp;AA"/>
      <sheetName val="0113LG"/>
      <sheetName val="0113MT"/>
      <sheetName val="0113AM"/>
      <sheetName val="Feb-13"/>
      <sheetName val="March-13"/>
      <sheetName val="0313AM"/>
      <sheetName val="Sheet2"/>
      <sheetName val="484CR"/>
      <sheetName val="1033Cr"/>
      <sheetName val="PO 484CR"/>
      <sheetName val="PO 1033CR"/>
      <sheetName val="Sheet1"/>
      <sheetName val="Sheet1 (2)"/>
      <sheetName val="Sheet1 (3)"/>
      <sheetName val="Rounding"/>
      <sheetName val="Data-in process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Year1"/>
      <sheetName val="Year2"/>
      <sheetName val="RATES"/>
      <sheetName val="Parameters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Voucher"/>
      <sheetName val="Sheet3"/>
      <sheetName val="Sheet2"/>
      <sheetName val="Sheet1"/>
      <sheetName val="Sheet5"/>
      <sheetName val="Nomenclatura Contable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3. LOE"/>
      <sheetName val="Links"/>
      <sheetName val="1. CLIN"/>
      <sheetName val="2. Sum-Yr"/>
      <sheetName val="4. Main"/>
      <sheetName val="5. Travel"/>
      <sheetName val="6. Allow"/>
      <sheetName val="7. EVF"/>
      <sheetName val="8. AIRD"/>
      <sheetName val="9. CARE"/>
      <sheetName val="10. IBI"/>
      <sheetName val="RATES"/>
      <sheetName val="Parameters"/>
      <sheetName val="Travel Voucher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peline"/>
      <sheetName val="LOE Tracker"/>
      <sheetName val="Burn Chart"/>
      <sheetName val="INPUTS - Totals by Units"/>
      <sheetName val="INPUTS Year 1"/>
      <sheetName val="INPUTS Year 2"/>
      <sheetName val="INPUTS Year 3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ly Planner"/>
      <sheetName val="Appointments"/>
      <sheetName val="calcs"/>
      <sheetName val="TS1028023222"/>
      <sheetName val="Legend"/>
    </sheetNames>
    <definedNames>
      <definedName name="StartYear" sheetId="0"/>
    </defined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ETAIL"/>
      <sheetName val="BAHODC"/>
      <sheetName val="SUB1"/>
      <sheetName val="SUB2"/>
      <sheetName val="SUB3"/>
      <sheetName val="SUB4"/>
      <sheetName val="SUB5"/>
      <sheetName val="SUB6"/>
      <sheetName val="SUB7"/>
      <sheetName val="SUB8"/>
      <sheetName val="SUB9"/>
      <sheetName val="INDIRECTS"/>
      <sheetName val="RATES"/>
      <sheetName val="read me first"/>
      <sheetName val="DCAA APPROVED INDIRECT RATES"/>
      <sheetName val="Parameter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Assumptions"/>
      <sheetName val="Summary"/>
      <sheetName val="Loaded"/>
      <sheetName val="Overall"/>
      <sheetName val="CORE"/>
      <sheetName val="Liberia"/>
      <sheetName val="Nigeria"/>
      <sheetName val="Jordan"/>
      <sheetName val="Pakistan"/>
      <sheetName val="ENE"/>
      <sheetName val="LAC"/>
      <sheetName val="ANE"/>
      <sheetName val="AFR"/>
      <sheetName val="ENE(b)"/>
      <sheetName val="LAC1"/>
      <sheetName val="LAC2"/>
      <sheetName val="ANE1"/>
      <sheetName val="ANE2"/>
      <sheetName val="ARF1"/>
      <sheetName val="ARF2"/>
      <sheetName val="ENE1"/>
      <sheetName val="ENE2"/>
      <sheetName val="Budget Notes"/>
      <sheetName val="Cost Share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byYear"/>
      <sheetName val="Detailed"/>
      <sheetName val="LOE"/>
      <sheetName val="EVF"/>
      <sheetName val="EVF-OVC"/>
      <sheetName val="TRG"/>
      <sheetName val="Dev Assoc"/>
      <sheetName val="IGH CEIHD"/>
      <sheetName val="Porter Novelli"/>
      <sheetName val="Citizens"/>
      <sheetName val="HealthScope"/>
      <sheetName val="Parameters"/>
      <sheetName val="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ICRA"/>
      <sheetName val="Active Project"/>
      <sheetName val="Summary"/>
      <sheetName val="Cash Receipt by Project"/>
      <sheetName val="Cost Share"/>
      <sheetName val="Cash Adjustment"/>
      <sheetName val="Cash Receipt-Master"/>
      <sheetName val="FY19"/>
      <sheetName val="FY18"/>
      <sheetName val="FY17"/>
      <sheetName val="FY16"/>
      <sheetName val="FY15"/>
      <sheetName val="FY14"/>
      <sheetName val="FY13"/>
      <sheetName val="FY12"/>
      <sheetName val="FY11"/>
      <sheetName val="FY1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GL-Bank"/>
      <sheetName val="PT"/>
      <sheetName val="PT (2)"/>
      <sheetName val="Chart of Acc"/>
      <sheetName val="Tx-Acc"/>
      <sheetName val="Classes"/>
      <sheetName val="Sheet1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ciliation"/>
      <sheetName val="Payroll August "/>
      <sheetName val="Bank Transfer CBE"/>
      <sheetName val="Income tax"/>
      <sheetName val="Tax rec."/>
      <sheetName val="Inc. tax Rec."/>
      <sheetName val="Pension"/>
      <sheetName val="Pen. rec"/>
      <sheetName val="Pension Rec."/>
      <sheetName val="Abebe Tafa "/>
      <sheetName val="Zenah Aug"/>
      <sheetName val="Severance"/>
      <sheetName val="Rec. work out"/>
      <sheetName val="July back pay"/>
      <sheetName val="Payroll July"/>
      <sheetName val="Backup Formul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udget"/>
      <sheetName val="Revised Budget - CNFA"/>
      <sheetName val="Sheet1"/>
      <sheetName val="Year 4  Projected Budget"/>
      <sheetName val="Consultancies"/>
      <sheetName val="To do"/>
      <sheetName val="100120-Nigeria-Pipeline"/>
      <sheetName val="Y4 2022 Budget Tracker"/>
      <sheetName val="Y5 2022 Budget Tracker"/>
      <sheetName val="Subs"/>
      <sheetName val="rev summary 5-31 (2)"/>
      <sheetName val="Payroll Jan22"/>
      <sheetName val="Allowances"/>
      <sheetName val="JE Austin"/>
      <sheetName val="rev summary 5-31"/>
      <sheetName val="JAA Projections Y4"/>
      <sheetName val="JAA Projections Y5"/>
      <sheetName val="Connexus"/>
      <sheetName val="FY22 Connexus Budget"/>
      <sheetName val="FY23 Connexus Budget"/>
      <sheetName val="LOE"/>
      <sheetName val="Chart of Accou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010-HA"/>
      <sheetName val="1110-HA"/>
      <sheetName val="Oct10"/>
      <sheetName val="Nov10"/>
      <sheetName val="12-10SH"/>
      <sheetName val="Ani"/>
      <sheetName val="Dec10"/>
      <sheetName val="01-11AKh"/>
      <sheetName val="01-11HM"/>
      <sheetName val="Jan11"/>
      <sheetName val="02-11HM"/>
      <sheetName val="02-11AKh"/>
      <sheetName val="02-11SH"/>
      <sheetName val="Feb11"/>
      <sheetName val="March11"/>
      <sheetName val="0411AA"/>
      <sheetName val="0411NH"/>
      <sheetName val="0411AD"/>
      <sheetName val="Apr11"/>
      <sheetName val="May-11"/>
      <sheetName val="0611VM"/>
      <sheetName val="0611NA"/>
      <sheetName val="June-11"/>
      <sheetName val="0711PY"/>
      <sheetName val="0711AM"/>
      <sheetName val="0711AD"/>
      <sheetName val="0711MS"/>
      <sheetName val="0711AsM"/>
      <sheetName val="0711MB"/>
      <sheetName val="0711GV"/>
      <sheetName val="0711HS"/>
      <sheetName val="0711AV"/>
      <sheetName val="0711AKh"/>
      <sheetName val="0711LA"/>
      <sheetName val="July-11"/>
      <sheetName val="0811AV"/>
      <sheetName val="0811AKh"/>
      <sheetName val="0811LA"/>
      <sheetName val="0811MB"/>
      <sheetName val="0811AA"/>
      <sheetName val="0811KnH"/>
      <sheetName val="0811NH"/>
      <sheetName val="0811PY"/>
      <sheetName val="0811KH"/>
      <sheetName val="0811AS"/>
      <sheetName val="0811MS"/>
      <sheetName val="0811RH"/>
      <sheetName val="0811AD"/>
      <sheetName val="0811TD"/>
      <sheetName val="0811SA"/>
      <sheetName val="August-11"/>
      <sheetName val="0911AA"/>
      <sheetName val="0911SA"/>
      <sheetName val="0911GP"/>
      <sheetName val="0911HS"/>
      <sheetName val="0911HM"/>
      <sheetName val="September-11"/>
      <sheetName val="1011AsM"/>
      <sheetName val="1011SH"/>
      <sheetName val="1011TD"/>
      <sheetName val="1011MB"/>
      <sheetName val="October-11"/>
      <sheetName val="1111NH 1"/>
      <sheetName val="1111KT"/>
      <sheetName val="1111NH 2"/>
      <sheetName val="November-11"/>
      <sheetName val="December-11"/>
      <sheetName val="1211LG"/>
      <sheetName val="1211AS"/>
      <sheetName val="January-12"/>
      <sheetName val="0112RM"/>
      <sheetName val="February-12"/>
      <sheetName val="March-12"/>
      <sheetName val="Increase &amp; Bonus 2011"/>
      <sheetName val="HSBC Salary PO instraction"/>
      <sheetName val="0312VA"/>
      <sheetName val="April-12"/>
      <sheetName val="0412AD"/>
      <sheetName val="0412KH"/>
      <sheetName val="0412AV"/>
      <sheetName val="0412AM"/>
      <sheetName val="0412TD"/>
      <sheetName val="May-12"/>
      <sheetName val="0512HS"/>
      <sheetName val="0512PY"/>
      <sheetName val="484CR"/>
      <sheetName val="816Cr"/>
      <sheetName val="1000Cr"/>
      <sheetName val="PO 484CR"/>
      <sheetName val="PO 816CR"/>
      <sheetName val="PO 1000CR"/>
      <sheetName val="Data-in process"/>
      <sheetName val="Sheet1"/>
      <sheetName val="Sheet1 (2)"/>
      <sheetName val="Sheet1 (3)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E"/>
      <sheetName val="Budget"/>
      <sheetName val="formulas"/>
    </sheetNames>
    <sheetDataSet>
      <sheetData sheetId="0"/>
      <sheetData sheetId="1"/>
      <sheetData sheetId="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New Format Budget Y1-3"/>
      <sheetName val="Budget Summary  "/>
      <sheetName val=" Budget Y1  "/>
      <sheetName val="Budget Y2"/>
      <sheetName val="Budget Y3"/>
      <sheetName val="Drp Down Menu lists "/>
      <sheetName val="HK Budget"/>
      <sheetName val="Pricing Table"/>
      <sheetName val="LOE"/>
      <sheetName val="Activity - Detailed Budget"/>
      <sheetName val="Sheet1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ETAIL Burkina Faso"/>
      <sheetName val="DETAIL Niger"/>
      <sheetName val="Travel Table"/>
      <sheetName val="Training"/>
      <sheetName val="NXP"/>
      <sheetName val="DETAIL_Burkina_Faso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Long-term project staff"/>
      <sheetName val="Short Term Technical Assistance"/>
      <sheetName val="Travel"/>
      <sheetName val="Other Direct Costs"/>
      <sheetName val="Allowances"/>
      <sheetName val="EDP"/>
      <sheetName val="formulas"/>
      <sheetName val="Long-term_project_staff"/>
      <sheetName val="Short_Term_Technical_Assistance"/>
      <sheetName val="Other_Direct_Costs"/>
      <sheetName val="Long-term_project_staff1"/>
      <sheetName val="Short_Term_Technical_Assistanc1"/>
      <sheetName val="Other_Direct_Cost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Review"/>
      <sheetName val="MOBIS Schedule-Salary Analysis"/>
      <sheetName val="Summary by Year"/>
      <sheetName val="Summary by CLIN"/>
      <sheetName val="Staffing List"/>
      <sheetName val="Profitability"/>
      <sheetName val="Schedule Items-Labor"/>
      <sheetName val="Summary-Non-Labor"/>
      <sheetName val="Schedule Items-Other"/>
      <sheetName val="Non-Sch ODCs"/>
      <sheetName val="Procurement"/>
      <sheetName val="Local Travel "/>
      <sheetName val="Project Activity ODCs"/>
      <sheetName val="CLIN Ref"/>
      <sheetName val="DAI CLIN 1"/>
      <sheetName val="DAI CLIN 2"/>
      <sheetName val="DAI CLIN 3"/>
      <sheetName val="DAI CLIN 4"/>
      <sheetName val="Assumptions"/>
      <sheetName val="MOBIS Labor Categories"/>
      <sheetName val="MOBIS Schedule"/>
      <sheetName val="MOBIS Sch Expat"/>
      <sheetName val="MOBIS Schedule CCN "/>
      <sheetName val="Reference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etail-1"/>
      <sheetName val="IFLT Budget"/>
      <sheetName val="CCC Budget"/>
      <sheetName val="Institute Justification"/>
      <sheetName val="Travel"/>
      <sheetName val="Workshops"/>
      <sheetName val="SF424"/>
      <sheetName val="SF424A1"/>
      <sheetName val="SF424A2"/>
      <sheetName val="Links"/>
    </sheetNames>
    <sheetDataSet>
      <sheetData sheetId="0">
        <row r="1">
          <cell r="J1">
            <v>1.05</v>
          </cell>
        </row>
      </sheetData>
      <sheetData sheetId="1">
        <row r="1">
          <cell r="J1">
            <v>1.05</v>
          </cell>
        </row>
        <row r="2">
          <cell r="J2">
            <v>1.04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Review"/>
      <sheetName val="Profitability"/>
      <sheetName val="Summary"/>
      <sheetName val="DAI Budget "/>
      <sheetName val="DevTech"/>
      <sheetName val="The M Group "/>
      <sheetName val="Office"/>
      <sheetName val="US FBR"/>
      <sheetName val="Assumptions"/>
      <sheetName val="Schedule Items-Labor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MAP-MF"/>
      <sheetName val="DAI Budget "/>
      <sheetName val="Pricing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AP-MF"/>
      <sheetName val="IT Specs"/>
      <sheetName val="Office Gear"/>
      <sheetName val="Assumptions"/>
      <sheetName val="Summary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ervice Revenue"/>
      <sheetName val="Profitability"/>
      <sheetName val="A. US Expat"/>
      <sheetName val="B. Local Hire and TCNs"/>
      <sheetName val="Travel"/>
      <sheetName val="Local Travel"/>
      <sheetName val="Allowances"/>
      <sheetName val="Admin  &amp; Support"/>
      <sheetName val="Computer Equipment"/>
      <sheetName val="Office"/>
      <sheetName val="ACCION"/>
      <sheetName val="OSU"/>
      <sheetName val="CEAL"/>
      <sheetName val="ICC"/>
      <sheetName val="IMCC"/>
      <sheetName val="Quisqueya"/>
      <sheetName val="MF Look-up Table"/>
      <sheetName val="Assumptions"/>
      <sheetName val="AMAP-M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ons"/>
      <sheetName val="Parameters"/>
      <sheetName val="Back of Envelope"/>
      <sheetName val="1A. USAID Summary"/>
      <sheetName val="1B. Summary"/>
      <sheetName val="2. LOE"/>
      <sheetName val="3. Main Detailed"/>
      <sheetName val="4. Travel"/>
      <sheetName val="5. Allowances"/>
      <sheetName val="6. EVF"/>
      <sheetName val="7. CRS"/>
      <sheetName val="Subplan Goal Estimator"/>
      <sheetName val="Profit Analysis"/>
      <sheetName val="Unallowable Costs"/>
      <sheetName val="Back_of_Envelope"/>
      <sheetName val="1A__USAID_Summary"/>
      <sheetName val="1B__Summary"/>
      <sheetName val="2__LOE"/>
      <sheetName val="3__Main_Detailed"/>
      <sheetName val="4__Travel"/>
      <sheetName val="5__Allowances"/>
      <sheetName val="6__EVF"/>
      <sheetName val="7__CRS"/>
      <sheetName val="Subplan_Goal_Estimator"/>
      <sheetName val="Profit_Analysis"/>
      <sheetName val="Unallowable_Costs"/>
      <sheetName val="Back_of_Envelope1"/>
      <sheetName val="1A__USAID_Summary1"/>
      <sheetName val="1B__Summary1"/>
      <sheetName val="2__LOE1"/>
      <sheetName val="3__Main_Detailed1"/>
      <sheetName val="4__Travel1"/>
      <sheetName val="5__Allowances1"/>
      <sheetName val="6__EVF1"/>
      <sheetName val="7__CRS1"/>
      <sheetName val="Subplan_Goal_Estimator1"/>
      <sheetName val="Profit_Analysis1"/>
      <sheetName val="Unallowable_Costs1"/>
      <sheetName val="Back_of_Envelope2"/>
      <sheetName val="1A__USAID_Summary2"/>
      <sheetName val="1B__Summary2"/>
      <sheetName val="2__LOE2"/>
      <sheetName val="3__Main_Detailed2"/>
      <sheetName val="4__Travel2"/>
      <sheetName val="5__Allowances2"/>
      <sheetName val="6__EVF2"/>
      <sheetName val="7__CRS2"/>
      <sheetName val="Subplan_Goal_Estimator2"/>
      <sheetName val="Profit_Analysis2"/>
      <sheetName val="Unallowable_Cost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ournal Entry"/>
      <sheetName val="mapping"/>
      <sheetName val="Categories"/>
      <sheetName val="TRANSACTION I3R Mar 2004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udget"/>
      <sheetName val="Info"/>
      <sheetName val="Summary_Budget"/>
    </sheetNames>
    <sheetDataSet>
      <sheetData sheetId="0"/>
      <sheetData sheetId="1"/>
      <sheetData sheetId="2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 Comp"/>
      <sheetName val="Summary by Year"/>
      <sheetName val="Summary by CLIN"/>
      <sheetName val="Summary Fee"/>
      <sheetName val="CLIN 1 Fee"/>
      <sheetName val="CLIN 2 Fee "/>
      <sheetName val="CLIN 3 Fee"/>
      <sheetName val="CLIN 4 Fee"/>
      <sheetName val="CLIN 5 Fee "/>
      <sheetName val="LABOR SUMMARY by CLIN"/>
      <sheetName val="Prof Labor by Year"/>
      <sheetName val="CCN Rates"/>
      <sheetName val="Prof Labor by CLIN"/>
      <sheetName val="Service &amp; Support Staff by Year"/>
      <sheetName val="Service &amp; Support by CLIN "/>
      <sheetName val="Fringe-US Expats by Year"/>
      <sheetName val="Fringe-US Expats by CLIN"/>
      <sheetName val="Social Charges-CCN by Year"/>
      <sheetName val="Social Charges-CCNs by CLIN"/>
      <sheetName val="Social Charges-S&amp;S by Year"/>
      <sheetName val="Social Charges-S&amp;S by CLIN"/>
      <sheetName val="Overhead-Prof Labor by Year"/>
      <sheetName val="Overhead-Prof Labor by CLIN"/>
      <sheetName val="Local Labor by Year"/>
      <sheetName val="Local Labor by CLIN"/>
      <sheetName val="LOCAL OH&amp;Soc. Costs"/>
      <sheetName val="Post Diff by Year"/>
      <sheetName val="Post Diff by CLIN"/>
      <sheetName val="Post Allow by Year"/>
      <sheetName val="Post Allow by CLIN"/>
      <sheetName val="Danger Pay by Year"/>
      <sheetName val="Danger Pay by CLIN"/>
      <sheetName val=" DBA-FGL by Year"/>
      <sheetName val=" DBA-FGL by CLIN"/>
      <sheetName val="US Allow by Year"/>
      <sheetName val="US Allow by CLIN"/>
      <sheetName val=" Travel-Start-up"/>
      <sheetName val="Local Travel by Year"/>
      <sheetName val=" Int'l Travel by Year"/>
      <sheetName val="Travel by CLIN"/>
      <sheetName val=" Program Support Costs"/>
      <sheetName val="Program Support Detail"/>
      <sheetName val="Computer Equipment"/>
      <sheetName val="Office Gear"/>
      <sheetName val="G&amp; C by Year"/>
      <sheetName val="G&amp;C by CLIN"/>
      <sheetName val="G&amp;C Detail"/>
      <sheetName val="Annex B Mtg-Wsho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1TRIAL"/>
      <sheetName val="02CASH BANK"/>
      <sheetName val="03PAYABLE"/>
      <sheetName val="04EXPEND"/>
      <sheetName val="05TRAN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 Values"/>
      <sheetName val="Formula_Values"/>
      <sheetName val="formulas"/>
      <sheetName val="Info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2"/>
      <sheetName val="Sheet3"/>
      <sheetName val="Codes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mob Cost"/>
      <sheetName val="Michael T."/>
      <sheetName val="COMPENSATION"/>
      <sheetName val="DAI Summary (CPFF)"/>
      <sheetName val="Salaries (CPFF)"/>
      <sheetName val="Fringe"/>
      <sheetName val="Overhead"/>
      <sheetName val="Gross Margin"/>
      <sheetName val="Profit Sum"/>
      <sheetName val="Labor Profit"/>
      <sheetName val="LOE Totals"/>
      <sheetName val="Sum By Yr"/>
      <sheetName val="Sum By Component"/>
      <sheetName val="Budget Comp 1"/>
      <sheetName val="Budget Comp 2 "/>
      <sheetName val="Budget Comp 3"/>
      <sheetName val="Budget Comp 4"/>
      <sheetName val="Budget Comp 5"/>
      <sheetName val="Est. Labor LOE by Comp."/>
      <sheetName val="ODCs"/>
      <sheetName val="Travel"/>
      <sheetName val="Allowances"/>
      <sheetName val="Training"/>
      <sheetName val="Equipment"/>
      <sheetName val="Severence Pay"/>
      <sheetName val="OTF Sum"/>
      <sheetName val="WRI Sum"/>
      <sheetName val="changes"/>
      <sheetName val="Changes2"/>
      <sheetName val="Assumptions"/>
      <sheetName val="Labor By Comp"/>
      <sheetName val="MOBIS Days"/>
      <sheetName val="Salaries"/>
      <sheetName val="TQSA Calc"/>
      <sheetName val="HH Exp Calc"/>
      <sheetName val="OTF Budget"/>
      <sheetName val="WRI Budget"/>
      <sheetName val="MOBIS Schedule"/>
      <sheetName val="Subcontracts"/>
      <sheetName val="IRM (old)"/>
      <sheetName val="IRM (dai)"/>
      <sheetName val="PACT (old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Codes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. US Expat"/>
      <sheetName val="B. Local Hire and TCNs"/>
      <sheetName val="Travel"/>
      <sheetName val="Local Travel"/>
      <sheetName val="Allowances"/>
      <sheetName val="Admin  &amp; Support"/>
      <sheetName val="Computer Equipment"/>
      <sheetName val="Office"/>
      <sheetName val="ACCION"/>
      <sheetName val="OSU"/>
      <sheetName val="CEAL"/>
      <sheetName val="ICC"/>
      <sheetName val="IMCC"/>
      <sheetName val="Quisqueya"/>
      <sheetName val="MF Look-up Table"/>
      <sheetName val="Assumptions"/>
      <sheetName val=" Program Support Cos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SF 1411"/>
      <sheetName val="Budget Summary by Cost Element"/>
      <sheetName val="LTTA and STTA Summary"/>
      <sheetName val="Summary Staffing Matrix"/>
      <sheetName val="5-Year Detailed Budget Estimate"/>
      <sheetName val="Rate Approval Request"/>
      <sheetName val="CCN Social Cost Estimate"/>
      <sheetName val="Travel Fares Analysis"/>
      <sheetName val="IRG Inflation &amp; Merit Factors"/>
      <sheetName val="IQC Labor categories"/>
      <sheetName val="Graph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F424"/>
      <sheetName val="SF424-A"/>
      <sheetName val="SUMMARY"/>
      <sheetName val="DETAIL"/>
    </sheetNames>
    <sheetDataSet>
      <sheetData sheetId="0"/>
      <sheetData sheetId="1"/>
      <sheetData sheetId="2"/>
      <sheetData sheetId="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F424A"/>
      <sheetName val="SF424"/>
      <sheetName val="SUMMARY"/>
      <sheetName val="DETAIL"/>
      <sheetName val="STTA LOE"/>
      <sheetName val="STTA_LOE"/>
      <sheetName val="STTA_LOE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ED SUMMARY BUDGET"/>
      <sheetName val="AED DETAILED BUDGET"/>
      <sheetName val="AED EQUIPMENT SCHEDULE"/>
      <sheetName val="KEC"/>
      <sheetName val="AED_SUMMARY_BUDGET"/>
      <sheetName val="AED_DETAILED_BUDGET"/>
      <sheetName val="AED_EQUIPMENT_SCHEDULE"/>
      <sheetName val="AED_SUMMARY_BUDGET1"/>
      <sheetName val="AED_DETAILED_BUDGET1"/>
      <sheetName val="AED_EQUIPMENT_SCHEDULE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MMODITY CALCULATOR"/>
      <sheetName val="Commodity Prices"/>
      <sheetName val="Ocean Freight Rates"/>
    </sheetNames>
    <sheetDataSet>
      <sheetData sheetId="0" refreshError="1"/>
      <sheetData sheetId="1" refreshError="1"/>
      <sheetData sheetId="2" refreshError="1">
        <row r="2">
          <cell r="C2" t="str">
            <v>Packaged</v>
          </cell>
          <cell r="D2" t="str">
            <v>Bulk&lt;20K</v>
          </cell>
          <cell r="E2" t="str">
            <v>Bulk&gt;20K</v>
          </cell>
        </row>
        <row r="3">
          <cell r="B3" t="str">
            <v>Afghanistan</v>
          </cell>
          <cell r="C3">
            <v>167.5</v>
          </cell>
          <cell r="D3">
            <v>150</v>
          </cell>
          <cell r="E3">
            <v>150</v>
          </cell>
        </row>
        <row r="4">
          <cell r="B4" t="str">
            <v>Albania</v>
          </cell>
          <cell r="C4" t="str">
            <v>N/A</v>
          </cell>
          <cell r="D4">
            <v>160</v>
          </cell>
          <cell r="E4">
            <v>160</v>
          </cell>
        </row>
        <row r="5">
          <cell r="B5" t="str">
            <v>Algeria</v>
          </cell>
          <cell r="C5">
            <v>261.25</v>
          </cell>
          <cell r="D5">
            <v>162.5</v>
          </cell>
          <cell r="E5">
            <v>162.5</v>
          </cell>
        </row>
        <row r="6">
          <cell r="B6" t="str">
            <v>Andorra</v>
          </cell>
          <cell r="C6" t="str">
            <v>N/A</v>
          </cell>
          <cell r="D6">
            <v>160</v>
          </cell>
          <cell r="E6">
            <v>160</v>
          </cell>
        </row>
        <row r="7">
          <cell r="B7" t="str">
            <v>Angola</v>
          </cell>
          <cell r="C7">
            <v>225</v>
          </cell>
          <cell r="D7">
            <v>150</v>
          </cell>
          <cell r="E7">
            <v>150</v>
          </cell>
        </row>
        <row r="8">
          <cell r="B8" t="str">
            <v>Antigua and Barbuda</v>
          </cell>
          <cell r="C8" t="str">
            <v>N/A</v>
          </cell>
          <cell r="D8">
            <v>160</v>
          </cell>
          <cell r="E8">
            <v>160</v>
          </cell>
        </row>
        <row r="9">
          <cell r="B9" t="str">
            <v>Argentina</v>
          </cell>
          <cell r="C9" t="str">
            <v>N/A</v>
          </cell>
          <cell r="D9">
            <v>160</v>
          </cell>
          <cell r="E9">
            <v>160</v>
          </cell>
        </row>
        <row r="10">
          <cell r="B10" t="str">
            <v>Armenia</v>
          </cell>
          <cell r="C10" t="str">
            <v>N/A</v>
          </cell>
          <cell r="D10">
            <v>160</v>
          </cell>
          <cell r="E10">
            <v>160</v>
          </cell>
        </row>
        <row r="11">
          <cell r="B11" t="str">
            <v>Australia</v>
          </cell>
          <cell r="C11" t="str">
            <v>N/A</v>
          </cell>
          <cell r="D11">
            <v>160</v>
          </cell>
          <cell r="E11">
            <v>160</v>
          </cell>
        </row>
        <row r="12">
          <cell r="B12" t="str">
            <v>Austria</v>
          </cell>
          <cell r="C12" t="str">
            <v>N/A</v>
          </cell>
          <cell r="D12">
            <v>160</v>
          </cell>
          <cell r="E12">
            <v>160</v>
          </cell>
        </row>
        <row r="13">
          <cell r="B13" t="str">
            <v>Azerbaijan</v>
          </cell>
          <cell r="C13" t="str">
            <v>N/A</v>
          </cell>
          <cell r="D13">
            <v>160</v>
          </cell>
          <cell r="E13">
            <v>160</v>
          </cell>
        </row>
        <row r="14">
          <cell r="B14" t="str">
            <v>Bahamas</v>
          </cell>
          <cell r="C14" t="str">
            <v>N/A</v>
          </cell>
          <cell r="D14">
            <v>160</v>
          </cell>
          <cell r="E14">
            <v>160</v>
          </cell>
        </row>
        <row r="15">
          <cell r="B15" t="str">
            <v>Bahrain</v>
          </cell>
          <cell r="C15" t="str">
            <v>N/A</v>
          </cell>
          <cell r="D15">
            <v>160</v>
          </cell>
          <cell r="E15">
            <v>160</v>
          </cell>
        </row>
        <row r="16">
          <cell r="B16" t="str">
            <v>Bangladesh</v>
          </cell>
          <cell r="C16">
            <v>167.5</v>
          </cell>
          <cell r="D16">
            <v>150</v>
          </cell>
          <cell r="E16">
            <v>150</v>
          </cell>
        </row>
        <row r="17">
          <cell r="B17" t="str">
            <v>Barbados</v>
          </cell>
          <cell r="C17" t="str">
            <v>N/A</v>
          </cell>
          <cell r="D17">
            <v>160</v>
          </cell>
          <cell r="E17">
            <v>160</v>
          </cell>
        </row>
        <row r="18">
          <cell r="B18" t="str">
            <v>Belarus</v>
          </cell>
          <cell r="C18" t="str">
            <v>N/A</v>
          </cell>
          <cell r="D18">
            <v>160</v>
          </cell>
          <cell r="E18">
            <v>160</v>
          </cell>
        </row>
        <row r="19">
          <cell r="B19" t="str">
            <v>Belgium</v>
          </cell>
          <cell r="C19" t="str">
            <v>N/A</v>
          </cell>
          <cell r="D19">
            <v>160</v>
          </cell>
          <cell r="E19">
            <v>160</v>
          </cell>
        </row>
        <row r="20">
          <cell r="B20" t="str">
            <v>Belize</v>
          </cell>
          <cell r="C20" t="str">
            <v>N/A</v>
          </cell>
          <cell r="D20">
            <v>160</v>
          </cell>
          <cell r="E20">
            <v>160</v>
          </cell>
        </row>
        <row r="21">
          <cell r="B21" t="str">
            <v>Benin</v>
          </cell>
          <cell r="C21">
            <v>261.25</v>
          </cell>
          <cell r="D21">
            <v>162.5</v>
          </cell>
          <cell r="E21">
            <v>162.5</v>
          </cell>
        </row>
        <row r="22">
          <cell r="B22" t="str">
            <v>Bhutan</v>
          </cell>
          <cell r="C22" t="str">
            <v>N/A</v>
          </cell>
          <cell r="D22">
            <v>160</v>
          </cell>
          <cell r="E22">
            <v>160</v>
          </cell>
        </row>
        <row r="23">
          <cell r="B23" t="str">
            <v>Bolivia</v>
          </cell>
          <cell r="C23" t="str">
            <v>N/A</v>
          </cell>
          <cell r="D23">
            <v>160</v>
          </cell>
          <cell r="E23">
            <v>160</v>
          </cell>
        </row>
        <row r="24">
          <cell r="B24" t="str">
            <v>Bosnia and Herzegovina</v>
          </cell>
          <cell r="C24" t="str">
            <v>N/A</v>
          </cell>
          <cell r="D24">
            <v>160</v>
          </cell>
          <cell r="E24">
            <v>160</v>
          </cell>
        </row>
        <row r="25">
          <cell r="B25" t="str">
            <v>Botswana</v>
          </cell>
          <cell r="C25">
            <v>225</v>
          </cell>
          <cell r="D25">
            <v>150</v>
          </cell>
          <cell r="E25">
            <v>150</v>
          </cell>
        </row>
        <row r="26">
          <cell r="B26" t="str">
            <v>Brazil</v>
          </cell>
          <cell r="C26" t="str">
            <v>N/A</v>
          </cell>
          <cell r="D26">
            <v>160</v>
          </cell>
          <cell r="E26">
            <v>160</v>
          </cell>
        </row>
        <row r="27">
          <cell r="B27" t="str">
            <v>Brunei</v>
          </cell>
          <cell r="C27" t="str">
            <v>N/A</v>
          </cell>
          <cell r="D27">
            <v>160</v>
          </cell>
          <cell r="E27">
            <v>160</v>
          </cell>
        </row>
        <row r="28">
          <cell r="B28" t="str">
            <v>Bulgaria</v>
          </cell>
          <cell r="C28" t="str">
            <v>N/A</v>
          </cell>
          <cell r="D28">
            <v>160</v>
          </cell>
          <cell r="E28">
            <v>160</v>
          </cell>
        </row>
        <row r="29">
          <cell r="B29" t="str">
            <v>Burkina Faso</v>
          </cell>
          <cell r="C29">
            <v>261.25</v>
          </cell>
          <cell r="D29">
            <v>162.5</v>
          </cell>
          <cell r="E29">
            <v>162.5</v>
          </cell>
        </row>
        <row r="30">
          <cell r="B30" t="str">
            <v>Burundi</v>
          </cell>
          <cell r="C30">
            <v>225</v>
          </cell>
          <cell r="D30">
            <v>150</v>
          </cell>
          <cell r="E30">
            <v>150</v>
          </cell>
        </row>
        <row r="31">
          <cell r="B31" t="str">
            <v>Cambodia</v>
          </cell>
          <cell r="C31" t="str">
            <v>N/A</v>
          </cell>
          <cell r="D31">
            <v>160</v>
          </cell>
          <cell r="E31">
            <v>160</v>
          </cell>
        </row>
        <row r="32">
          <cell r="B32" t="str">
            <v>Cameroon</v>
          </cell>
          <cell r="C32">
            <v>261.25</v>
          </cell>
          <cell r="D32">
            <v>162.5</v>
          </cell>
          <cell r="E32">
            <v>162.5</v>
          </cell>
        </row>
        <row r="33">
          <cell r="B33" t="str">
            <v>Canada</v>
          </cell>
          <cell r="C33" t="str">
            <v>N/A</v>
          </cell>
          <cell r="D33">
            <v>160</v>
          </cell>
          <cell r="E33">
            <v>160</v>
          </cell>
        </row>
        <row r="34">
          <cell r="B34" t="str">
            <v>CAR</v>
          </cell>
          <cell r="C34">
            <v>261.25</v>
          </cell>
          <cell r="D34">
            <v>162.5</v>
          </cell>
          <cell r="E34">
            <v>162.5</v>
          </cell>
        </row>
        <row r="35">
          <cell r="B35" t="str">
            <v>Chad</v>
          </cell>
          <cell r="C35">
            <v>261.25</v>
          </cell>
          <cell r="D35">
            <v>162.5</v>
          </cell>
          <cell r="E35">
            <v>162.5</v>
          </cell>
        </row>
        <row r="36">
          <cell r="B36" t="str">
            <v>Chile</v>
          </cell>
          <cell r="C36" t="str">
            <v>N/A</v>
          </cell>
          <cell r="D36">
            <v>160</v>
          </cell>
          <cell r="E36">
            <v>160</v>
          </cell>
        </row>
        <row r="37">
          <cell r="B37" t="str">
            <v>Colombia</v>
          </cell>
          <cell r="C37">
            <v>180</v>
          </cell>
          <cell r="D37" t="str">
            <v>N/A</v>
          </cell>
          <cell r="E37" t="str">
            <v>N/A</v>
          </cell>
        </row>
        <row r="38">
          <cell r="B38" t="str">
            <v>Comoros</v>
          </cell>
          <cell r="C38">
            <v>225</v>
          </cell>
          <cell r="D38">
            <v>150</v>
          </cell>
          <cell r="E38">
            <v>150</v>
          </cell>
        </row>
        <row r="39">
          <cell r="B39" t="str">
            <v>Costa Rica</v>
          </cell>
          <cell r="C39" t="str">
            <v>N/A</v>
          </cell>
          <cell r="D39">
            <v>160</v>
          </cell>
          <cell r="E39">
            <v>160</v>
          </cell>
        </row>
        <row r="40">
          <cell r="B40" t="str">
            <v>Cote d'Ivoire</v>
          </cell>
          <cell r="C40">
            <v>261.25</v>
          </cell>
          <cell r="D40">
            <v>162.5</v>
          </cell>
          <cell r="E40">
            <v>162.5</v>
          </cell>
        </row>
        <row r="41">
          <cell r="B41" t="str">
            <v>Croatia</v>
          </cell>
          <cell r="C41" t="str">
            <v>N/A</v>
          </cell>
          <cell r="D41">
            <v>160</v>
          </cell>
          <cell r="E41">
            <v>160</v>
          </cell>
        </row>
        <row r="42">
          <cell r="B42" t="str">
            <v>Cuba</v>
          </cell>
          <cell r="C42" t="str">
            <v>N/A</v>
          </cell>
          <cell r="D42">
            <v>160</v>
          </cell>
          <cell r="E42">
            <v>160</v>
          </cell>
        </row>
        <row r="43">
          <cell r="B43" t="str">
            <v>Cyprus</v>
          </cell>
          <cell r="C43" t="str">
            <v>N/A</v>
          </cell>
          <cell r="D43">
            <v>160</v>
          </cell>
          <cell r="E43">
            <v>160</v>
          </cell>
        </row>
        <row r="44">
          <cell r="B44" t="str">
            <v>Czech Republic</v>
          </cell>
          <cell r="C44" t="str">
            <v>N/A</v>
          </cell>
          <cell r="D44">
            <v>160</v>
          </cell>
          <cell r="E44">
            <v>160</v>
          </cell>
        </row>
        <row r="45">
          <cell r="B45" t="str">
            <v>Denmark</v>
          </cell>
          <cell r="C45" t="str">
            <v>N/A</v>
          </cell>
          <cell r="D45">
            <v>160</v>
          </cell>
          <cell r="E45">
            <v>160</v>
          </cell>
        </row>
        <row r="46">
          <cell r="B46" t="str">
            <v>Djibouti</v>
          </cell>
          <cell r="C46">
            <v>200</v>
          </cell>
          <cell r="D46">
            <v>161.25</v>
          </cell>
          <cell r="E46">
            <v>161.25</v>
          </cell>
        </row>
        <row r="47">
          <cell r="B47" t="str">
            <v>Dominica</v>
          </cell>
          <cell r="C47" t="str">
            <v>N/A</v>
          </cell>
          <cell r="D47">
            <v>160</v>
          </cell>
          <cell r="E47">
            <v>160</v>
          </cell>
        </row>
        <row r="48">
          <cell r="B48" t="str">
            <v>Dominican Republic</v>
          </cell>
          <cell r="C48" t="str">
            <v>N/A</v>
          </cell>
          <cell r="D48">
            <v>160</v>
          </cell>
          <cell r="E48">
            <v>160</v>
          </cell>
        </row>
        <row r="49">
          <cell r="B49" t="str">
            <v>DPRK</v>
          </cell>
          <cell r="C49" t="str">
            <v>N/A</v>
          </cell>
          <cell r="D49">
            <v>160</v>
          </cell>
          <cell r="E49">
            <v>160</v>
          </cell>
        </row>
        <row r="50">
          <cell r="B50" t="str">
            <v>DR Congo</v>
          </cell>
          <cell r="C50">
            <v>225</v>
          </cell>
          <cell r="D50">
            <v>150</v>
          </cell>
          <cell r="E50">
            <v>150</v>
          </cell>
        </row>
        <row r="51">
          <cell r="B51" t="str">
            <v>E. Timor</v>
          </cell>
          <cell r="C51" t="str">
            <v>N/A</v>
          </cell>
          <cell r="D51">
            <v>160</v>
          </cell>
          <cell r="E51">
            <v>160</v>
          </cell>
        </row>
        <row r="52">
          <cell r="B52" t="str">
            <v>Ecuador</v>
          </cell>
          <cell r="C52">
            <v>180</v>
          </cell>
          <cell r="D52" t="str">
            <v>N/A</v>
          </cell>
          <cell r="E52" t="str">
            <v>N/A</v>
          </cell>
        </row>
        <row r="53">
          <cell r="B53" t="str">
            <v>Egypt</v>
          </cell>
          <cell r="C53">
            <v>200</v>
          </cell>
          <cell r="D53">
            <v>161.25</v>
          </cell>
          <cell r="E53">
            <v>161.25</v>
          </cell>
        </row>
        <row r="54">
          <cell r="B54" t="str">
            <v>El Salvador</v>
          </cell>
          <cell r="C54">
            <v>180</v>
          </cell>
          <cell r="D54" t="str">
            <v>N/A</v>
          </cell>
          <cell r="E54" t="str">
            <v>N/A</v>
          </cell>
        </row>
        <row r="55">
          <cell r="B55" t="str">
            <v>Equatorial Guinea</v>
          </cell>
          <cell r="C55">
            <v>261.25</v>
          </cell>
          <cell r="D55">
            <v>162.5</v>
          </cell>
          <cell r="E55">
            <v>162.5</v>
          </cell>
        </row>
        <row r="56">
          <cell r="B56" t="str">
            <v>Eritrea</v>
          </cell>
          <cell r="C56">
            <v>200</v>
          </cell>
          <cell r="D56">
            <v>161.25</v>
          </cell>
          <cell r="E56">
            <v>161.25</v>
          </cell>
        </row>
        <row r="57">
          <cell r="B57" t="str">
            <v>Estonia</v>
          </cell>
          <cell r="C57" t="str">
            <v>N/A</v>
          </cell>
          <cell r="D57">
            <v>160</v>
          </cell>
          <cell r="E57">
            <v>160</v>
          </cell>
        </row>
        <row r="58">
          <cell r="B58" t="str">
            <v>Ethiopia</v>
          </cell>
          <cell r="C58">
            <v>200</v>
          </cell>
          <cell r="D58">
            <v>161.25</v>
          </cell>
          <cell r="E58">
            <v>161.25</v>
          </cell>
        </row>
        <row r="59">
          <cell r="B59" t="str">
            <v>Fiji</v>
          </cell>
          <cell r="C59" t="str">
            <v>N/A</v>
          </cell>
          <cell r="D59">
            <v>160</v>
          </cell>
          <cell r="E59">
            <v>160</v>
          </cell>
        </row>
        <row r="60">
          <cell r="B60" t="str">
            <v>Finland</v>
          </cell>
          <cell r="C60" t="str">
            <v>N/A</v>
          </cell>
          <cell r="D60">
            <v>160</v>
          </cell>
          <cell r="E60">
            <v>160</v>
          </cell>
        </row>
        <row r="61">
          <cell r="B61" t="str">
            <v>France</v>
          </cell>
          <cell r="C61" t="str">
            <v>N/A</v>
          </cell>
          <cell r="D61">
            <v>160</v>
          </cell>
          <cell r="E61">
            <v>160</v>
          </cell>
        </row>
        <row r="62">
          <cell r="B62" t="str">
            <v>Gabon</v>
          </cell>
          <cell r="C62">
            <v>261.25</v>
          </cell>
          <cell r="D62">
            <v>162.5</v>
          </cell>
          <cell r="E62">
            <v>162.5</v>
          </cell>
        </row>
        <row r="63">
          <cell r="B63" t="str">
            <v>Gambia</v>
          </cell>
          <cell r="C63">
            <v>261.25</v>
          </cell>
          <cell r="D63">
            <v>162.5</v>
          </cell>
          <cell r="E63">
            <v>162.5</v>
          </cell>
        </row>
        <row r="64">
          <cell r="B64" t="str">
            <v>Georgia</v>
          </cell>
          <cell r="C64" t="str">
            <v>N/A</v>
          </cell>
          <cell r="D64">
            <v>160</v>
          </cell>
          <cell r="E64">
            <v>160</v>
          </cell>
        </row>
        <row r="65">
          <cell r="B65" t="str">
            <v>Ghana</v>
          </cell>
          <cell r="C65">
            <v>261.25</v>
          </cell>
          <cell r="D65">
            <v>162.5</v>
          </cell>
          <cell r="E65">
            <v>162.5</v>
          </cell>
        </row>
        <row r="66">
          <cell r="B66" t="str">
            <v>Ginea Bissau</v>
          </cell>
          <cell r="C66">
            <v>261.25</v>
          </cell>
          <cell r="D66">
            <v>162.5</v>
          </cell>
          <cell r="E66">
            <v>162.5</v>
          </cell>
        </row>
        <row r="67">
          <cell r="B67" t="str">
            <v>Granada</v>
          </cell>
          <cell r="C67" t="str">
            <v>N/A</v>
          </cell>
          <cell r="D67">
            <v>160</v>
          </cell>
          <cell r="E67">
            <v>160</v>
          </cell>
        </row>
        <row r="68">
          <cell r="B68" t="str">
            <v>Greece</v>
          </cell>
          <cell r="C68" t="str">
            <v>N/A</v>
          </cell>
          <cell r="D68">
            <v>160</v>
          </cell>
          <cell r="E68">
            <v>160</v>
          </cell>
        </row>
        <row r="69">
          <cell r="B69" t="str">
            <v>Guatemala</v>
          </cell>
          <cell r="C69">
            <v>180</v>
          </cell>
          <cell r="D69" t="str">
            <v>N/A</v>
          </cell>
          <cell r="E69" t="str">
            <v>N/A</v>
          </cell>
        </row>
        <row r="70">
          <cell r="B70" t="str">
            <v>Guinea</v>
          </cell>
          <cell r="C70">
            <v>261.25</v>
          </cell>
          <cell r="D70">
            <v>162.5</v>
          </cell>
          <cell r="E70">
            <v>162.5</v>
          </cell>
        </row>
        <row r="71">
          <cell r="B71" t="str">
            <v>Guyana</v>
          </cell>
          <cell r="C71" t="str">
            <v>N/A</v>
          </cell>
          <cell r="D71">
            <v>160</v>
          </cell>
          <cell r="E71">
            <v>160</v>
          </cell>
        </row>
        <row r="72">
          <cell r="B72" t="str">
            <v>Haiti</v>
          </cell>
          <cell r="C72">
            <v>180</v>
          </cell>
          <cell r="D72" t="str">
            <v>N/A</v>
          </cell>
          <cell r="E72" t="str">
            <v>N/A</v>
          </cell>
        </row>
        <row r="73">
          <cell r="B73" t="str">
            <v>Honduras</v>
          </cell>
          <cell r="C73">
            <v>180</v>
          </cell>
          <cell r="D73" t="str">
            <v>N/A</v>
          </cell>
          <cell r="E73" t="str">
            <v>N/A</v>
          </cell>
        </row>
        <row r="74">
          <cell r="B74" t="str">
            <v>Hungary</v>
          </cell>
          <cell r="C74" t="str">
            <v>N/A</v>
          </cell>
          <cell r="D74">
            <v>160</v>
          </cell>
          <cell r="E74">
            <v>160</v>
          </cell>
        </row>
        <row r="75">
          <cell r="B75" t="str">
            <v>Iceland</v>
          </cell>
          <cell r="C75" t="str">
            <v>N/A</v>
          </cell>
          <cell r="D75">
            <v>160</v>
          </cell>
          <cell r="E75">
            <v>160</v>
          </cell>
        </row>
        <row r="76">
          <cell r="B76" t="str">
            <v>India</v>
          </cell>
          <cell r="C76">
            <v>167.5</v>
          </cell>
          <cell r="D76">
            <v>150</v>
          </cell>
          <cell r="E76">
            <v>150</v>
          </cell>
        </row>
        <row r="77">
          <cell r="B77" t="str">
            <v>Indonesia</v>
          </cell>
          <cell r="C77" t="str">
            <v>N/A</v>
          </cell>
          <cell r="D77">
            <v>160</v>
          </cell>
          <cell r="E77">
            <v>160</v>
          </cell>
        </row>
        <row r="78">
          <cell r="B78" t="str">
            <v>Iran</v>
          </cell>
          <cell r="C78" t="str">
            <v>N/A</v>
          </cell>
          <cell r="D78">
            <v>160</v>
          </cell>
          <cell r="E78">
            <v>160</v>
          </cell>
        </row>
        <row r="79">
          <cell r="B79" t="str">
            <v>Iraq</v>
          </cell>
          <cell r="C79">
            <v>200</v>
          </cell>
          <cell r="D79">
            <v>161.25</v>
          </cell>
          <cell r="E79">
            <v>161.25</v>
          </cell>
        </row>
        <row r="80">
          <cell r="B80" t="str">
            <v>Ireland</v>
          </cell>
          <cell r="C80" t="str">
            <v>N/A</v>
          </cell>
          <cell r="D80">
            <v>160</v>
          </cell>
          <cell r="E80">
            <v>160</v>
          </cell>
        </row>
        <row r="81">
          <cell r="B81" t="str">
            <v>Israel</v>
          </cell>
          <cell r="C81" t="str">
            <v>N/A</v>
          </cell>
          <cell r="D81">
            <v>160</v>
          </cell>
          <cell r="E81">
            <v>160</v>
          </cell>
        </row>
        <row r="82">
          <cell r="B82" t="str">
            <v>Italy</v>
          </cell>
          <cell r="C82" t="str">
            <v>N/A</v>
          </cell>
          <cell r="D82">
            <v>160</v>
          </cell>
          <cell r="E82">
            <v>160</v>
          </cell>
        </row>
        <row r="83">
          <cell r="B83" t="str">
            <v>Jamaica</v>
          </cell>
          <cell r="C83" t="str">
            <v>N/A</v>
          </cell>
          <cell r="D83">
            <v>160</v>
          </cell>
          <cell r="E83">
            <v>160</v>
          </cell>
        </row>
        <row r="84">
          <cell r="B84" t="str">
            <v>Japan</v>
          </cell>
          <cell r="C84" t="str">
            <v>N/A</v>
          </cell>
          <cell r="D84">
            <v>160</v>
          </cell>
          <cell r="E84">
            <v>160</v>
          </cell>
        </row>
        <row r="85">
          <cell r="B85" t="str">
            <v>Jordan</v>
          </cell>
          <cell r="C85">
            <v>200</v>
          </cell>
          <cell r="D85">
            <v>161.25</v>
          </cell>
          <cell r="E85">
            <v>161.25</v>
          </cell>
        </row>
        <row r="86">
          <cell r="B86" t="str">
            <v>Kazakhstan</v>
          </cell>
          <cell r="C86" t="str">
            <v>N/A</v>
          </cell>
          <cell r="D86">
            <v>160</v>
          </cell>
          <cell r="E86">
            <v>160</v>
          </cell>
        </row>
        <row r="87">
          <cell r="B87" t="str">
            <v>Kenya</v>
          </cell>
          <cell r="C87">
            <v>225</v>
          </cell>
          <cell r="D87">
            <v>150</v>
          </cell>
          <cell r="E87">
            <v>150</v>
          </cell>
        </row>
        <row r="88">
          <cell r="B88" t="str">
            <v>Kosovo</v>
          </cell>
          <cell r="C88" t="str">
            <v>N/A</v>
          </cell>
          <cell r="D88">
            <v>160</v>
          </cell>
          <cell r="E88">
            <v>160</v>
          </cell>
        </row>
        <row r="89">
          <cell r="B89" t="str">
            <v>Kribati</v>
          </cell>
          <cell r="C89" t="str">
            <v>N/A</v>
          </cell>
          <cell r="D89">
            <v>160</v>
          </cell>
          <cell r="E89">
            <v>160</v>
          </cell>
        </row>
        <row r="90">
          <cell r="B90" t="str">
            <v>Kuwait</v>
          </cell>
          <cell r="C90" t="str">
            <v>N/A</v>
          </cell>
          <cell r="D90">
            <v>160</v>
          </cell>
          <cell r="E90">
            <v>160</v>
          </cell>
        </row>
        <row r="91">
          <cell r="B91" t="str">
            <v>Kyrgyzstan</v>
          </cell>
          <cell r="C91" t="str">
            <v>N/A</v>
          </cell>
          <cell r="D91">
            <v>160</v>
          </cell>
          <cell r="E91">
            <v>160</v>
          </cell>
        </row>
        <row r="92">
          <cell r="B92" t="str">
            <v>Laos</v>
          </cell>
          <cell r="C92" t="str">
            <v>N/A</v>
          </cell>
          <cell r="D92">
            <v>160</v>
          </cell>
          <cell r="E92">
            <v>160</v>
          </cell>
        </row>
        <row r="93">
          <cell r="B93" t="str">
            <v>Latvia</v>
          </cell>
          <cell r="C93" t="str">
            <v>N/A</v>
          </cell>
          <cell r="D93">
            <v>160</v>
          </cell>
          <cell r="E93">
            <v>160</v>
          </cell>
        </row>
        <row r="94">
          <cell r="B94" t="str">
            <v>Lebanon</v>
          </cell>
          <cell r="C94">
            <v>200</v>
          </cell>
          <cell r="D94">
            <v>161.25</v>
          </cell>
          <cell r="E94">
            <v>161.25</v>
          </cell>
        </row>
        <row r="95">
          <cell r="B95" t="str">
            <v>Lesotho</v>
          </cell>
          <cell r="C95">
            <v>225</v>
          </cell>
          <cell r="D95">
            <v>150</v>
          </cell>
          <cell r="E95">
            <v>150</v>
          </cell>
        </row>
        <row r="96">
          <cell r="B96" t="str">
            <v>Liberia</v>
          </cell>
          <cell r="C96">
            <v>261.25</v>
          </cell>
          <cell r="D96">
            <v>162.5</v>
          </cell>
          <cell r="E96">
            <v>162.5</v>
          </cell>
        </row>
        <row r="97">
          <cell r="B97" t="str">
            <v>Liechtenstein</v>
          </cell>
          <cell r="C97" t="str">
            <v>N/A</v>
          </cell>
          <cell r="D97">
            <v>160</v>
          </cell>
          <cell r="E97">
            <v>160</v>
          </cell>
        </row>
        <row r="98">
          <cell r="B98" t="str">
            <v>Lithuania</v>
          </cell>
          <cell r="C98" t="str">
            <v>N/A</v>
          </cell>
          <cell r="D98">
            <v>160</v>
          </cell>
          <cell r="E98">
            <v>160</v>
          </cell>
        </row>
        <row r="99">
          <cell r="B99" t="str">
            <v>Luxembourg</v>
          </cell>
          <cell r="C99" t="str">
            <v>N/A</v>
          </cell>
          <cell r="D99">
            <v>160</v>
          </cell>
          <cell r="E99">
            <v>160</v>
          </cell>
        </row>
        <row r="100">
          <cell r="B100" t="str">
            <v>Macedonia</v>
          </cell>
          <cell r="C100" t="str">
            <v>N/A</v>
          </cell>
          <cell r="D100">
            <v>160</v>
          </cell>
          <cell r="E100">
            <v>160</v>
          </cell>
        </row>
        <row r="101">
          <cell r="B101" t="str">
            <v>Madagascar</v>
          </cell>
          <cell r="C101">
            <v>225</v>
          </cell>
          <cell r="D101">
            <v>150</v>
          </cell>
          <cell r="E101">
            <v>150</v>
          </cell>
        </row>
        <row r="102">
          <cell r="B102" t="str">
            <v>Malawi</v>
          </cell>
          <cell r="C102">
            <v>225</v>
          </cell>
          <cell r="D102">
            <v>150</v>
          </cell>
          <cell r="E102">
            <v>150</v>
          </cell>
        </row>
        <row r="103">
          <cell r="B103" t="str">
            <v>Malaysia</v>
          </cell>
          <cell r="C103" t="str">
            <v>N/A</v>
          </cell>
          <cell r="D103">
            <v>160</v>
          </cell>
          <cell r="E103">
            <v>160</v>
          </cell>
        </row>
        <row r="104">
          <cell r="B104" t="str">
            <v>Maldives</v>
          </cell>
          <cell r="C104" t="str">
            <v>N/A</v>
          </cell>
          <cell r="D104">
            <v>160</v>
          </cell>
          <cell r="E104">
            <v>160</v>
          </cell>
        </row>
        <row r="105">
          <cell r="B105" t="str">
            <v>Mali</v>
          </cell>
          <cell r="C105">
            <v>261.25</v>
          </cell>
          <cell r="D105">
            <v>162.5</v>
          </cell>
          <cell r="E105">
            <v>162.5</v>
          </cell>
        </row>
        <row r="106">
          <cell r="B106" t="str">
            <v>Malta</v>
          </cell>
          <cell r="C106" t="str">
            <v>N/A</v>
          </cell>
          <cell r="D106">
            <v>160</v>
          </cell>
          <cell r="E106">
            <v>160</v>
          </cell>
        </row>
        <row r="107">
          <cell r="B107" t="str">
            <v>Marshall Islands</v>
          </cell>
          <cell r="C107" t="str">
            <v>N/A</v>
          </cell>
          <cell r="D107">
            <v>160</v>
          </cell>
          <cell r="E107">
            <v>160</v>
          </cell>
        </row>
        <row r="108">
          <cell r="B108" t="str">
            <v>Mauritania</v>
          </cell>
          <cell r="C108">
            <v>261.25</v>
          </cell>
          <cell r="D108">
            <v>162.5</v>
          </cell>
          <cell r="E108">
            <v>162.5</v>
          </cell>
        </row>
        <row r="109">
          <cell r="B109" t="str">
            <v>Mauritius</v>
          </cell>
          <cell r="C109" t="str">
            <v>N/A</v>
          </cell>
          <cell r="D109">
            <v>160</v>
          </cell>
          <cell r="E109">
            <v>160</v>
          </cell>
        </row>
        <row r="110">
          <cell r="B110" t="str">
            <v>Mexico</v>
          </cell>
          <cell r="C110" t="str">
            <v>N/A</v>
          </cell>
          <cell r="D110">
            <v>160</v>
          </cell>
          <cell r="E110">
            <v>160</v>
          </cell>
        </row>
        <row r="111">
          <cell r="B111" t="str">
            <v>Micronesia</v>
          </cell>
          <cell r="C111" t="str">
            <v>N/A</v>
          </cell>
          <cell r="D111">
            <v>160</v>
          </cell>
          <cell r="E111">
            <v>160</v>
          </cell>
        </row>
        <row r="112">
          <cell r="B112" t="str">
            <v>Mongolia</v>
          </cell>
          <cell r="C112" t="str">
            <v>N/A</v>
          </cell>
          <cell r="D112">
            <v>160</v>
          </cell>
          <cell r="E112">
            <v>160</v>
          </cell>
        </row>
        <row r="113">
          <cell r="B113" t="str">
            <v>Montenegro</v>
          </cell>
          <cell r="C113" t="str">
            <v>N/A</v>
          </cell>
          <cell r="D113">
            <v>160</v>
          </cell>
          <cell r="E113">
            <v>160</v>
          </cell>
        </row>
        <row r="114">
          <cell r="B114" t="str">
            <v>Morocco</v>
          </cell>
          <cell r="C114" t="str">
            <v>N/A</v>
          </cell>
          <cell r="D114">
            <v>160</v>
          </cell>
          <cell r="E114">
            <v>160</v>
          </cell>
        </row>
        <row r="115">
          <cell r="B115" t="str">
            <v>Mozambique</v>
          </cell>
          <cell r="C115">
            <v>225</v>
          </cell>
          <cell r="D115">
            <v>150</v>
          </cell>
          <cell r="E115">
            <v>150</v>
          </cell>
        </row>
        <row r="116">
          <cell r="B116" t="str">
            <v>Myanmar</v>
          </cell>
          <cell r="C116">
            <v>167.5</v>
          </cell>
          <cell r="D116">
            <v>150</v>
          </cell>
          <cell r="E116">
            <v>150</v>
          </cell>
        </row>
        <row r="117">
          <cell r="B117" t="str">
            <v>Namibia</v>
          </cell>
          <cell r="C117">
            <v>225</v>
          </cell>
          <cell r="D117">
            <v>150</v>
          </cell>
          <cell r="E117">
            <v>150</v>
          </cell>
        </row>
        <row r="118">
          <cell r="B118" t="str">
            <v>Nauru</v>
          </cell>
          <cell r="C118" t="str">
            <v>N/A</v>
          </cell>
          <cell r="D118">
            <v>160</v>
          </cell>
          <cell r="E118">
            <v>160</v>
          </cell>
        </row>
        <row r="119">
          <cell r="B119" t="str">
            <v>Nepal</v>
          </cell>
          <cell r="C119">
            <v>167.5</v>
          </cell>
          <cell r="D119">
            <v>150</v>
          </cell>
          <cell r="E119">
            <v>150</v>
          </cell>
        </row>
        <row r="120">
          <cell r="B120" t="str">
            <v>New Zealand</v>
          </cell>
          <cell r="C120" t="str">
            <v>N/A</v>
          </cell>
          <cell r="D120">
            <v>160</v>
          </cell>
          <cell r="E120">
            <v>160</v>
          </cell>
        </row>
        <row r="121">
          <cell r="B121" t="str">
            <v>Nicaragua</v>
          </cell>
          <cell r="C121">
            <v>180</v>
          </cell>
          <cell r="D121" t="str">
            <v>N/A</v>
          </cell>
          <cell r="E121" t="str">
            <v>N/A</v>
          </cell>
        </row>
        <row r="122">
          <cell r="B122" t="str">
            <v>Niger</v>
          </cell>
          <cell r="C122">
            <v>261.25</v>
          </cell>
          <cell r="D122">
            <v>162.5</v>
          </cell>
          <cell r="E122">
            <v>162.5</v>
          </cell>
        </row>
        <row r="123">
          <cell r="B123" t="str">
            <v>Nigeria</v>
          </cell>
          <cell r="C123">
            <v>261.25</v>
          </cell>
          <cell r="D123">
            <v>162.5</v>
          </cell>
          <cell r="E123">
            <v>162.5</v>
          </cell>
        </row>
        <row r="124">
          <cell r="B124" t="str">
            <v>Norway</v>
          </cell>
          <cell r="C124" t="str">
            <v>N/A</v>
          </cell>
          <cell r="D124">
            <v>160</v>
          </cell>
          <cell r="E124">
            <v>160</v>
          </cell>
        </row>
        <row r="125">
          <cell r="B125" t="str">
            <v>Oman</v>
          </cell>
          <cell r="C125" t="str">
            <v>N/A</v>
          </cell>
          <cell r="D125">
            <v>160</v>
          </cell>
          <cell r="E125">
            <v>160</v>
          </cell>
        </row>
        <row r="126">
          <cell r="B126" t="str">
            <v>Pakistan</v>
          </cell>
          <cell r="C126">
            <v>167.5</v>
          </cell>
          <cell r="D126">
            <v>150</v>
          </cell>
          <cell r="E126">
            <v>150</v>
          </cell>
        </row>
        <row r="127">
          <cell r="B127" t="str">
            <v>Palau</v>
          </cell>
          <cell r="C127" t="str">
            <v>N/A</v>
          </cell>
          <cell r="D127">
            <v>160</v>
          </cell>
          <cell r="E127">
            <v>160</v>
          </cell>
        </row>
        <row r="128">
          <cell r="B128" t="str">
            <v>Panama</v>
          </cell>
          <cell r="C128" t="str">
            <v>N/A</v>
          </cell>
          <cell r="D128">
            <v>160</v>
          </cell>
          <cell r="E128">
            <v>160</v>
          </cell>
        </row>
        <row r="129">
          <cell r="B129" t="str">
            <v>Papau New guinea</v>
          </cell>
          <cell r="C129" t="str">
            <v>N/A</v>
          </cell>
          <cell r="D129">
            <v>160</v>
          </cell>
          <cell r="E129">
            <v>160</v>
          </cell>
        </row>
        <row r="130">
          <cell r="B130" t="str">
            <v>Paraguay</v>
          </cell>
          <cell r="C130" t="str">
            <v>N/A</v>
          </cell>
          <cell r="D130">
            <v>160</v>
          </cell>
          <cell r="E130">
            <v>160</v>
          </cell>
        </row>
        <row r="131">
          <cell r="B131" t="str">
            <v>Peru</v>
          </cell>
          <cell r="C131" t="str">
            <v>N/A</v>
          </cell>
          <cell r="D131">
            <v>160</v>
          </cell>
          <cell r="E131">
            <v>160</v>
          </cell>
        </row>
        <row r="132">
          <cell r="B132" t="str">
            <v>Phillipines</v>
          </cell>
          <cell r="C132">
            <v>167.5</v>
          </cell>
          <cell r="D132">
            <v>150</v>
          </cell>
          <cell r="E132">
            <v>150</v>
          </cell>
        </row>
        <row r="133">
          <cell r="B133" t="str">
            <v>Poland</v>
          </cell>
          <cell r="C133" t="str">
            <v>N/A</v>
          </cell>
          <cell r="D133">
            <v>160</v>
          </cell>
          <cell r="E133">
            <v>160</v>
          </cell>
        </row>
        <row r="134">
          <cell r="B134" t="str">
            <v>Portugal</v>
          </cell>
          <cell r="C134" t="str">
            <v>N/A</v>
          </cell>
          <cell r="D134">
            <v>160</v>
          </cell>
          <cell r="E134">
            <v>160</v>
          </cell>
        </row>
        <row r="135">
          <cell r="B135" t="str">
            <v>Qatar</v>
          </cell>
          <cell r="C135" t="str">
            <v>N/A</v>
          </cell>
          <cell r="D135">
            <v>160</v>
          </cell>
          <cell r="E135">
            <v>160</v>
          </cell>
        </row>
        <row r="136">
          <cell r="B136" t="str">
            <v>Republic of Congo</v>
          </cell>
          <cell r="C136">
            <v>261.25</v>
          </cell>
          <cell r="D136">
            <v>162.5</v>
          </cell>
          <cell r="E136">
            <v>162.5</v>
          </cell>
        </row>
        <row r="137">
          <cell r="B137" t="str">
            <v>Romania</v>
          </cell>
          <cell r="C137" t="str">
            <v>N/A</v>
          </cell>
          <cell r="D137">
            <v>160</v>
          </cell>
          <cell r="E137">
            <v>160</v>
          </cell>
        </row>
        <row r="138">
          <cell r="B138" t="str">
            <v>Rwanda</v>
          </cell>
          <cell r="C138">
            <v>225</v>
          </cell>
          <cell r="D138">
            <v>150</v>
          </cell>
          <cell r="E138">
            <v>150</v>
          </cell>
        </row>
        <row r="139">
          <cell r="B139" t="str">
            <v>Saint Kitts and Nevis</v>
          </cell>
          <cell r="C139" t="str">
            <v>N/A</v>
          </cell>
          <cell r="D139">
            <v>160</v>
          </cell>
          <cell r="E139">
            <v>160</v>
          </cell>
        </row>
        <row r="140">
          <cell r="B140" t="str">
            <v>Saint Lucia</v>
          </cell>
          <cell r="C140" t="str">
            <v>N/A</v>
          </cell>
          <cell r="D140">
            <v>160</v>
          </cell>
          <cell r="E140">
            <v>160</v>
          </cell>
        </row>
        <row r="141">
          <cell r="B141" t="str">
            <v>Saint Vincent</v>
          </cell>
          <cell r="C141" t="str">
            <v>N/A</v>
          </cell>
          <cell r="D141">
            <v>160</v>
          </cell>
          <cell r="E141">
            <v>160</v>
          </cell>
        </row>
        <row r="142">
          <cell r="B142" t="str">
            <v>Samoa</v>
          </cell>
          <cell r="C142" t="str">
            <v>N/A</v>
          </cell>
          <cell r="D142">
            <v>160</v>
          </cell>
          <cell r="E142">
            <v>160</v>
          </cell>
        </row>
        <row r="143">
          <cell r="B143" t="str">
            <v>San Marino</v>
          </cell>
          <cell r="C143" t="str">
            <v>N/A</v>
          </cell>
          <cell r="D143">
            <v>160</v>
          </cell>
          <cell r="E143">
            <v>160</v>
          </cell>
        </row>
        <row r="144">
          <cell r="B144" t="str">
            <v xml:space="preserve">Sao Tome </v>
          </cell>
          <cell r="C144" t="str">
            <v>N/A</v>
          </cell>
          <cell r="D144">
            <v>160</v>
          </cell>
          <cell r="E144">
            <v>160</v>
          </cell>
        </row>
        <row r="145">
          <cell r="B145" t="str">
            <v>Saudi Arabia</v>
          </cell>
          <cell r="C145" t="str">
            <v>N/A</v>
          </cell>
          <cell r="D145">
            <v>160</v>
          </cell>
          <cell r="E145">
            <v>160</v>
          </cell>
        </row>
        <row r="146">
          <cell r="B146" t="str">
            <v>Senegal</v>
          </cell>
          <cell r="C146">
            <v>261.25</v>
          </cell>
          <cell r="D146">
            <v>162.5</v>
          </cell>
          <cell r="E146">
            <v>162.5</v>
          </cell>
        </row>
        <row r="147">
          <cell r="B147" t="str">
            <v>Serbia</v>
          </cell>
          <cell r="C147" t="str">
            <v>N/A</v>
          </cell>
          <cell r="D147">
            <v>160</v>
          </cell>
          <cell r="E147">
            <v>160</v>
          </cell>
        </row>
        <row r="148">
          <cell r="B148" t="str">
            <v>Seychelles</v>
          </cell>
          <cell r="C148" t="str">
            <v>N/A</v>
          </cell>
          <cell r="D148">
            <v>160</v>
          </cell>
          <cell r="E148">
            <v>160</v>
          </cell>
        </row>
        <row r="149">
          <cell r="B149" t="str">
            <v>Sierra Leone</v>
          </cell>
          <cell r="C149">
            <v>261.25</v>
          </cell>
          <cell r="D149">
            <v>162.5</v>
          </cell>
          <cell r="E149">
            <v>162.5</v>
          </cell>
        </row>
        <row r="150">
          <cell r="B150" t="str">
            <v>Singapore</v>
          </cell>
          <cell r="C150" t="str">
            <v>N/A</v>
          </cell>
          <cell r="D150">
            <v>160</v>
          </cell>
          <cell r="E150">
            <v>160</v>
          </cell>
        </row>
        <row r="151">
          <cell r="B151" t="str">
            <v>Slovakia</v>
          </cell>
          <cell r="C151" t="str">
            <v>N/A</v>
          </cell>
          <cell r="D151">
            <v>160</v>
          </cell>
          <cell r="E151">
            <v>160</v>
          </cell>
        </row>
        <row r="152">
          <cell r="B152" t="str">
            <v>Slovania</v>
          </cell>
          <cell r="C152" t="str">
            <v>N/A</v>
          </cell>
          <cell r="D152">
            <v>160</v>
          </cell>
          <cell r="E152">
            <v>160</v>
          </cell>
        </row>
        <row r="153">
          <cell r="B153" t="str">
            <v>Solomon Island</v>
          </cell>
          <cell r="C153" t="str">
            <v>N/A</v>
          </cell>
          <cell r="D153">
            <v>160</v>
          </cell>
          <cell r="E153">
            <v>160</v>
          </cell>
        </row>
        <row r="154">
          <cell r="B154" t="str">
            <v>Somalia</v>
          </cell>
          <cell r="C154">
            <v>200</v>
          </cell>
          <cell r="D154">
            <v>161.25</v>
          </cell>
          <cell r="E154">
            <v>161.25</v>
          </cell>
        </row>
        <row r="155">
          <cell r="B155" t="str">
            <v>South Africa</v>
          </cell>
          <cell r="C155">
            <v>225</v>
          </cell>
          <cell r="D155">
            <v>150</v>
          </cell>
          <cell r="E155">
            <v>150</v>
          </cell>
        </row>
        <row r="156">
          <cell r="B156" t="str">
            <v>South Korea</v>
          </cell>
          <cell r="C156" t="str">
            <v>N/A</v>
          </cell>
          <cell r="D156">
            <v>160</v>
          </cell>
          <cell r="E156">
            <v>160</v>
          </cell>
        </row>
        <row r="157">
          <cell r="B157" t="str">
            <v>South Sudan</v>
          </cell>
          <cell r="C157">
            <v>225</v>
          </cell>
          <cell r="D157">
            <v>150</v>
          </cell>
          <cell r="E157">
            <v>150</v>
          </cell>
        </row>
        <row r="158">
          <cell r="B158" t="str">
            <v>Spain</v>
          </cell>
          <cell r="C158" t="str">
            <v>N/A</v>
          </cell>
          <cell r="D158">
            <v>160</v>
          </cell>
          <cell r="E158">
            <v>160</v>
          </cell>
        </row>
        <row r="159">
          <cell r="B159" t="str">
            <v>Sri Lanka</v>
          </cell>
          <cell r="C159">
            <v>167.5</v>
          </cell>
          <cell r="D159">
            <v>150</v>
          </cell>
          <cell r="E159">
            <v>150</v>
          </cell>
        </row>
        <row r="160">
          <cell r="B160" t="str">
            <v>Sudan</v>
          </cell>
          <cell r="C160">
            <v>200</v>
          </cell>
          <cell r="D160">
            <v>161.25</v>
          </cell>
          <cell r="E160">
            <v>161.25</v>
          </cell>
        </row>
        <row r="161">
          <cell r="B161" t="str">
            <v>Suriname</v>
          </cell>
          <cell r="C161" t="str">
            <v>N/A</v>
          </cell>
          <cell r="D161">
            <v>160</v>
          </cell>
          <cell r="E161">
            <v>160</v>
          </cell>
        </row>
        <row r="162">
          <cell r="B162" t="str">
            <v>Swaziland</v>
          </cell>
          <cell r="C162">
            <v>225</v>
          </cell>
          <cell r="D162">
            <v>150</v>
          </cell>
          <cell r="E162">
            <v>150</v>
          </cell>
        </row>
        <row r="163">
          <cell r="B163" t="str">
            <v>Sweden</v>
          </cell>
          <cell r="C163" t="str">
            <v>N/A</v>
          </cell>
          <cell r="D163">
            <v>160</v>
          </cell>
          <cell r="E163">
            <v>160</v>
          </cell>
        </row>
        <row r="164">
          <cell r="B164" t="str">
            <v>Switzerland</v>
          </cell>
          <cell r="C164" t="str">
            <v>N/A</v>
          </cell>
          <cell r="D164">
            <v>160</v>
          </cell>
          <cell r="E164">
            <v>160</v>
          </cell>
        </row>
        <row r="165">
          <cell r="B165" t="str">
            <v>Syria</v>
          </cell>
          <cell r="C165">
            <v>200</v>
          </cell>
          <cell r="D165">
            <v>161.25</v>
          </cell>
          <cell r="E165">
            <v>161.25</v>
          </cell>
        </row>
        <row r="166">
          <cell r="B166" t="str">
            <v>Tajikistan</v>
          </cell>
          <cell r="C166" t="str">
            <v>N/A</v>
          </cell>
          <cell r="D166">
            <v>160</v>
          </cell>
          <cell r="E166">
            <v>160</v>
          </cell>
        </row>
        <row r="167">
          <cell r="B167" t="str">
            <v>Tanzania</v>
          </cell>
          <cell r="C167">
            <v>225</v>
          </cell>
          <cell r="D167">
            <v>150</v>
          </cell>
          <cell r="E167">
            <v>150</v>
          </cell>
        </row>
        <row r="168">
          <cell r="B168" t="str">
            <v>Thailand</v>
          </cell>
          <cell r="C168" t="str">
            <v>N/A</v>
          </cell>
          <cell r="D168">
            <v>160</v>
          </cell>
          <cell r="E168">
            <v>160</v>
          </cell>
        </row>
        <row r="169">
          <cell r="B169" t="str">
            <v>Togo</v>
          </cell>
          <cell r="C169">
            <v>261.25</v>
          </cell>
          <cell r="D169">
            <v>162.5</v>
          </cell>
          <cell r="E169">
            <v>162.5</v>
          </cell>
        </row>
        <row r="170">
          <cell r="B170" t="str">
            <v>Tonga</v>
          </cell>
          <cell r="C170" t="str">
            <v>N/A</v>
          </cell>
          <cell r="D170">
            <v>160</v>
          </cell>
          <cell r="E170">
            <v>160</v>
          </cell>
        </row>
        <row r="171">
          <cell r="B171" t="str">
            <v>Trinidad and Tabago</v>
          </cell>
          <cell r="C171" t="str">
            <v>N/A</v>
          </cell>
          <cell r="D171">
            <v>160</v>
          </cell>
          <cell r="E171">
            <v>160</v>
          </cell>
        </row>
        <row r="172">
          <cell r="B172" t="str">
            <v>Tunisia</v>
          </cell>
          <cell r="C172" t="str">
            <v>N/A</v>
          </cell>
          <cell r="D172">
            <v>160</v>
          </cell>
          <cell r="E172">
            <v>160</v>
          </cell>
        </row>
        <row r="173">
          <cell r="B173" t="str">
            <v>Turkenistan</v>
          </cell>
          <cell r="C173" t="str">
            <v>N/A</v>
          </cell>
          <cell r="D173">
            <v>160</v>
          </cell>
          <cell r="E173">
            <v>160</v>
          </cell>
        </row>
        <row r="174">
          <cell r="B174" t="str">
            <v>Turkey</v>
          </cell>
          <cell r="C174">
            <v>200</v>
          </cell>
          <cell r="D174">
            <v>161.25</v>
          </cell>
          <cell r="E174">
            <v>161.25</v>
          </cell>
        </row>
        <row r="175">
          <cell r="B175" t="str">
            <v>Tuvalu</v>
          </cell>
          <cell r="C175" t="str">
            <v>N/A</v>
          </cell>
          <cell r="D175">
            <v>160</v>
          </cell>
          <cell r="E175">
            <v>160</v>
          </cell>
        </row>
        <row r="176">
          <cell r="B176" t="str">
            <v>Uganda</v>
          </cell>
          <cell r="C176">
            <v>225</v>
          </cell>
          <cell r="D176">
            <v>150</v>
          </cell>
          <cell r="E176">
            <v>150</v>
          </cell>
        </row>
        <row r="177">
          <cell r="B177" t="str">
            <v>Ukraine</v>
          </cell>
          <cell r="C177" t="str">
            <v>N/A</v>
          </cell>
          <cell r="D177">
            <v>160</v>
          </cell>
          <cell r="E177">
            <v>160</v>
          </cell>
        </row>
        <row r="178">
          <cell r="B178" t="str">
            <v>United Arab Emirates</v>
          </cell>
          <cell r="C178" t="str">
            <v>N/A</v>
          </cell>
          <cell r="D178">
            <v>160</v>
          </cell>
          <cell r="E178">
            <v>160</v>
          </cell>
        </row>
        <row r="179">
          <cell r="B179" t="str">
            <v>Uruguay</v>
          </cell>
          <cell r="C179" t="str">
            <v>N/A</v>
          </cell>
          <cell r="D179">
            <v>160</v>
          </cell>
          <cell r="E179">
            <v>160</v>
          </cell>
        </row>
        <row r="180">
          <cell r="B180" t="str">
            <v>Uzbekistan</v>
          </cell>
          <cell r="C180" t="str">
            <v>N/A</v>
          </cell>
          <cell r="D180">
            <v>160</v>
          </cell>
          <cell r="E180">
            <v>160</v>
          </cell>
        </row>
        <row r="181">
          <cell r="B181" t="str">
            <v>Vanautu</v>
          </cell>
          <cell r="C181" t="str">
            <v>N/A</v>
          </cell>
          <cell r="D181">
            <v>160</v>
          </cell>
          <cell r="E181">
            <v>160</v>
          </cell>
        </row>
        <row r="182">
          <cell r="B182" t="str">
            <v>Venezuela</v>
          </cell>
          <cell r="C182" t="str">
            <v>N/A</v>
          </cell>
          <cell r="D182">
            <v>160</v>
          </cell>
          <cell r="E182">
            <v>160</v>
          </cell>
        </row>
        <row r="183">
          <cell r="B183" t="str">
            <v>Vietnam</v>
          </cell>
          <cell r="C183" t="str">
            <v>N/A</v>
          </cell>
          <cell r="D183">
            <v>160</v>
          </cell>
          <cell r="E183">
            <v>160</v>
          </cell>
        </row>
        <row r="184">
          <cell r="B184" t="str">
            <v>West Africa (Ebola)</v>
          </cell>
          <cell r="C184">
            <v>261.25</v>
          </cell>
          <cell r="D184">
            <v>162.5</v>
          </cell>
          <cell r="E184">
            <v>162.5</v>
          </cell>
        </row>
        <row r="185">
          <cell r="B185" t="str">
            <v>West Bank/Gaza</v>
          </cell>
          <cell r="C185">
            <v>200</v>
          </cell>
          <cell r="D185">
            <v>161.25</v>
          </cell>
          <cell r="E185">
            <v>161.25</v>
          </cell>
        </row>
        <row r="186">
          <cell r="B186" t="str">
            <v>Yemen</v>
          </cell>
          <cell r="C186">
            <v>235</v>
          </cell>
          <cell r="D186">
            <v>200</v>
          </cell>
          <cell r="E186">
            <v>200</v>
          </cell>
        </row>
        <row r="187">
          <cell r="B187" t="str">
            <v>Zambia</v>
          </cell>
          <cell r="C187">
            <v>225</v>
          </cell>
          <cell r="D187">
            <v>150</v>
          </cell>
          <cell r="E187">
            <v>150</v>
          </cell>
        </row>
        <row r="188">
          <cell r="B188" t="str">
            <v>Zimbabwe</v>
          </cell>
          <cell r="C188">
            <v>225</v>
          </cell>
          <cell r="D188">
            <v>150</v>
          </cell>
          <cell r="E188">
            <v>150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31"/>
  <sheetViews>
    <sheetView topLeftCell="B35" zoomScale="102" zoomScaleNormal="110" workbookViewId="0">
      <selection activeCell="K46" sqref="K46"/>
    </sheetView>
  </sheetViews>
  <sheetFormatPr defaultColWidth="8.5546875" defaultRowHeight="12.6"/>
  <cols>
    <col min="1" max="1" width="68.1640625" style="6" customWidth="1"/>
    <col min="2" max="2" width="17.83203125" style="70" customWidth="1"/>
    <col min="3" max="3" width="15.71875" style="6" customWidth="1"/>
    <col min="4" max="4" width="15.1640625" style="6" customWidth="1"/>
    <col min="5" max="5" width="18.5" style="6" bestFit="1" customWidth="1"/>
    <col min="6" max="6" width="16.44140625" style="6" customWidth="1"/>
    <col min="7" max="7" width="26.44140625" style="6" customWidth="1"/>
    <col min="8" max="8" width="16.27734375" style="6" customWidth="1"/>
    <col min="9" max="9" width="12.27734375" style="6" bestFit="1" customWidth="1"/>
    <col min="10" max="10" width="13.1640625" style="6" customWidth="1"/>
    <col min="11" max="11" width="9.1640625" style="6" bestFit="1" customWidth="1"/>
    <col min="12" max="16384" width="8.5546875" style="6"/>
  </cols>
  <sheetData>
    <row r="1" spans="1:9" ht="15">
      <c r="A1" s="620" t="s">
        <v>0</v>
      </c>
      <c r="B1" s="620"/>
      <c r="C1" s="620"/>
      <c r="D1" s="620"/>
      <c r="E1" s="620"/>
      <c r="F1" s="620"/>
    </row>
    <row r="2" spans="1:9" ht="15">
      <c r="A2" s="620" t="s">
        <v>1</v>
      </c>
      <c r="B2" s="620"/>
      <c r="C2" s="620"/>
      <c r="D2" s="620"/>
      <c r="E2" s="620"/>
      <c r="F2" s="620"/>
    </row>
    <row r="3" spans="1:9" ht="15.3">
      <c r="A3" s="156"/>
      <c r="B3" s="157"/>
      <c r="C3" s="156"/>
      <c r="D3" s="158"/>
      <c r="E3" s="156"/>
      <c r="F3" s="156"/>
    </row>
    <row r="4" spans="1:9" ht="15.3">
      <c r="A4" s="159" t="s">
        <v>2</v>
      </c>
      <c r="B4" s="160" t="s">
        <v>3</v>
      </c>
      <c r="C4" s="156"/>
      <c r="D4" s="158"/>
      <c r="E4" s="156"/>
      <c r="F4" s="156"/>
    </row>
    <row r="5" spans="1:9" ht="15.3">
      <c r="A5" s="159" t="s">
        <v>4</v>
      </c>
      <c r="B5" s="160" t="s">
        <v>5</v>
      </c>
      <c r="C5" s="156"/>
      <c r="D5" s="158"/>
      <c r="E5" s="156"/>
      <c r="F5" s="156"/>
    </row>
    <row r="6" spans="1:9" ht="15.3">
      <c r="A6" s="159" t="s">
        <v>6</v>
      </c>
      <c r="B6" s="160" t="s">
        <v>7</v>
      </c>
      <c r="C6" s="156"/>
      <c r="D6" s="158"/>
      <c r="E6" s="156"/>
      <c r="F6" s="156"/>
    </row>
    <row r="7" spans="1:9" ht="15.3">
      <c r="A7" s="159" t="s">
        <v>8</v>
      </c>
      <c r="B7" s="161" t="s">
        <v>9</v>
      </c>
      <c r="C7" s="156"/>
      <c r="D7" s="158"/>
      <c r="E7" s="156"/>
      <c r="F7" s="156"/>
    </row>
    <row r="8" spans="1:9" ht="15.3">
      <c r="A8" s="159" t="s">
        <v>10</v>
      </c>
      <c r="B8" s="160" t="s">
        <v>11</v>
      </c>
      <c r="C8" s="156"/>
      <c r="D8" s="158"/>
      <c r="E8" s="156"/>
      <c r="F8" s="156"/>
    </row>
    <row r="9" spans="1:9" ht="15.3">
      <c r="A9" s="156"/>
      <c r="B9" s="157"/>
      <c r="C9" s="156"/>
      <c r="D9" s="158"/>
      <c r="E9" s="156"/>
      <c r="F9" s="156"/>
    </row>
    <row r="10" spans="1:9" ht="15">
      <c r="A10" s="621" t="s">
        <v>12</v>
      </c>
      <c r="B10" s="621"/>
      <c r="C10" s="621"/>
      <c r="D10" s="621"/>
      <c r="E10" s="621"/>
      <c r="F10" s="621"/>
      <c r="G10" s="62"/>
    </row>
    <row r="11" spans="1:9" ht="45">
      <c r="A11" s="162" t="s">
        <v>13</v>
      </c>
      <c r="B11" s="163" t="s">
        <v>14</v>
      </c>
      <c r="C11" s="162" t="s">
        <v>15</v>
      </c>
      <c r="D11" s="164" t="s">
        <v>16</v>
      </c>
      <c r="E11" s="164" t="s">
        <v>17</v>
      </c>
      <c r="F11" s="162" t="s">
        <v>18</v>
      </c>
      <c r="G11" s="560" t="s">
        <v>19</v>
      </c>
      <c r="H11" s="560" t="s">
        <v>20</v>
      </c>
    </row>
    <row r="12" spans="1:9" ht="15.3">
      <c r="A12" s="165"/>
      <c r="B12" s="166" t="s">
        <v>9</v>
      </c>
      <c r="C12" s="167">
        <v>9958720</v>
      </c>
      <c r="D12" s="168">
        <v>2511080</v>
      </c>
      <c r="E12" s="168">
        <f>E68</f>
        <v>27530199.999489356</v>
      </c>
      <c r="F12" s="530">
        <f>E12+D12+C12</f>
        <v>39999999.999489352</v>
      </c>
      <c r="G12" s="62"/>
    </row>
    <row r="13" spans="1:9" ht="15.3">
      <c r="A13" s="169"/>
      <c r="B13" s="170"/>
      <c r="C13" s="170"/>
      <c r="D13" s="171"/>
      <c r="E13" s="171"/>
      <c r="F13" s="172"/>
      <c r="G13" s="548"/>
      <c r="I13" s="71"/>
    </row>
    <row r="14" spans="1:9" ht="15">
      <c r="A14" s="621" t="s">
        <v>21</v>
      </c>
      <c r="B14" s="621"/>
      <c r="C14" s="621"/>
      <c r="D14" s="621"/>
      <c r="E14" s="621"/>
      <c r="F14" s="621"/>
      <c r="G14" s="32"/>
    </row>
    <row r="15" spans="1:9" ht="45">
      <c r="A15" s="173" t="s">
        <v>22</v>
      </c>
      <c r="B15" s="174" t="s">
        <v>23</v>
      </c>
      <c r="C15" s="173" t="s">
        <v>24</v>
      </c>
      <c r="D15" s="175" t="s">
        <v>25</v>
      </c>
      <c r="E15" s="173" t="s">
        <v>26</v>
      </c>
      <c r="F15" s="173" t="s">
        <v>27</v>
      </c>
      <c r="G15" s="218"/>
    </row>
    <row r="16" spans="1:9" ht="15.3">
      <c r="A16" s="622" t="s">
        <v>28</v>
      </c>
      <c r="B16" s="623"/>
      <c r="C16" s="623"/>
      <c r="D16" s="623"/>
      <c r="E16" s="623"/>
      <c r="F16" s="624"/>
    </row>
    <row r="17" spans="1:11" ht="15.3">
      <c r="A17" s="176" t="s">
        <v>29</v>
      </c>
      <c r="B17" s="177">
        <v>0</v>
      </c>
      <c r="C17" s="219">
        <f>'Program Budget'!Y53</f>
        <v>5286497.7583333328</v>
      </c>
      <c r="D17" s="219">
        <f>'Program Budget'!Z53</f>
        <v>0</v>
      </c>
      <c r="E17" s="177">
        <f>B17+C17</f>
        <v>5286497.7583333328</v>
      </c>
      <c r="F17" s="554">
        <f>B17+C17+D17</f>
        <v>5286497.7583333328</v>
      </c>
      <c r="G17" s="555">
        <v>2402720.35</v>
      </c>
      <c r="H17" s="556">
        <f>F17-G17</f>
        <v>2883777.4083333327</v>
      </c>
      <c r="J17" s="71"/>
    </row>
    <row r="18" spans="1:11" ht="15.3">
      <c r="A18" s="176" t="s">
        <v>30</v>
      </c>
      <c r="B18" s="177">
        <v>0</v>
      </c>
      <c r="C18" s="177">
        <f>'Program Budget'!Y59</f>
        <v>2027170.9638329449</v>
      </c>
      <c r="D18" s="177">
        <f>'Program Budget'!Z59</f>
        <v>0</v>
      </c>
      <c r="E18" s="177">
        <f t="shared" ref="E18:E23" si="0">B18+C18</f>
        <v>2027170.9638329449</v>
      </c>
      <c r="F18" s="554">
        <f t="shared" ref="F18:F23" si="1">B18+C18+D18</f>
        <v>2027170.9638329449</v>
      </c>
      <c r="G18" s="158">
        <v>659056.67000000004</v>
      </c>
      <c r="H18" s="556">
        <f t="shared" ref="H18:H24" si="2">F18-G18</f>
        <v>1368114.2938329447</v>
      </c>
    </row>
    <row r="19" spans="1:11" ht="15.3">
      <c r="A19" s="176" t="s">
        <v>31</v>
      </c>
      <c r="B19" s="177">
        <v>0</v>
      </c>
      <c r="C19" s="219">
        <f>'Program Budget'!Y80</f>
        <v>368758.30273237504</v>
      </c>
      <c r="D19" s="219">
        <f>'Program Budget'!Z80</f>
        <v>0</v>
      </c>
      <c r="E19" s="177">
        <f t="shared" si="0"/>
        <v>368758.30273237504</v>
      </c>
      <c r="F19" s="177">
        <f t="shared" si="1"/>
        <v>368758.30273237504</v>
      </c>
      <c r="G19" s="556">
        <v>368758.3</v>
      </c>
      <c r="H19" s="556">
        <f t="shared" si="2"/>
        <v>2.7323750546202064E-3</v>
      </c>
      <c r="J19" s="218"/>
    </row>
    <row r="20" spans="1:11" ht="15.3">
      <c r="A20" s="176" t="s">
        <v>32</v>
      </c>
      <c r="B20" s="177">
        <v>0</v>
      </c>
      <c r="C20" s="219">
        <f>'Program Budget'!Y101</f>
        <v>1116800</v>
      </c>
      <c r="D20" s="219">
        <f>'Program Budget'!Z101</f>
        <v>0</v>
      </c>
      <c r="E20" s="177">
        <f t="shared" si="0"/>
        <v>1116800</v>
      </c>
      <c r="F20" s="554">
        <f t="shared" si="1"/>
        <v>1116800</v>
      </c>
      <c r="G20" s="556">
        <v>1082000</v>
      </c>
      <c r="H20" s="556">
        <f t="shared" si="2"/>
        <v>34800</v>
      </c>
    </row>
    <row r="21" spans="1:11" ht="15.3">
      <c r="A21" s="176" t="s">
        <v>33</v>
      </c>
      <c r="B21" s="177">
        <v>0</v>
      </c>
      <c r="C21" s="219">
        <f>'Program Budget'!Y106</f>
        <v>53000</v>
      </c>
      <c r="D21" s="219">
        <f>'Program Budget'!Z106</f>
        <v>0</v>
      </c>
      <c r="E21" s="177">
        <f t="shared" si="0"/>
        <v>53000</v>
      </c>
      <c r="F21" s="554">
        <f t="shared" si="1"/>
        <v>53000</v>
      </c>
      <c r="G21" s="556">
        <v>159000</v>
      </c>
      <c r="H21" s="556">
        <f t="shared" si="2"/>
        <v>-106000</v>
      </c>
    </row>
    <row r="22" spans="1:11" ht="15.3">
      <c r="A22" s="176" t="s">
        <v>34</v>
      </c>
      <c r="B22" s="177">
        <v>0</v>
      </c>
      <c r="C22" s="219">
        <f>'Program Budget'!Y121</f>
        <v>82190.637499999997</v>
      </c>
      <c r="D22" s="219">
        <f>'Program Budget'!Z121</f>
        <v>0</v>
      </c>
      <c r="E22" s="177">
        <f t="shared" si="0"/>
        <v>82190.637499999997</v>
      </c>
      <c r="F22" s="554">
        <f t="shared" si="1"/>
        <v>82190.637499999997</v>
      </c>
      <c r="G22" s="556">
        <v>91027.43</v>
      </c>
      <c r="H22" s="556">
        <f t="shared" si="2"/>
        <v>-8836.7924999999959</v>
      </c>
    </row>
    <row r="23" spans="1:11" ht="15.3">
      <c r="A23" s="176" t="s">
        <v>35</v>
      </c>
      <c r="B23" s="177">
        <v>0</v>
      </c>
      <c r="C23" s="219">
        <f>'Program Budget'!Y148</f>
        <v>646819.51018562505</v>
      </c>
      <c r="D23" s="219">
        <f>'Program Budget'!Z148</f>
        <v>0</v>
      </c>
      <c r="E23" s="177">
        <f t="shared" si="0"/>
        <v>646819.51018562505</v>
      </c>
      <c r="F23" s="554">
        <f t="shared" si="1"/>
        <v>646819.51018562505</v>
      </c>
      <c r="G23" s="556">
        <v>640169.34</v>
      </c>
      <c r="H23" s="556">
        <f t="shared" si="2"/>
        <v>6650.1701856250875</v>
      </c>
    </row>
    <row r="24" spans="1:11" s="31" customFormat="1" ht="15">
      <c r="A24" s="178" t="s">
        <v>36</v>
      </c>
      <c r="B24" s="179">
        <f>SUM(B17:B23)</f>
        <v>0</v>
      </c>
      <c r="C24" s="179">
        <f>SUM(C17:C23)</f>
        <v>9581237.1725842766</v>
      </c>
      <c r="D24" s="179">
        <f>SUM(D17:D23)</f>
        <v>0</v>
      </c>
      <c r="E24" s="179">
        <f>SUM(E17:E23)</f>
        <v>9581237.1725842766</v>
      </c>
      <c r="F24" s="559">
        <f>SUM(F17:F23)</f>
        <v>9581237.1725842766</v>
      </c>
      <c r="G24" s="557">
        <v>5402732.0899999999</v>
      </c>
      <c r="H24" s="558">
        <f t="shared" si="2"/>
        <v>4178505.0825842768</v>
      </c>
      <c r="J24" s="31">
        <v>9715046.8629408702</v>
      </c>
      <c r="K24" s="567">
        <f>J24-F24</f>
        <v>133809.69035659358</v>
      </c>
    </row>
    <row r="25" spans="1:11" ht="15.3">
      <c r="A25" s="625"/>
      <c r="B25" s="625"/>
      <c r="C25" s="625"/>
      <c r="D25" s="625"/>
      <c r="E25" s="625"/>
      <c r="F25" s="180"/>
    </row>
    <row r="26" spans="1:11" ht="15.3">
      <c r="A26" s="626" t="s">
        <v>37</v>
      </c>
      <c r="B26" s="623"/>
      <c r="C26" s="623"/>
      <c r="D26" s="623"/>
      <c r="E26" s="623"/>
      <c r="F26" s="627"/>
    </row>
    <row r="27" spans="1:11" ht="15.3">
      <c r="A27" s="181" t="s">
        <v>38</v>
      </c>
      <c r="B27" s="182">
        <v>0</v>
      </c>
      <c r="C27" s="182">
        <f>'Program Budget'!Y210</f>
        <v>658976.10762653442</v>
      </c>
      <c r="D27" s="182">
        <f>'Program Budget'!Z210</f>
        <v>187000</v>
      </c>
      <c r="E27" s="182">
        <f>B27+C27</f>
        <v>658976.10762653442</v>
      </c>
      <c r="F27" s="562">
        <f t="shared" ref="F27:F29" si="3">B27+C27+D27</f>
        <v>845976.10762653442</v>
      </c>
      <c r="G27" s="561">
        <v>1161155.52</v>
      </c>
      <c r="H27" s="561">
        <f>F27-G27</f>
        <v>-315179.4123734656</v>
      </c>
      <c r="I27" s="535"/>
    </row>
    <row r="28" spans="1:11" ht="15.3">
      <c r="A28" s="181" t="s">
        <v>39</v>
      </c>
      <c r="B28" s="182">
        <v>0</v>
      </c>
      <c r="C28" s="182">
        <f>'Program Budget'!Y269</f>
        <v>407143.17624700314</v>
      </c>
      <c r="D28" s="182">
        <f>'Program Budget'!Z269</f>
        <v>0</v>
      </c>
      <c r="E28" s="182">
        <f t="shared" ref="E28:E29" si="4">B28+C28</f>
        <v>407143.17624700314</v>
      </c>
      <c r="F28" s="562">
        <f t="shared" si="3"/>
        <v>407143.17624700314</v>
      </c>
      <c r="G28" s="561">
        <v>750076.07</v>
      </c>
      <c r="H28" s="561">
        <f t="shared" ref="H28:H38" si="5">F28-G28</f>
        <v>-342932.89375299681</v>
      </c>
      <c r="I28" s="535"/>
      <c r="J28" s="218"/>
    </row>
    <row r="29" spans="1:11" ht="15.3">
      <c r="A29" s="181" t="s">
        <v>40</v>
      </c>
      <c r="B29" s="182">
        <v>0</v>
      </c>
      <c r="C29" s="182">
        <f>'Program Budget'!Y338</f>
        <v>2400715.1836207956</v>
      </c>
      <c r="D29" s="182">
        <f>'Program Budget'!Z338</f>
        <v>0</v>
      </c>
      <c r="E29" s="182">
        <f t="shared" si="4"/>
        <v>2400715.1836207956</v>
      </c>
      <c r="F29" s="562">
        <f t="shared" si="3"/>
        <v>2400715.1836207956</v>
      </c>
      <c r="G29" s="561">
        <v>2723500.86</v>
      </c>
      <c r="H29" s="561">
        <f t="shared" si="5"/>
        <v>-322785.67637920426</v>
      </c>
      <c r="I29" s="535"/>
    </row>
    <row r="30" spans="1:11" ht="15.3">
      <c r="A30" s="181" t="s">
        <v>41</v>
      </c>
      <c r="B30" s="182">
        <v>0</v>
      </c>
      <c r="C30" s="182">
        <f>'Program Budget'!Y405</f>
        <v>629594.48592260189</v>
      </c>
      <c r="D30" s="182">
        <f>'Program Budget'!Z405</f>
        <v>0</v>
      </c>
      <c r="E30" s="182">
        <f>B30+C30</f>
        <v>629594.48592260189</v>
      </c>
      <c r="F30" s="562">
        <f>B30+C30+D30</f>
        <v>629594.48592260189</v>
      </c>
      <c r="G30" s="561">
        <v>935164.19</v>
      </c>
      <c r="H30" s="561">
        <f t="shared" si="5"/>
        <v>-305569.70407739806</v>
      </c>
      <c r="I30" s="535"/>
    </row>
    <row r="31" spans="1:11" ht="15.3">
      <c r="A31" s="224" t="s">
        <v>42</v>
      </c>
      <c r="B31" s="182">
        <v>0</v>
      </c>
      <c r="C31" s="182">
        <f>'Program Budget'!Y477</f>
        <v>520716.17967866559</v>
      </c>
      <c r="D31" s="182">
        <f>'Program Budget'!Z477</f>
        <v>182500</v>
      </c>
      <c r="E31" s="182">
        <f>B31+C31</f>
        <v>520716.17967866559</v>
      </c>
      <c r="F31" s="562">
        <f t="shared" ref="F31:F36" si="6">B31+C31+D31</f>
        <v>703216.17967866559</v>
      </c>
      <c r="G31" s="561">
        <v>1011819.86</v>
      </c>
      <c r="H31" s="561">
        <f t="shared" si="5"/>
        <v>-308603.6803213344</v>
      </c>
      <c r="I31" s="535"/>
    </row>
    <row r="32" spans="1:11" ht="15.3">
      <c r="A32" s="224" t="s">
        <v>43</v>
      </c>
      <c r="B32" s="182">
        <v>0</v>
      </c>
      <c r="C32" s="182">
        <f>'Program Budget'!Y552</f>
        <v>1056867.1137570725</v>
      </c>
      <c r="D32" s="182">
        <f>'Program Budget'!Z552</f>
        <v>0</v>
      </c>
      <c r="E32" s="182">
        <f t="shared" ref="E32:E33" si="7">B32+C32</f>
        <v>1056867.1137570725</v>
      </c>
      <c r="F32" s="562">
        <f t="shared" si="6"/>
        <v>1056867.1137570725</v>
      </c>
      <c r="G32" s="561">
        <v>1251376.6000000001</v>
      </c>
      <c r="H32" s="561">
        <f t="shared" si="5"/>
        <v>-194509.48624292761</v>
      </c>
      <c r="I32" s="535"/>
    </row>
    <row r="33" spans="1:11" ht="15.3">
      <c r="A33" s="224" t="s">
        <v>44</v>
      </c>
      <c r="B33" s="182">
        <v>0</v>
      </c>
      <c r="C33" s="182">
        <f>'Program Budget'!Y607</f>
        <v>357568.94787549559</v>
      </c>
      <c r="D33" s="182">
        <f>'Program Budget'!Z607</f>
        <v>0</v>
      </c>
      <c r="E33" s="182">
        <f t="shared" si="7"/>
        <v>357568.94787549559</v>
      </c>
      <c r="F33" s="562">
        <f t="shared" si="6"/>
        <v>357568.94787549559</v>
      </c>
      <c r="G33" s="561">
        <v>951532.38</v>
      </c>
      <c r="H33" s="561">
        <f t="shared" si="5"/>
        <v>-593963.43212450435</v>
      </c>
      <c r="I33" s="535"/>
    </row>
    <row r="34" spans="1:11" ht="15.3">
      <c r="A34" s="224" t="s">
        <v>45</v>
      </c>
      <c r="B34" s="182">
        <v>0</v>
      </c>
      <c r="C34" s="182">
        <f>'Program Budget'!Y681</f>
        <v>365869.91419715935</v>
      </c>
      <c r="D34" s="182">
        <f>'Program Budget'!Z681</f>
        <v>11500</v>
      </c>
      <c r="E34" s="182">
        <f>B34+C34</f>
        <v>365869.91419715935</v>
      </c>
      <c r="F34" s="562">
        <f t="shared" si="6"/>
        <v>377369.91419715935</v>
      </c>
      <c r="G34" s="561">
        <v>689004.77</v>
      </c>
      <c r="H34" s="561">
        <f t="shared" si="5"/>
        <v>-311634.85580284067</v>
      </c>
      <c r="I34" s="535"/>
    </row>
    <row r="35" spans="1:11" ht="15.3">
      <c r="A35" s="224" t="s">
        <v>46</v>
      </c>
      <c r="B35" s="182">
        <v>0</v>
      </c>
      <c r="C35" s="182">
        <f>'Program Budget'!Y755</f>
        <v>425854.8997538031</v>
      </c>
      <c r="D35" s="182">
        <f>'Program Budget'!Z755</f>
        <v>0</v>
      </c>
      <c r="E35" s="182">
        <f>B35+C35</f>
        <v>425854.8997538031</v>
      </c>
      <c r="F35" s="562">
        <f t="shared" si="6"/>
        <v>425854.8997538031</v>
      </c>
      <c r="G35" s="561">
        <v>632635.61</v>
      </c>
      <c r="H35" s="561">
        <f t="shared" si="5"/>
        <v>-206780.71024619689</v>
      </c>
      <c r="I35" s="535"/>
    </row>
    <row r="36" spans="1:11" ht="30.6">
      <c r="A36" s="224" t="s">
        <v>47</v>
      </c>
      <c r="B36" s="182">
        <v>0</v>
      </c>
      <c r="C36" s="182">
        <f>'Program Budget'!Y827</f>
        <v>462935.91662791872</v>
      </c>
      <c r="D36" s="182">
        <f>'Program Budget'!Z827</f>
        <v>21000</v>
      </c>
      <c r="E36" s="182">
        <f t="shared" ref="E36" si="8">B36+C36</f>
        <v>462935.91662791872</v>
      </c>
      <c r="F36" s="562">
        <f t="shared" si="6"/>
        <v>483935.91662791872</v>
      </c>
      <c r="G36" s="561">
        <v>807880.29</v>
      </c>
      <c r="H36" s="561">
        <f t="shared" si="5"/>
        <v>-323944.37337208132</v>
      </c>
      <c r="I36" s="535"/>
    </row>
    <row r="37" spans="1:11" ht="30.6">
      <c r="A37" s="224" t="s">
        <v>48</v>
      </c>
      <c r="B37" s="182">
        <v>0</v>
      </c>
      <c r="C37" s="182">
        <f>'Program Budget'!Y886</f>
        <v>89328.663046237503</v>
      </c>
      <c r="D37" s="182">
        <f>'Program Budget'!Z886</f>
        <v>4980</v>
      </c>
      <c r="E37" s="182">
        <f t="shared" ref="E37" si="9">B37+C37</f>
        <v>89328.663046237503</v>
      </c>
      <c r="F37" s="562">
        <f t="shared" ref="F37" si="10">B37+C37+D37</f>
        <v>94308.663046237503</v>
      </c>
      <c r="G37" s="561">
        <v>424932.75</v>
      </c>
      <c r="H37" s="561">
        <f t="shared" si="5"/>
        <v>-330624.08695376251</v>
      </c>
      <c r="I37" s="535"/>
    </row>
    <row r="38" spans="1:11" s="31" customFormat="1" ht="15.3">
      <c r="A38" s="183" t="s">
        <v>49</v>
      </c>
      <c r="B38" s="184">
        <f>SUM(B27:B37)</f>
        <v>0</v>
      </c>
      <c r="C38" s="184">
        <f>SUM(C27:C37)</f>
        <v>7375570.5883532874</v>
      </c>
      <c r="D38" s="184">
        <f>SUM(D27:D37)</f>
        <v>406980</v>
      </c>
      <c r="E38" s="184">
        <f>SUM(E27:E37)</f>
        <v>7375570.5883532874</v>
      </c>
      <c r="F38" s="563">
        <f>SUM(F27:F37)</f>
        <v>7782550.5883532874</v>
      </c>
      <c r="G38" s="557">
        <v>11339078.9</v>
      </c>
      <c r="H38" s="561">
        <f t="shared" si="5"/>
        <v>-3556528.3116467129</v>
      </c>
    </row>
    <row r="39" spans="1:11" ht="15.3">
      <c r="A39" s="185"/>
      <c r="B39" s="180"/>
      <c r="C39" s="186"/>
      <c r="D39" s="187"/>
      <c r="E39" s="180"/>
      <c r="F39" s="180"/>
    </row>
    <row r="40" spans="1:11" ht="15.3">
      <c r="A40" s="626" t="s">
        <v>50</v>
      </c>
      <c r="B40" s="628"/>
      <c r="C40" s="628"/>
      <c r="D40" s="628"/>
      <c r="E40" s="628"/>
      <c r="F40" s="627"/>
    </row>
    <row r="41" spans="1:11" ht="15.3">
      <c r="A41" s="188" t="s">
        <v>51</v>
      </c>
      <c r="B41" s="182">
        <v>0</v>
      </c>
      <c r="C41" s="182">
        <f>'Program Budget'!Y978</f>
        <v>3282393.1055208333</v>
      </c>
      <c r="D41" s="189">
        <f>'Program Budget'!Z978</f>
        <v>0</v>
      </c>
      <c r="E41" s="182">
        <f>B41+C41</f>
        <v>3282393.1055208333</v>
      </c>
      <c r="F41" s="182">
        <f>B41+C41+D41</f>
        <v>3282393.1055208333</v>
      </c>
      <c r="H41" s="561"/>
    </row>
    <row r="42" spans="1:11" ht="15.3">
      <c r="A42" s="190" t="s">
        <v>52</v>
      </c>
      <c r="B42" s="191"/>
      <c r="C42" s="191"/>
      <c r="D42" s="191"/>
      <c r="E42" s="191"/>
      <c r="F42" s="191"/>
      <c r="H42" s="561"/>
    </row>
    <row r="43" spans="1:11" ht="15.3">
      <c r="A43" s="190" t="s">
        <v>53</v>
      </c>
      <c r="B43" s="191"/>
      <c r="C43" s="191"/>
      <c r="D43" s="191"/>
      <c r="E43" s="191"/>
      <c r="F43" s="191"/>
      <c r="H43" s="561"/>
    </row>
    <row r="44" spans="1:11" s="31" customFormat="1" ht="15.3">
      <c r="A44" s="183" t="s">
        <v>54</v>
      </c>
      <c r="B44" s="184">
        <f>SUM(B41:B43)</f>
        <v>0</v>
      </c>
      <c r="C44" s="184">
        <f>SUM(C41:C43)</f>
        <v>3282393.1055208333</v>
      </c>
      <c r="D44" s="184">
        <f>SUM(D41:D43)</f>
        <v>0</v>
      </c>
      <c r="E44" s="184">
        <f>SUM(E41:E43)</f>
        <v>3282393.1055208333</v>
      </c>
      <c r="F44" s="184">
        <f>SUM(F41:F43)</f>
        <v>3282393.1055208333</v>
      </c>
      <c r="G44" s="557">
        <v>3136470</v>
      </c>
      <c r="H44" s="561">
        <f>F44-G44</f>
        <v>145923.10552083328</v>
      </c>
      <c r="I44" s="616">
        <f>F44/C68</f>
        <v>0.11922881437772762</v>
      </c>
      <c r="J44" s="567">
        <f>C44+C55</f>
        <v>5985025.5719702337</v>
      </c>
    </row>
    <row r="45" spans="1:11" ht="15.3">
      <c r="A45" s="185"/>
      <c r="B45" s="180"/>
      <c r="C45" s="186"/>
      <c r="D45" s="187"/>
      <c r="E45" s="180"/>
      <c r="F45" s="180"/>
      <c r="J45" s="6">
        <f>J44*20%</f>
        <v>1197005.1143940468</v>
      </c>
    </row>
    <row r="46" spans="1:11" ht="15.3">
      <c r="A46" s="626" t="s">
        <v>55</v>
      </c>
      <c r="B46" s="623"/>
      <c r="C46" s="623"/>
      <c r="D46" s="623"/>
      <c r="E46" s="623"/>
      <c r="F46" s="627"/>
      <c r="J46" s="218">
        <f>J45+J44</f>
        <v>7182030.6863642801</v>
      </c>
      <c r="K46" s="617">
        <f>J46/E12</f>
        <v>0.26087826047386131</v>
      </c>
    </row>
    <row r="47" spans="1:11" ht="15.3">
      <c r="A47" s="192" t="s">
        <v>56</v>
      </c>
      <c r="B47" s="182">
        <v>0</v>
      </c>
      <c r="C47" s="182">
        <f>'Program Budget'!Y925</f>
        <v>953187.36587500002</v>
      </c>
      <c r="D47" s="182">
        <f>'Program Budget'!Z925</f>
        <v>0</v>
      </c>
      <c r="E47" s="182">
        <f t="shared" ref="E47:E54" si="11">B47+C47</f>
        <v>953187.36587500002</v>
      </c>
      <c r="F47" s="182">
        <f>B47+C47+D47</f>
        <v>953187.36587500002</v>
      </c>
      <c r="G47" s="564">
        <v>685849.95</v>
      </c>
      <c r="H47" s="561">
        <f>F47-G47</f>
        <v>267337.41587500006</v>
      </c>
    </row>
    <row r="48" spans="1:11" ht="15.3">
      <c r="A48" s="181" t="s">
        <v>30</v>
      </c>
      <c r="B48" s="182">
        <v>0</v>
      </c>
      <c r="C48" s="182">
        <f>'Program Budget'!Y929</f>
        <v>460008.22277127503</v>
      </c>
      <c r="D48" s="182">
        <f>'Program Budget'!Z929</f>
        <v>0</v>
      </c>
      <c r="E48" s="182">
        <f t="shared" si="11"/>
        <v>460008.22277127503</v>
      </c>
      <c r="F48" s="182">
        <f t="shared" ref="F48:F54" si="12">B48+C48+D48</f>
        <v>460008.22277127503</v>
      </c>
      <c r="G48" s="564">
        <v>330991.18</v>
      </c>
      <c r="H48" s="561">
        <f t="shared" ref="H48:H57" si="13">F48-G48</f>
        <v>129017.04277127504</v>
      </c>
    </row>
    <row r="49" spans="1:10" ht="15.3">
      <c r="A49" s="181" t="s">
        <v>31</v>
      </c>
      <c r="B49" s="182">
        <v>0</v>
      </c>
      <c r="C49" s="182">
        <f>'Program Budget'!Y958</f>
        <v>37600.877803124997</v>
      </c>
      <c r="D49" s="182">
        <f>'Program Budget'!Z958</f>
        <v>0</v>
      </c>
      <c r="E49" s="182">
        <f t="shared" si="11"/>
        <v>37600.877803124997</v>
      </c>
      <c r="F49" s="182">
        <f t="shared" si="12"/>
        <v>37600.877803124997</v>
      </c>
      <c r="G49" s="564">
        <v>37600.879999999997</v>
      </c>
      <c r="H49" s="561">
        <f t="shared" si="13"/>
        <v>-2.1968750006635673E-3</v>
      </c>
      <c r="J49" s="218"/>
    </row>
    <row r="50" spans="1:10" ht="15.3">
      <c r="A50" s="181" t="s">
        <v>57</v>
      </c>
      <c r="B50" s="182">
        <v>0</v>
      </c>
      <c r="C50" s="182">
        <f>'Program Budget'!Y963</f>
        <v>381449.99999999994</v>
      </c>
      <c r="D50" s="182">
        <f>'Program Budget'!Z963</f>
        <v>0</v>
      </c>
      <c r="E50" s="182">
        <f t="shared" ref="E50" si="14">B50+C50</f>
        <v>381449.99999999994</v>
      </c>
      <c r="F50" s="182">
        <f t="shared" ref="F50" si="15">B50+C50+D50</f>
        <v>381449.99999999994</v>
      </c>
      <c r="G50" s="561">
        <v>384650</v>
      </c>
      <c r="H50" s="561">
        <f t="shared" si="13"/>
        <v>-3200.0000000000582</v>
      </c>
    </row>
    <row r="51" spans="1:10" ht="15.3">
      <c r="A51" s="181" t="s">
        <v>58</v>
      </c>
      <c r="B51" s="182">
        <v>0</v>
      </c>
      <c r="C51" s="182">
        <f>'Program Budget'!Y937</f>
        <v>279600</v>
      </c>
      <c r="D51" s="182">
        <f>'Program Budget'!Z937</f>
        <v>0</v>
      </c>
      <c r="E51" s="182">
        <f t="shared" si="11"/>
        <v>279600</v>
      </c>
      <c r="F51" s="182">
        <f t="shared" si="12"/>
        <v>279600</v>
      </c>
      <c r="G51" s="564">
        <v>99702</v>
      </c>
      <c r="H51" s="561">
        <f t="shared" si="13"/>
        <v>179898</v>
      </c>
    </row>
    <row r="52" spans="1:10" ht="15.3">
      <c r="A52" s="181" t="s">
        <v>59</v>
      </c>
      <c r="B52" s="182">
        <v>0</v>
      </c>
      <c r="C52" s="182">
        <f>'Program Budget'!Y948</f>
        <v>588336</v>
      </c>
      <c r="D52" s="182">
        <f>'Program Budget'!Z948</f>
        <v>0</v>
      </c>
      <c r="E52" s="182">
        <f t="shared" si="11"/>
        <v>588336</v>
      </c>
      <c r="F52" s="182">
        <f t="shared" si="12"/>
        <v>588336</v>
      </c>
      <c r="G52" s="564">
        <v>1011615</v>
      </c>
      <c r="H52" s="561">
        <f t="shared" si="13"/>
        <v>-423279</v>
      </c>
    </row>
    <row r="53" spans="1:10" ht="15.3">
      <c r="A53" s="181" t="s">
        <v>34</v>
      </c>
      <c r="B53" s="182">
        <v>0</v>
      </c>
      <c r="C53" s="182">
        <f>'Program Budget'!Y952</f>
        <v>2450</v>
      </c>
      <c r="D53" s="182">
        <f>'Program Budget'!Z952</f>
        <v>0</v>
      </c>
      <c r="E53" s="182">
        <f t="shared" si="11"/>
        <v>2450</v>
      </c>
      <c r="F53" s="182">
        <f t="shared" si="12"/>
        <v>2450</v>
      </c>
      <c r="G53" s="561">
        <v>2450</v>
      </c>
      <c r="H53" s="561">
        <f t="shared" si="13"/>
        <v>0</v>
      </c>
    </row>
    <row r="54" spans="1:10" ht="15.3">
      <c r="A54" s="552" t="s">
        <v>35</v>
      </c>
      <c r="B54" s="553">
        <v>0</v>
      </c>
      <c r="C54" s="553">
        <f>'Program Budget'!Y967</f>
        <v>0</v>
      </c>
      <c r="D54" s="553">
        <f>'Program Budget'!Z967</f>
        <v>0</v>
      </c>
      <c r="E54" s="553">
        <f t="shared" si="11"/>
        <v>0</v>
      </c>
      <c r="F54" s="553">
        <f t="shared" si="12"/>
        <v>0</v>
      </c>
      <c r="G54" s="561">
        <v>0</v>
      </c>
      <c r="H54" s="561">
        <f t="shared" si="13"/>
        <v>0</v>
      </c>
    </row>
    <row r="55" spans="1:10" s="31" customFormat="1" ht="15.3">
      <c r="A55" s="193" t="s">
        <v>60</v>
      </c>
      <c r="B55" s="184">
        <f>SUM(B47:B54)</f>
        <v>0</v>
      </c>
      <c r="C55" s="184">
        <f t="shared" ref="C55:F55" si="16">SUM(C47:C54)</f>
        <v>2702632.4664493999</v>
      </c>
      <c r="D55" s="184">
        <f t="shared" si="16"/>
        <v>0</v>
      </c>
      <c r="E55" s="184">
        <f t="shared" si="16"/>
        <v>2702632.4664493999</v>
      </c>
      <c r="F55" s="184">
        <f t="shared" si="16"/>
        <v>2702632.4664493999</v>
      </c>
      <c r="G55" s="565">
        <v>2552859.0099999998</v>
      </c>
      <c r="H55" s="561">
        <f t="shared" si="13"/>
        <v>149773.45644940017</v>
      </c>
      <c r="I55" s="616">
        <f>F55/C68</f>
        <v>9.8169736017156783E-2</v>
      </c>
    </row>
    <row r="56" spans="1:10" ht="15.3">
      <c r="A56" s="194"/>
      <c r="B56" s="195"/>
      <c r="C56" s="196"/>
      <c r="D56" s="197"/>
      <c r="E56" s="196"/>
      <c r="F56" s="182"/>
      <c r="G56" s="156"/>
      <c r="H56" s="561"/>
    </row>
    <row r="57" spans="1:10" s="31" customFormat="1" ht="15.3">
      <c r="A57" s="193" t="s">
        <v>61</v>
      </c>
      <c r="B57" s="198">
        <f>B24+B38+B55+B44</f>
        <v>0</v>
      </c>
      <c r="C57" s="198">
        <f>C24+C38+C55+C44</f>
        <v>22941833.332907796</v>
      </c>
      <c r="D57" s="198">
        <f>D24+D38+D55+D44</f>
        <v>406980</v>
      </c>
      <c r="E57" s="198">
        <f>E24+E38+E55+E44</f>
        <v>22941833.332907796</v>
      </c>
      <c r="F57" s="198">
        <f>F24+F38+F55+F44</f>
        <v>23348813.332907796</v>
      </c>
      <c r="G57" s="557">
        <v>22431140</v>
      </c>
      <c r="H57" s="561">
        <f t="shared" si="13"/>
        <v>917673.33290779591</v>
      </c>
    </row>
    <row r="58" spans="1:10" ht="15.3">
      <c r="A58" s="199"/>
      <c r="B58" s="200"/>
      <c r="C58" s="200"/>
      <c r="D58" s="201"/>
      <c r="E58" s="200"/>
      <c r="F58" s="180"/>
    </row>
    <row r="59" spans="1:10" ht="15.3">
      <c r="A59" s="629" t="s">
        <v>62</v>
      </c>
      <c r="B59" s="630"/>
      <c r="C59" s="630"/>
      <c r="D59" s="630"/>
      <c r="E59" s="630"/>
      <c r="F59" s="631"/>
    </row>
    <row r="60" spans="1:10" ht="15.3">
      <c r="A60" s="202" t="s">
        <v>63</v>
      </c>
      <c r="B60" s="203">
        <f>B24*0.2</f>
        <v>0</v>
      </c>
      <c r="C60" s="203">
        <f>C24*0.2</f>
        <v>1916247.4345168555</v>
      </c>
      <c r="D60" s="191"/>
      <c r="E60" s="204">
        <f>B60+C60</f>
        <v>1916247.4345168555</v>
      </c>
      <c r="F60" s="191"/>
      <c r="G60" s="564">
        <v>1350683.03</v>
      </c>
      <c r="H60" s="561">
        <f>E60-G60</f>
        <v>565564.40451685549</v>
      </c>
    </row>
    <row r="61" spans="1:10" ht="15.3">
      <c r="A61" s="202" t="s">
        <v>64</v>
      </c>
      <c r="B61" s="205">
        <f>((B38)*0.2)</f>
        <v>0</v>
      </c>
      <c r="C61" s="205">
        <f>C38*0.2</f>
        <v>1475114.1176706576</v>
      </c>
      <c r="D61" s="191"/>
      <c r="E61" s="206">
        <f>B61+C61</f>
        <v>1475114.1176706576</v>
      </c>
      <c r="F61" s="191"/>
      <c r="G61" s="564">
        <v>2733024.72</v>
      </c>
      <c r="H61" s="561">
        <f t="shared" ref="H61:H64" si="17">E61-G61</f>
        <v>-1257910.6023293426</v>
      </c>
    </row>
    <row r="62" spans="1:10" ht="15.3">
      <c r="A62" s="178" t="s">
        <v>65</v>
      </c>
      <c r="B62" s="205">
        <f>B44*0.2</f>
        <v>0</v>
      </c>
      <c r="C62" s="205">
        <f>C44*0.2</f>
        <v>656478.62110416673</v>
      </c>
      <c r="D62" s="191"/>
      <c r="E62" s="206">
        <f>B62+C62</f>
        <v>656478.62110416673</v>
      </c>
      <c r="F62" s="191"/>
      <c r="G62" s="561">
        <v>784117.5</v>
      </c>
      <c r="H62" s="561">
        <f t="shared" si="17"/>
        <v>-127638.87889583327</v>
      </c>
    </row>
    <row r="63" spans="1:10" ht="15.3">
      <c r="A63" s="207" t="s">
        <v>66</v>
      </c>
      <c r="B63" s="205">
        <f>B55*0.2</f>
        <v>0</v>
      </c>
      <c r="C63" s="205">
        <f>C55*0.2</f>
        <v>540526.49328987999</v>
      </c>
      <c r="D63" s="191"/>
      <c r="E63" s="206">
        <f>B63+C63</f>
        <v>540526.49328987999</v>
      </c>
      <c r="F63" s="191"/>
      <c r="G63" s="564">
        <v>638214.75</v>
      </c>
      <c r="H63" s="561">
        <f t="shared" si="17"/>
        <v>-97688.256710120011</v>
      </c>
    </row>
    <row r="64" spans="1:10" s="31" customFormat="1" ht="15.3">
      <c r="A64" s="178" t="s">
        <v>67</v>
      </c>
      <c r="B64" s="228">
        <f>ROUND(SUM(B60:B63),0)</f>
        <v>0</v>
      </c>
      <c r="C64" s="228">
        <f>SUM(C60:C63)</f>
        <v>4588366.6665815599</v>
      </c>
      <c r="D64" s="229"/>
      <c r="E64" s="230">
        <f>SUM(E60:E63)</f>
        <v>4588366.6665815599</v>
      </c>
      <c r="F64" s="229"/>
      <c r="G64" s="557">
        <v>5506040</v>
      </c>
      <c r="H64" s="561">
        <f t="shared" si="17"/>
        <v>-917673.33341844007</v>
      </c>
    </row>
    <row r="65" spans="1:8" ht="15.3">
      <c r="A65" s="208"/>
      <c r="B65" s="209"/>
      <c r="C65" s="209"/>
      <c r="D65" s="209"/>
      <c r="E65" s="209"/>
      <c r="F65" s="210"/>
    </row>
    <row r="66" spans="1:8" ht="15.3">
      <c r="A66" s="211" t="s">
        <v>68</v>
      </c>
      <c r="B66" s="191"/>
      <c r="C66" s="191"/>
      <c r="D66" s="191"/>
      <c r="E66" s="191"/>
      <c r="F66" s="205"/>
    </row>
    <row r="67" spans="1:8" ht="15.3">
      <c r="A67" s="212"/>
      <c r="B67" s="213"/>
      <c r="C67" s="214"/>
      <c r="D67" s="215"/>
      <c r="E67" s="214"/>
      <c r="F67" s="216"/>
    </row>
    <row r="68" spans="1:8" s="31" customFormat="1" ht="15.3">
      <c r="A68" s="217" t="s">
        <v>69</v>
      </c>
      <c r="B68" s="220">
        <f>(B64+B57)</f>
        <v>0</v>
      </c>
      <c r="C68" s="220">
        <f>(C64+C57)</f>
        <v>27530199.999489356</v>
      </c>
      <c r="D68" s="220">
        <f>(D64+D57)</f>
        <v>406980</v>
      </c>
      <c r="E68" s="220">
        <f>(E64+E57)</f>
        <v>27530199.999489356</v>
      </c>
      <c r="F68" s="221">
        <f>(F57+E64)</f>
        <v>27937179.999489356</v>
      </c>
      <c r="G68" s="557">
        <v>27937180</v>
      </c>
      <c r="H68" s="561">
        <f>F68-G68</f>
        <v>-5.1064416766166687E-4</v>
      </c>
    </row>
    <row r="69" spans="1:8" ht="15.6" thickBot="1">
      <c r="A69" s="185"/>
      <c r="B69" s="231"/>
      <c r="C69" s="231"/>
      <c r="D69" s="232"/>
      <c r="E69" s="231"/>
      <c r="F69" s="233"/>
    </row>
    <row r="70" spans="1:8" ht="15.3">
      <c r="A70" s="618" t="s">
        <v>70</v>
      </c>
      <c r="B70" s="619"/>
      <c r="C70" s="619"/>
      <c r="D70" s="619"/>
      <c r="E70" s="619"/>
      <c r="F70" s="234">
        <f>F12+D68</f>
        <v>40406979.999489352</v>
      </c>
      <c r="G70" s="557">
        <v>40406980</v>
      </c>
      <c r="H70" s="561">
        <f>F70-G70</f>
        <v>-5.1064789295196533E-4</v>
      </c>
    </row>
    <row r="71" spans="1:8">
      <c r="D71" s="71"/>
    </row>
    <row r="72" spans="1:8">
      <c r="C72" s="70"/>
      <c r="D72" s="70"/>
      <c r="E72" s="70"/>
      <c r="F72" s="70"/>
    </row>
    <row r="73" spans="1:8">
      <c r="C73" s="70"/>
      <c r="D73" s="70"/>
      <c r="E73" s="70"/>
      <c r="F73" s="70"/>
    </row>
    <row r="74" spans="1:8">
      <c r="C74" s="70"/>
      <c r="D74" s="70"/>
      <c r="E74" s="70"/>
      <c r="F74" s="70"/>
    </row>
    <row r="75" spans="1:8">
      <c r="C75" s="71"/>
      <c r="D75" s="71"/>
    </row>
    <row r="76" spans="1:8">
      <c r="D76" s="71"/>
    </row>
    <row r="77" spans="1:8">
      <c r="D77" s="71"/>
    </row>
    <row r="78" spans="1:8">
      <c r="D78" s="71"/>
    </row>
    <row r="79" spans="1:8">
      <c r="D79" s="71"/>
    </row>
    <row r="80" spans="1:8">
      <c r="D80" s="71"/>
    </row>
    <row r="81" spans="4:4">
      <c r="D81" s="71"/>
    </row>
    <row r="82" spans="4:4">
      <c r="D82" s="71"/>
    </row>
    <row r="83" spans="4:4">
      <c r="D83" s="71"/>
    </row>
    <row r="84" spans="4:4">
      <c r="D84" s="71"/>
    </row>
    <row r="85" spans="4:4">
      <c r="D85" s="71"/>
    </row>
    <row r="86" spans="4:4">
      <c r="D86" s="71"/>
    </row>
    <row r="87" spans="4:4">
      <c r="D87" s="71"/>
    </row>
    <row r="88" spans="4:4">
      <c r="D88" s="71"/>
    </row>
    <row r="89" spans="4:4">
      <c r="D89" s="71"/>
    </row>
    <row r="90" spans="4:4">
      <c r="D90" s="71"/>
    </row>
    <row r="91" spans="4:4">
      <c r="D91" s="71"/>
    </row>
    <row r="92" spans="4:4">
      <c r="D92" s="71"/>
    </row>
    <row r="93" spans="4:4">
      <c r="D93" s="71"/>
    </row>
    <row r="94" spans="4:4">
      <c r="D94" s="71"/>
    </row>
    <row r="95" spans="4:4">
      <c r="D95" s="71"/>
    </row>
    <row r="96" spans="4:4">
      <c r="D96" s="71"/>
    </row>
    <row r="97" spans="4:4">
      <c r="D97" s="71"/>
    </row>
    <row r="98" spans="4:4">
      <c r="D98" s="71"/>
    </row>
    <row r="99" spans="4:4">
      <c r="D99" s="71"/>
    </row>
    <row r="100" spans="4:4">
      <c r="D100" s="71"/>
    </row>
    <row r="101" spans="4:4">
      <c r="D101" s="71"/>
    </row>
    <row r="102" spans="4:4">
      <c r="D102" s="71"/>
    </row>
    <row r="103" spans="4:4">
      <c r="D103" s="71"/>
    </row>
    <row r="104" spans="4:4">
      <c r="D104" s="71"/>
    </row>
    <row r="105" spans="4:4">
      <c r="D105" s="71"/>
    </row>
    <row r="106" spans="4:4">
      <c r="D106" s="71"/>
    </row>
    <row r="107" spans="4:4">
      <c r="D107" s="71"/>
    </row>
    <row r="108" spans="4:4">
      <c r="D108" s="71"/>
    </row>
    <row r="109" spans="4:4">
      <c r="D109" s="71"/>
    </row>
    <row r="110" spans="4:4">
      <c r="D110" s="71"/>
    </row>
    <row r="111" spans="4:4">
      <c r="D111" s="71"/>
    </row>
    <row r="112" spans="4:4">
      <c r="D112" s="71"/>
    </row>
    <row r="113" spans="4:4">
      <c r="D113" s="71"/>
    </row>
    <row r="114" spans="4:4">
      <c r="D114" s="71"/>
    </row>
    <row r="115" spans="4:4">
      <c r="D115" s="71"/>
    </row>
    <row r="116" spans="4:4">
      <c r="D116" s="71"/>
    </row>
    <row r="117" spans="4:4">
      <c r="D117" s="71"/>
    </row>
    <row r="118" spans="4:4">
      <c r="D118" s="71"/>
    </row>
    <row r="119" spans="4:4">
      <c r="D119" s="71"/>
    </row>
    <row r="120" spans="4:4">
      <c r="D120" s="71"/>
    </row>
    <row r="121" spans="4:4">
      <c r="D121" s="71"/>
    </row>
    <row r="122" spans="4:4">
      <c r="D122" s="71"/>
    </row>
    <row r="123" spans="4:4">
      <c r="D123" s="71"/>
    </row>
    <row r="124" spans="4:4">
      <c r="D124" s="71"/>
    </row>
    <row r="125" spans="4:4">
      <c r="D125" s="71"/>
    </row>
    <row r="126" spans="4:4">
      <c r="D126" s="71"/>
    </row>
    <row r="127" spans="4:4">
      <c r="D127" s="71"/>
    </row>
    <row r="128" spans="4:4">
      <c r="D128" s="71"/>
    </row>
    <row r="129" spans="4:4">
      <c r="D129" s="71"/>
    </row>
    <row r="130" spans="4:4">
      <c r="D130" s="71"/>
    </row>
    <row r="131" spans="4:4">
      <c r="D131" s="71"/>
    </row>
  </sheetData>
  <mergeCells count="11">
    <mergeCell ref="A70:E70"/>
    <mergeCell ref="A1:F1"/>
    <mergeCell ref="A2:F2"/>
    <mergeCell ref="A10:F10"/>
    <mergeCell ref="A14:F14"/>
    <mergeCell ref="A16:F16"/>
    <mergeCell ref="A25:E25"/>
    <mergeCell ref="A26:F26"/>
    <mergeCell ref="A40:F40"/>
    <mergeCell ref="A46:F46"/>
    <mergeCell ref="A59:F59"/>
  </mergeCells>
  <pageMargins left="1" right="1" top="1" bottom="1" header="0.3" footer="0.3"/>
  <pageSetup fitToHeight="0" orientation="portrait" r:id="rId1"/>
  <headerFooter>
    <oddFooter>&amp;C&amp;"Times New Roman,Regular"&amp;12&amp;K01+000                                                                          Partners of the Americas – FY 2023 FFPr Mauritania – USDA-FAS-10.606-0700-23-(557) &amp;R&amp;"Times New Roman,Regular"&amp;12 73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W993"/>
  <sheetViews>
    <sheetView tabSelected="1" topLeftCell="A3" zoomScaleNormal="100" zoomScaleSheetLayoutView="90" workbookViewId="0">
      <pane xSplit="4" ySplit="7" topLeftCell="Y257" activePane="bottomRight" state="frozen"/>
      <selection activeCell="A3" sqref="A3"/>
      <selection pane="topRight" activeCell="E3" sqref="E3"/>
      <selection pane="bottomLeft" activeCell="A10" sqref="A10"/>
      <selection pane="bottomRight" activeCell="AA265" sqref="AA265"/>
    </sheetView>
  </sheetViews>
  <sheetFormatPr defaultColWidth="11.44140625" defaultRowHeight="12.6"/>
  <cols>
    <col min="1" max="1" width="17.83203125" style="591" customWidth="1"/>
    <col min="2" max="2" width="24.38671875" style="591" customWidth="1"/>
    <col min="3" max="3" width="17.83203125" style="591" customWidth="1"/>
    <col min="4" max="4" width="54.44140625" style="8" customWidth="1"/>
    <col min="5" max="5" width="11.44140625" style="123" customWidth="1"/>
    <col min="6" max="6" width="11.83203125" style="8" customWidth="1"/>
    <col min="7" max="7" width="13.1640625" style="8" customWidth="1"/>
    <col min="8" max="8" width="11.44140625" style="51" customWidth="1"/>
    <col min="9" max="9" width="14.5546875" style="32" customWidth="1"/>
    <col min="10" max="10" width="11.44140625" style="30" customWidth="1"/>
    <col min="11" max="11" width="10.44140625" style="32" customWidth="1"/>
    <col min="12" max="12" width="11.44140625" style="32" customWidth="1"/>
    <col min="13" max="13" width="11.44140625" style="30" customWidth="1"/>
    <col min="14" max="14" width="10.44140625" style="32" customWidth="1"/>
    <col min="15" max="15" width="11.44140625" style="32" customWidth="1"/>
    <col min="16" max="16" width="11.1640625" style="30" customWidth="1"/>
    <col min="17" max="17" width="10.44140625" style="32" customWidth="1"/>
    <col min="18" max="18" width="13.1640625" style="32" customWidth="1"/>
    <col min="19" max="19" width="11.44140625" style="30" customWidth="1"/>
    <col min="20" max="20" width="10.44140625" style="32" customWidth="1"/>
    <col min="21" max="21" width="12.44140625" style="32" customWidth="1"/>
    <col min="22" max="22" width="11.44140625" style="30" customWidth="1"/>
    <col min="23" max="24" width="11.44140625" style="32" customWidth="1"/>
    <col min="25" max="25" width="13.27734375" style="32" customWidth="1"/>
    <col min="26" max="26" width="12.27734375" style="32" customWidth="1"/>
    <col min="27" max="27" width="14" style="32" customWidth="1"/>
    <col min="28" max="28" width="12.83203125" style="6" bestFit="1" customWidth="1"/>
    <col min="29" max="16384" width="11.44140625" style="6"/>
  </cols>
  <sheetData>
    <row r="1" spans="1:27" ht="13.8">
      <c r="A1" s="589"/>
      <c r="B1" s="589"/>
      <c r="C1" s="589"/>
      <c r="D1" s="632" t="s">
        <v>71</v>
      </c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  <c r="R1" s="632"/>
      <c r="S1" s="632"/>
      <c r="T1" s="632"/>
      <c r="U1" s="632"/>
      <c r="V1" s="632"/>
      <c r="W1" s="632"/>
      <c r="X1" s="632"/>
      <c r="Y1" s="632"/>
      <c r="Z1" s="632"/>
      <c r="AA1" s="632"/>
    </row>
    <row r="2" spans="1:27" ht="13.8">
      <c r="A2" s="589"/>
      <c r="B2" s="589"/>
      <c r="C2" s="589"/>
      <c r="D2" s="635" t="s">
        <v>72</v>
      </c>
      <c r="E2" s="635"/>
      <c r="F2" s="635"/>
      <c r="G2" s="635"/>
      <c r="H2" s="635"/>
      <c r="I2" s="635"/>
      <c r="J2" s="635"/>
      <c r="K2" s="635"/>
      <c r="L2" s="635"/>
      <c r="M2" s="635"/>
      <c r="N2" s="635"/>
      <c r="O2" s="635"/>
      <c r="P2" s="635"/>
      <c r="Q2" s="635"/>
      <c r="R2" s="635"/>
      <c r="S2" s="635"/>
      <c r="T2" s="635"/>
      <c r="U2" s="635"/>
      <c r="V2" s="635"/>
      <c r="W2" s="635"/>
      <c r="X2" s="635"/>
      <c r="Y2" s="635"/>
      <c r="Z2" s="635"/>
      <c r="AA2" s="635"/>
    </row>
    <row r="3" spans="1:27" ht="13.8">
      <c r="A3" s="589"/>
      <c r="B3" s="589"/>
      <c r="C3" s="589"/>
      <c r="D3" s="633" t="s">
        <v>73</v>
      </c>
      <c r="E3" s="633"/>
      <c r="F3" s="633"/>
      <c r="G3" s="633"/>
      <c r="H3" s="633"/>
      <c r="I3" s="633"/>
      <c r="J3" s="633"/>
      <c r="K3" s="633"/>
      <c r="L3" s="633"/>
      <c r="M3" s="633"/>
      <c r="N3" s="633"/>
      <c r="O3" s="633"/>
      <c r="P3" s="633"/>
      <c r="Q3" s="633"/>
      <c r="R3" s="633"/>
      <c r="S3" s="633"/>
      <c r="T3" s="633"/>
      <c r="U3" s="633"/>
      <c r="V3" s="633"/>
      <c r="W3" s="633"/>
      <c r="X3" s="633"/>
      <c r="Y3" s="633"/>
      <c r="Z3" s="633"/>
      <c r="AA3" s="633"/>
    </row>
    <row r="4" spans="1:27" ht="13.8">
      <c r="A4" s="589"/>
      <c r="B4" s="589"/>
      <c r="C4" s="589"/>
      <c r="D4" s="632" t="s">
        <v>74</v>
      </c>
      <c r="E4" s="632"/>
      <c r="F4" s="632"/>
      <c r="G4" s="632"/>
      <c r="H4" s="632"/>
      <c r="I4" s="632"/>
      <c r="J4" s="632"/>
      <c r="K4" s="632"/>
      <c r="L4" s="632"/>
      <c r="M4" s="632"/>
      <c r="N4" s="632"/>
      <c r="O4" s="632"/>
      <c r="P4" s="632"/>
      <c r="Q4" s="632"/>
      <c r="R4" s="632"/>
      <c r="S4" s="632"/>
      <c r="T4" s="632"/>
      <c r="U4" s="632"/>
      <c r="V4" s="632"/>
      <c r="W4" s="632"/>
      <c r="X4" s="632"/>
      <c r="Y4" s="632"/>
      <c r="Z4" s="632"/>
      <c r="AA4" s="632"/>
    </row>
    <row r="5" spans="1:27" ht="13.8">
      <c r="A5" s="589"/>
      <c r="B5" s="589"/>
      <c r="C5" s="589"/>
      <c r="D5" s="634" t="s">
        <v>75</v>
      </c>
      <c r="E5" s="634"/>
      <c r="F5" s="2"/>
      <c r="G5" s="529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3.8">
      <c r="A6" s="590" t="s">
        <v>746</v>
      </c>
      <c r="B6" s="590">
        <v>20300</v>
      </c>
      <c r="C6" s="589"/>
      <c r="D6" s="22" t="s">
        <v>76</v>
      </c>
      <c r="E6" s="23">
        <v>1.05</v>
      </c>
    </row>
    <row r="7" spans="1:27" ht="13.8">
      <c r="A7" s="590" t="s">
        <v>744</v>
      </c>
      <c r="B7" s="590" t="s">
        <v>745</v>
      </c>
      <c r="C7" s="589"/>
      <c r="D7" s="22" t="s">
        <v>77</v>
      </c>
      <c r="E7" s="112">
        <v>1.05</v>
      </c>
    </row>
    <row r="8" spans="1:27" hidden="1">
      <c r="C8" s="589"/>
    </row>
    <row r="9" spans="1:27" ht="37.5" thickBot="1">
      <c r="A9" s="592" t="s">
        <v>741</v>
      </c>
      <c r="B9" s="592" t="s">
        <v>742</v>
      </c>
      <c r="C9" s="592" t="s">
        <v>743</v>
      </c>
      <c r="D9" s="34" t="s">
        <v>78</v>
      </c>
      <c r="E9" s="73" t="s">
        <v>79</v>
      </c>
      <c r="F9" s="34" t="s">
        <v>80</v>
      </c>
      <c r="G9" s="34" t="s">
        <v>81</v>
      </c>
      <c r="H9" s="35" t="s">
        <v>82</v>
      </c>
      <c r="I9" s="36" t="s">
        <v>83</v>
      </c>
      <c r="J9" s="73" t="s">
        <v>84</v>
      </c>
      <c r="K9" s="34" t="s">
        <v>81</v>
      </c>
      <c r="L9" s="36" t="s">
        <v>85</v>
      </c>
      <c r="M9" s="73" t="s">
        <v>86</v>
      </c>
      <c r="N9" s="34" t="s">
        <v>81</v>
      </c>
      <c r="O9" s="36" t="s">
        <v>87</v>
      </c>
      <c r="P9" s="73" t="s">
        <v>88</v>
      </c>
      <c r="Q9" s="34" t="s">
        <v>81</v>
      </c>
      <c r="R9" s="36" t="s">
        <v>89</v>
      </c>
      <c r="S9" s="73" t="s">
        <v>90</v>
      </c>
      <c r="T9" s="36" t="s">
        <v>81</v>
      </c>
      <c r="U9" s="36" t="s">
        <v>91</v>
      </c>
      <c r="V9" s="73" t="s">
        <v>92</v>
      </c>
      <c r="W9" s="36" t="s">
        <v>81</v>
      </c>
      <c r="X9" s="36" t="s">
        <v>93</v>
      </c>
      <c r="Y9" s="36" t="s">
        <v>94</v>
      </c>
      <c r="Z9" s="35" t="s">
        <v>95</v>
      </c>
      <c r="AA9" s="35" t="s">
        <v>96</v>
      </c>
    </row>
    <row r="10" spans="1:27">
      <c r="A10" s="593"/>
      <c r="B10" s="593"/>
      <c r="C10" s="593"/>
      <c r="D10" s="37" t="s">
        <v>97</v>
      </c>
      <c r="E10" s="113"/>
      <c r="F10" s="38"/>
      <c r="G10" s="38"/>
      <c r="H10" s="39"/>
      <c r="I10" s="40"/>
      <c r="J10" s="113"/>
      <c r="K10" s="40"/>
      <c r="L10" s="40"/>
      <c r="M10" s="113"/>
      <c r="N10" s="40"/>
      <c r="O10" s="40"/>
      <c r="P10" s="113"/>
      <c r="Q10" s="40"/>
      <c r="R10" s="40"/>
      <c r="S10" s="113"/>
      <c r="T10" s="40"/>
      <c r="U10" s="40"/>
      <c r="V10" s="113"/>
      <c r="W10" s="40"/>
      <c r="X10" s="40"/>
      <c r="Y10" s="40"/>
      <c r="Z10" s="40"/>
      <c r="AA10" s="40"/>
    </row>
    <row r="11" spans="1:27" ht="14.5" customHeight="1">
      <c r="A11" s="594"/>
      <c r="B11" s="594"/>
      <c r="C11" s="594"/>
      <c r="D11" s="74" t="s">
        <v>98</v>
      </c>
      <c r="E11" s="114"/>
      <c r="F11" s="75"/>
      <c r="G11" s="76"/>
      <c r="H11" s="77"/>
      <c r="I11" s="78"/>
      <c r="J11" s="114"/>
      <c r="K11" s="78"/>
      <c r="L11" s="78"/>
      <c r="M11" s="114"/>
      <c r="N11" s="78"/>
      <c r="O11" s="78"/>
      <c r="P11" s="114"/>
      <c r="Q11" s="78"/>
      <c r="R11" s="78"/>
      <c r="S11" s="114"/>
      <c r="T11" s="78"/>
      <c r="U11" s="78"/>
      <c r="V11" s="114"/>
      <c r="W11" s="78"/>
      <c r="X11" s="78"/>
      <c r="Y11" s="78"/>
      <c r="Z11" s="78"/>
      <c r="AA11" s="78"/>
    </row>
    <row r="12" spans="1:27">
      <c r="A12" s="595" t="s">
        <v>748</v>
      </c>
      <c r="B12" s="595">
        <v>70000</v>
      </c>
      <c r="C12" s="595" t="s">
        <v>747</v>
      </c>
      <c r="D12" s="240" t="s">
        <v>99</v>
      </c>
      <c r="E12" s="115">
        <f>'LOE Breakdown by Year'!D11</f>
        <v>1</v>
      </c>
      <c r="F12" s="50" t="s">
        <v>100</v>
      </c>
      <c r="G12" s="44">
        <v>11</v>
      </c>
      <c r="H12" s="44">
        <f>115000/12</f>
        <v>9583.3333333333339</v>
      </c>
      <c r="I12" s="44">
        <f t="shared" ref="I12:I24" si="0">G12*H12*E12</f>
        <v>105416.66666666667</v>
      </c>
      <c r="J12" s="115">
        <f>'LOE Breakdown by Year'!D57</f>
        <v>1</v>
      </c>
      <c r="K12" s="44">
        <v>12</v>
      </c>
      <c r="L12" s="44">
        <f>K12*H12*$E$7*$J12</f>
        <v>120750</v>
      </c>
      <c r="M12" s="115">
        <f>'LOE Breakdown by Year'!D103</f>
        <v>1</v>
      </c>
      <c r="N12" s="44">
        <v>12</v>
      </c>
      <c r="O12" s="44">
        <f t="shared" ref="O12:O44" si="1">N12*H12*$M12*$E$7*$E$7</f>
        <v>126787.5</v>
      </c>
      <c r="P12" s="115">
        <f>'LOE Breakdown by Year'!D149</f>
        <v>1</v>
      </c>
      <c r="Q12" s="44">
        <v>12</v>
      </c>
      <c r="R12" s="44">
        <f>Q12*H12*$P12*$E$7*$E$7*$E$7</f>
        <v>133126.875</v>
      </c>
      <c r="S12" s="115">
        <f>'LOE Breakdown by Year'!D195</f>
        <v>1</v>
      </c>
      <c r="T12" s="44">
        <v>12</v>
      </c>
      <c r="U12" s="44">
        <f>T12*H12*$S12*$E$7*$E$7*$E$7*$E$7</f>
        <v>139783.21875</v>
      </c>
      <c r="V12" s="115">
        <f>'LOE Breakdown by Year'!D241</f>
        <v>1</v>
      </c>
      <c r="W12" s="44">
        <v>12</v>
      </c>
      <c r="X12" s="44">
        <f>W12*H12*$V12*$E$7*$E$7*$E$7*$E$7*$E$7</f>
        <v>146772.37968750001</v>
      </c>
      <c r="Y12" s="44">
        <f>SUM(R12,O12,L12,I12,U12,X12)</f>
        <v>772636.6401041667</v>
      </c>
      <c r="Z12" s="44">
        <v>0</v>
      </c>
      <c r="AA12" s="44">
        <f>SUM(Y12:Z12)</f>
        <v>772636.6401041667</v>
      </c>
    </row>
    <row r="13" spans="1:27">
      <c r="A13" s="595" t="s">
        <v>749</v>
      </c>
      <c r="B13" s="595">
        <v>70000</v>
      </c>
      <c r="C13" s="595" t="s">
        <v>747</v>
      </c>
      <c r="D13" s="240" t="s">
        <v>101</v>
      </c>
      <c r="E13" s="115">
        <f>'LOE Breakdown by Year'!D12</f>
        <v>1</v>
      </c>
      <c r="F13" s="50" t="s">
        <v>100</v>
      </c>
      <c r="G13" s="44">
        <v>11</v>
      </c>
      <c r="H13" s="44">
        <f>78000/12</f>
        <v>6500</v>
      </c>
      <c r="I13" s="44">
        <f>G13*H13*E13</f>
        <v>71500</v>
      </c>
      <c r="J13" s="115">
        <f>'LOE Breakdown by Year'!D58</f>
        <v>1</v>
      </c>
      <c r="K13" s="44">
        <v>12</v>
      </c>
      <c r="L13" s="44">
        <f t="shared" ref="L13:L44" si="2">K13*H13*$E$7*$J13</f>
        <v>81900</v>
      </c>
      <c r="M13" s="115">
        <f>'LOE Breakdown by Year'!D104</f>
        <v>1</v>
      </c>
      <c r="N13" s="44">
        <v>12</v>
      </c>
      <c r="O13" s="44">
        <f t="shared" si="1"/>
        <v>85995</v>
      </c>
      <c r="P13" s="115">
        <f>'LOE Breakdown by Year'!D150</f>
        <v>1</v>
      </c>
      <c r="Q13" s="44">
        <v>12</v>
      </c>
      <c r="R13" s="44">
        <f>Q13*H13*$P13*$E$7*$E$7*$E$7</f>
        <v>90294.75</v>
      </c>
      <c r="S13" s="115">
        <f>'LOE Breakdown by Year'!D196</f>
        <v>1</v>
      </c>
      <c r="T13" s="44">
        <v>12</v>
      </c>
      <c r="U13" s="44">
        <f t="shared" ref="U13:U44" si="3">T13*H13*$S13*$E$7*$E$7*$E$7*$E$7</f>
        <v>94809.487500000003</v>
      </c>
      <c r="V13" s="115">
        <f>'LOE Breakdown by Year'!D242</f>
        <v>1</v>
      </c>
      <c r="W13" s="44">
        <v>12</v>
      </c>
      <c r="X13" s="44">
        <f t="shared" ref="X13:X51" si="4">W13*H13*$V13*$E$7*$E$7*$E$7*$E$7*$E$7</f>
        <v>99549.961875000008</v>
      </c>
      <c r="Y13" s="44">
        <f t="shared" ref="Y13:Y51" si="5">SUM(R13,O13,L13,I13,U13,X13)</f>
        <v>524049.19937499997</v>
      </c>
      <c r="Z13" s="44">
        <v>0</v>
      </c>
      <c r="AA13" s="44">
        <f>SUM(Y13:Z13)</f>
        <v>524049.19937499997</v>
      </c>
    </row>
    <row r="14" spans="1:27" hidden="1">
      <c r="A14" s="595" t="s">
        <v>763</v>
      </c>
      <c r="B14" s="595">
        <v>70000</v>
      </c>
      <c r="C14" s="595" t="s">
        <v>747</v>
      </c>
      <c r="D14" s="240" t="s">
        <v>102</v>
      </c>
      <c r="E14" s="115">
        <f>'LOE Breakdown by Year'!D13</f>
        <v>0</v>
      </c>
      <c r="F14" s="50" t="s">
        <v>100</v>
      </c>
      <c r="G14" s="44">
        <v>0</v>
      </c>
      <c r="H14" s="237">
        <f>18000/12</f>
        <v>1500</v>
      </c>
      <c r="I14" s="44">
        <f t="shared" si="0"/>
        <v>0</v>
      </c>
      <c r="J14" s="115">
        <f>'LOE Breakdown by Year'!D59</f>
        <v>0</v>
      </c>
      <c r="K14" s="44">
        <v>0</v>
      </c>
      <c r="L14" s="44">
        <f t="shared" si="2"/>
        <v>0</v>
      </c>
      <c r="M14" s="115">
        <f>'LOE Breakdown by Year'!D105</f>
        <v>0</v>
      </c>
      <c r="N14" s="44">
        <v>7</v>
      </c>
      <c r="O14" s="44">
        <f t="shared" si="1"/>
        <v>0</v>
      </c>
      <c r="P14" s="115">
        <f>'LOE Breakdown by Year'!D151</f>
        <v>0</v>
      </c>
      <c r="Q14" s="44">
        <v>12</v>
      </c>
      <c r="R14" s="44">
        <f t="shared" ref="R14:R44" si="6">Q14*H14*$P14*$E$7*$E$7*$E$7</f>
        <v>0</v>
      </c>
      <c r="S14" s="115">
        <f>'LOE Breakdown by Year'!D197</f>
        <v>0</v>
      </c>
      <c r="T14" s="44">
        <v>12</v>
      </c>
      <c r="U14" s="44">
        <f t="shared" si="3"/>
        <v>0</v>
      </c>
      <c r="V14" s="115">
        <f>'LOE Breakdown by Year'!D243</f>
        <v>0</v>
      </c>
      <c r="W14" s="44">
        <v>6</v>
      </c>
      <c r="X14" s="44">
        <f t="shared" si="4"/>
        <v>0</v>
      </c>
      <c r="Y14" s="44">
        <f t="shared" si="5"/>
        <v>0</v>
      </c>
      <c r="Z14" s="44">
        <v>0</v>
      </c>
      <c r="AA14" s="44">
        <f t="shared" ref="AA14:AA23" si="7">SUM(Y14:Z14)</f>
        <v>0</v>
      </c>
    </row>
    <row r="15" spans="1:27" hidden="1">
      <c r="A15" s="595" t="s">
        <v>751</v>
      </c>
      <c r="B15" s="595">
        <v>70000</v>
      </c>
      <c r="C15" s="595" t="s">
        <v>747</v>
      </c>
      <c r="D15" s="240" t="s">
        <v>103</v>
      </c>
      <c r="E15" s="115">
        <f>'LOE Breakdown by Year'!D14</f>
        <v>0</v>
      </c>
      <c r="F15" s="50" t="s">
        <v>100</v>
      </c>
      <c r="G15" s="44">
        <v>9</v>
      </c>
      <c r="H15" s="237">
        <f>55000/12</f>
        <v>4583.333333333333</v>
      </c>
      <c r="I15" s="44">
        <f>G15*H15*E15</f>
        <v>0</v>
      </c>
      <c r="J15" s="115">
        <f>'LOE Breakdown by Year'!D60</f>
        <v>0</v>
      </c>
      <c r="K15" s="44">
        <v>12</v>
      </c>
      <c r="L15" s="44">
        <f>K15*H15*$E$7*$J15</f>
        <v>0</v>
      </c>
      <c r="M15" s="115">
        <f>'LOE Breakdown by Year'!D106</f>
        <v>0</v>
      </c>
      <c r="N15" s="44">
        <v>12</v>
      </c>
      <c r="O15" s="44">
        <f t="shared" si="1"/>
        <v>0</v>
      </c>
      <c r="P15" s="115">
        <f>'LOE Breakdown by Year'!D152</f>
        <v>0</v>
      </c>
      <c r="Q15" s="44">
        <v>12</v>
      </c>
      <c r="R15" s="44">
        <f t="shared" si="6"/>
        <v>0</v>
      </c>
      <c r="S15" s="115">
        <f>'LOE Breakdown by Year'!D198</f>
        <v>0</v>
      </c>
      <c r="T15" s="44">
        <v>12</v>
      </c>
      <c r="U15" s="44">
        <f t="shared" si="3"/>
        <v>0</v>
      </c>
      <c r="V15" s="115">
        <f>'LOE Breakdown by Year'!D244</f>
        <v>0</v>
      </c>
      <c r="W15" s="44">
        <v>8</v>
      </c>
      <c r="X15" s="44">
        <f t="shared" ref="X15" si="8">W15*H15*$V15*$E$7*$E$7*$E$7*$E$7*$E$7</f>
        <v>0</v>
      </c>
      <c r="Y15" s="44">
        <f t="shared" ref="Y15" si="9">SUM(R15,O15,L15,I15,U15,X15)</f>
        <v>0</v>
      </c>
      <c r="Z15" s="44">
        <v>0</v>
      </c>
      <c r="AA15" s="44">
        <f t="shared" ref="AA15" si="10">SUM(Y15:Z15)</f>
        <v>0</v>
      </c>
    </row>
    <row r="16" spans="1:27" hidden="1">
      <c r="A16" s="595" t="s">
        <v>752</v>
      </c>
      <c r="B16" s="595">
        <v>70000</v>
      </c>
      <c r="C16" s="595" t="s">
        <v>747</v>
      </c>
      <c r="D16" s="240" t="s">
        <v>104</v>
      </c>
      <c r="E16" s="115">
        <f>'LOE Breakdown by Year'!D15</f>
        <v>0</v>
      </c>
      <c r="F16" s="50" t="s">
        <v>100</v>
      </c>
      <c r="G16" s="44">
        <v>8</v>
      </c>
      <c r="H16" s="237">
        <f>30000/12</f>
        <v>2500</v>
      </c>
      <c r="I16" s="44">
        <f t="shared" si="0"/>
        <v>0</v>
      </c>
      <c r="J16" s="115">
        <f>'LOE Breakdown by Year'!D61</f>
        <v>0</v>
      </c>
      <c r="K16" s="44">
        <v>12</v>
      </c>
      <c r="L16" s="44">
        <f t="shared" si="2"/>
        <v>0</v>
      </c>
      <c r="M16" s="115">
        <f>'LOE Breakdown by Year'!D107</f>
        <v>0</v>
      </c>
      <c r="N16" s="44">
        <v>12</v>
      </c>
      <c r="O16" s="44">
        <f t="shared" si="1"/>
        <v>0</v>
      </c>
      <c r="P16" s="115">
        <f>'LOE Breakdown by Year'!D153</f>
        <v>0</v>
      </c>
      <c r="Q16" s="44">
        <v>12</v>
      </c>
      <c r="R16" s="44">
        <f t="shared" si="6"/>
        <v>0</v>
      </c>
      <c r="S16" s="115">
        <f>'LOE Breakdown by Year'!D199</f>
        <v>0</v>
      </c>
      <c r="T16" s="44">
        <v>12</v>
      </c>
      <c r="U16" s="44">
        <f t="shared" si="3"/>
        <v>0</v>
      </c>
      <c r="V16" s="115">
        <f>'LOE Breakdown by Year'!D245</f>
        <v>0</v>
      </c>
      <c r="W16" s="44">
        <v>3</v>
      </c>
      <c r="X16" s="44">
        <f t="shared" si="4"/>
        <v>0</v>
      </c>
      <c r="Y16" s="44">
        <f t="shared" si="5"/>
        <v>0</v>
      </c>
      <c r="Z16" s="44">
        <v>0</v>
      </c>
      <c r="AA16" s="44">
        <f t="shared" si="7"/>
        <v>0</v>
      </c>
    </row>
    <row r="17" spans="1:27" hidden="1">
      <c r="A17" s="595" t="s">
        <v>753</v>
      </c>
      <c r="B17" s="595">
        <v>70000</v>
      </c>
      <c r="C17" s="595" t="s">
        <v>747</v>
      </c>
      <c r="D17" s="8" t="s">
        <v>105</v>
      </c>
      <c r="E17" s="115">
        <f>'LOE Breakdown by Year'!D16</f>
        <v>0</v>
      </c>
      <c r="F17" s="50" t="s">
        <v>100</v>
      </c>
      <c r="G17" s="44">
        <f>6</f>
        <v>6</v>
      </c>
      <c r="H17" s="237">
        <f>(12000/12)</f>
        <v>1000</v>
      </c>
      <c r="I17" s="44">
        <f t="shared" si="0"/>
        <v>0</v>
      </c>
      <c r="J17" s="115">
        <f>'LOE Breakdown by Year'!D62</f>
        <v>0</v>
      </c>
      <c r="K17" s="44">
        <f>12</f>
        <v>12</v>
      </c>
      <c r="L17" s="44">
        <f t="shared" si="2"/>
        <v>0</v>
      </c>
      <c r="M17" s="115">
        <f>'LOE Breakdown by Year'!D108</f>
        <v>0</v>
      </c>
      <c r="N17" s="44">
        <f>12</f>
        <v>12</v>
      </c>
      <c r="O17" s="44">
        <f t="shared" si="1"/>
        <v>0</v>
      </c>
      <c r="P17" s="115">
        <f>'LOE Breakdown by Year'!D154</f>
        <v>0</v>
      </c>
      <c r="Q17" s="44">
        <f>12</f>
        <v>12</v>
      </c>
      <c r="R17" s="44">
        <f t="shared" si="6"/>
        <v>0</v>
      </c>
      <c r="S17" s="115">
        <f>'LOE Breakdown by Year'!D200</f>
        <v>0</v>
      </c>
      <c r="T17" s="44">
        <f>12</f>
        <v>12</v>
      </c>
      <c r="U17" s="44">
        <f t="shared" si="3"/>
        <v>0</v>
      </c>
      <c r="V17" s="115">
        <f>'LOE Breakdown by Year'!D246</f>
        <v>0</v>
      </c>
      <c r="W17" s="44">
        <v>3</v>
      </c>
      <c r="X17" s="44">
        <f t="shared" ref="X17" si="11">W17*H17*$V17*$E$7*$E$7*$E$7*$E$7*$E$7</f>
        <v>0</v>
      </c>
      <c r="Y17" s="44">
        <f t="shared" ref="Y17" si="12">SUM(R17,O17,L17,I17,U17,X17)</f>
        <v>0</v>
      </c>
      <c r="Z17" s="44">
        <v>0</v>
      </c>
      <c r="AA17" s="44">
        <f t="shared" ref="AA17" si="13">SUM(Y17:Z17)</f>
        <v>0</v>
      </c>
    </row>
    <row r="18" spans="1:27" hidden="1">
      <c r="A18" s="595" t="s">
        <v>754</v>
      </c>
      <c r="B18" s="595">
        <v>70000</v>
      </c>
      <c r="C18" s="595" t="s">
        <v>747</v>
      </c>
      <c r="D18" s="240" t="s">
        <v>106</v>
      </c>
      <c r="E18" s="115">
        <f>'LOE Breakdown by Year'!D17</f>
        <v>0</v>
      </c>
      <c r="F18" s="50" t="s">
        <v>100</v>
      </c>
      <c r="G18" s="44">
        <v>9</v>
      </c>
      <c r="H18" s="237">
        <f>18000/12</f>
        <v>1500</v>
      </c>
      <c r="I18" s="44">
        <f t="shared" ref="I18:I20" si="14">G18*H18*E18</f>
        <v>0</v>
      </c>
      <c r="J18" s="115">
        <f>'LOE Breakdown by Year'!D63</f>
        <v>0</v>
      </c>
      <c r="K18" s="44">
        <v>12</v>
      </c>
      <c r="L18" s="44">
        <f t="shared" ref="L18:L20" si="15">K18*H18*$E$7*$J18</f>
        <v>0</v>
      </c>
      <c r="M18" s="115">
        <f>'LOE Breakdown by Year'!D109</f>
        <v>0</v>
      </c>
      <c r="N18" s="44">
        <v>12</v>
      </c>
      <c r="O18" s="44">
        <f t="shared" ref="O18:O20" si="16">N18*H18*$M18*$E$7*$E$7</f>
        <v>0</v>
      </c>
      <c r="P18" s="115">
        <f>'LOE Breakdown by Year'!D155</f>
        <v>0</v>
      </c>
      <c r="Q18" s="44">
        <v>12</v>
      </c>
      <c r="R18" s="44">
        <f t="shared" ref="R18:R20" si="17">Q18*H18*$P18*$E$7*$E$7*$E$7</f>
        <v>0</v>
      </c>
      <c r="S18" s="115">
        <f>'LOE Breakdown by Year'!D201</f>
        <v>0</v>
      </c>
      <c r="T18" s="44">
        <v>12</v>
      </c>
      <c r="U18" s="44">
        <f t="shared" ref="U18:U20" si="18">T18*H18*$S18*$E$7*$E$7*$E$7*$E$7</f>
        <v>0</v>
      </c>
      <c r="V18" s="115">
        <f>'LOE Breakdown by Year'!D247</f>
        <v>0</v>
      </c>
      <c r="W18" s="44">
        <v>6</v>
      </c>
      <c r="X18" s="44">
        <f>W18*H18*$V18*$E$7*$E$7*$E$7*$E$7*$E$7</f>
        <v>0</v>
      </c>
      <c r="Y18" s="44">
        <f t="shared" si="5"/>
        <v>0</v>
      </c>
      <c r="Z18" s="44">
        <v>0</v>
      </c>
      <c r="AA18" s="44">
        <f t="shared" ref="AA18:AA20" si="19">SUM(Y18:Z18)</f>
        <v>0</v>
      </c>
    </row>
    <row r="19" spans="1:27" hidden="1">
      <c r="A19" s="595" t="s">
        <v>755</v>
      </c>
      <c r="B19" s="595">
        <v>70000</v>
      </c>
      <c r="C19" s="595" t="s">
        <v>747</v>
      </c>
      <c r="D19" s="240" t="s">
        <v>107</v>
      </c>
      <c r="E19" s="115">
        <f>'LOE Breakdown by Year'!D18</f>
        <v>0</v>
      </c>
      <c r="F19" s="50" t="s">
        <v>100</v>
      </c>
      <c r="G19" s="44">
        <f>2*3</f>
        <v>6</v>
      </c>
      <c r="H19" s="237">
        <f>(12000/12)</f>
        <v>1000</v>
      </c>
      <c r="I19" s="44">
        <f t="shared" si="14"/>
        <v>0</v>
      </c>
      <c r="J19" s="115">
        <f>'LOE Breakdown by Year'!D64</f>
        <v>0</v>
      </c>
      <c r="K19" s="44">
        <f>2*12</f>
        <v>24</v>
      </c>
      <c r="L19" s="44">
        <f t="shared" si="15"/>
        <v>0</v>
      </c>
      <c r="M19" s="115">
        <f>'LOE Breakdown by Year'!D110</f>
        <v>0</v>
      </c>
      <c r="N19" s="44">
        <f>2*12</f>
        <v>24</v>
      </c>
      <c r="O19" s="44">
        <f t="shared" si="16"/>
        <v>0</v>
      </c>
      <c r="P19" s="115">
        <f>'LOE Breakdown by Year'!D156</f>
        <v>0</v>
      </c>
      <c r="Q19" s="44">
        <f>2*12</f>
        <v>24</v>
      </c>
      <c r="R19" s="44">
        <f t="shared" si="17"/>
        <v>0</v>
      </c>
      <c r="S19" s="115">
        <f>'LOE Breakdown by Year'!D202</f>
        <v>0</v>
      </c>
      <c r="T19" s="44">
        <f>2*12</f>
        <v>24</v>
      </c>
      <c r="U19" s="44">
        <f t="shared" si="18"/>
        <v>0</v>
      </c>
      <c r="V19" s="115">
        <f>'LOE Breakdown by Year'!D248</f>
        <v>0</v>
      </c>
      <c r="W19" s="44">
        <f>2*3</f>
        <v>6</v>
      </c>
      <c r="X19" s="44">
        <f t="shared" si="4"/>
        <v>0</v>
      </c>
      <c r="Y19" s="44">
        <f t="shared" si="5"/>
        <v>0</v>
      </c>
      <c r="Z19" s="44">
        <v>0</v>
      </c>
      <c r="AA19" s="44">
        <f t="shared" si="19"/>
        <v>0</v>
      </c>
    </row>
    <row r="20" spans="1:27" hidden="1">
      <c r="A20" s="595" t="s">
        <v>756</v>
      </c>
      <c r="B20" s="595">
        <v>70000</v>
      </c>
      <c r="C20" s="595" t="s">
        <v>747</v>
      </c>
      <c r="D20" s="240" t="s">
        <v>108</v>
      </c>
      <c r="E20" s="115">
        <f>'LOE Breakdown by Year'!D19</f>
        <v>0</v>
      </c>
      <c r="F20" s="50" t="s">
        <v>100</v>
      </c>
      <c r="G20" s="44">
        <v>9</v>
      </c>
      <c r="H20" s="237">
        <f>18000/12</f>
        <v>1500</v>
      </c>
      <c r="I20" s="44">
        <f t="shared" si="14"/>
        <v>0</v>
      </c>
      <c r="J20" s="115">
        <f>'LOE Breakdown by Year'!D65</f>
        <v>0</v>
      </c>
      <c r="K20" s="44">
        <v>12</v>
      </c>
      <c r="L20" s="44">
        <f t="shared" si="15"/>
        <v>0</v>
      </c>
      <c r="M20" s="115">
        <f>'LOE Breakdown by Year'!D111</f>
        <v>0</v>
      </c>
      <c r="N20" s="44">
        <v>12</v>
      </c>
      <c r="O20" s="44">
        <f t="shared" si="16"/>
        <v>0</v>
      </c>
      <c r="P20" s="115">
        <f>'LOE Breakdown by Year'!D157</f>
        <v>0</v>
      </c>
      <c r="Q20" s="44">
        <v>12</v>
      </c>
      <c r="R20" s="44">
        <f t="shared" si="17"/>
        <v>0</v>
      </c>
      <c r="S20" s="115">
        <f>'LOE Breakdown by Year'!D203</f>
        <v>0</v>
      </c>
      <c r="T20" s="44">
        <v>6</v>
      </c>
      <c r="U20" s="44">
        <f t="shared" si="18"/>
        <v>0</v>
      </c>
      <c r="V20" s="115">
        <f>'LOE Breakdown by Year'!D249</f>
        <v>0</v>
      </c>
      <c r="W20" s="44">
        <v>6</v>
      </c>
      <c r="X20" s="44">
        <f t="shared" si="4"/>
        <v>0</v>
      </c>
      <c r="Y20" s="44">
        <f t="shared" si="5"/>
        <v>0</v>
      </c>
      <c r="Z20" s="44">
        <v>0</v>
      </c>
      <c r="AA20" s="44">
        <f t="shared" si="19"/>
        <v>0</v>
      </c>
    </row>
    <row r="21" spans="1:27" hidden="1">
      <c r="A21" s="595" t="s">
        <v>757</v>
      </c>
      <c r="B21" s="595">
        <v>70000</v>
      </c>
      <c r="C21" s="595" t="s">
        <v>747</v>
      </c>
      <c r="D21" s="240" t="s">
        <v>109</v>
      </c>
      <c r="E21" s="115">
        <f>'LOE Breakdown by Year'!D20</f>
        <v>0</v>
      </c>
      <c r="F21" s="50" t="s">
        <v>100</v>
      </c>
      <c r="G21" s="44">
        <f>2*3</f>
        <v>6</v>
      </c>
      <c r="H21" s="237">
        <f>(12000/12)</f>
        <v>1000</v>
      </c>
      <c r="I21" s="44">
        <f t="shared" si="0"/>
        <v>0</v>
      </c>
      <c r="J21" s="115">
        <f>'LOE Breakdown by Year'!D66</f>
        <v>0</v>
      </c>
      <c r="K21" s="44">
        <f>2*12</f>
        <v>24</v>
      </c>
      <c r="L21" s="44">
        <f t="shared" si="2"/>
        <v>0</v>
      </c>
      <c r="M21" s="115">
        <f>'LOE Breakdown by Year'!D112</f>
        <v>0</v>
      </c>
      <c r="N21" s="44">
        <f>2*12</f>
        <v>24</v>
      </c>
      <c r="O21" s="44">
        <f t="shared" si="1"/>
        <v>0</v>
      </c>
      <c r="P21" s="115">
        <f>'LOE Breakdown by Year'!D158</f>
        <v>0</v>
      </c>
      <c r="Q21" s="44">
        <f>2*12</f>
        <v>24</v>
      </c>
      <c r="R21" s="44">
        <f t="shared" si="6"/>
        <v>0</v>
      </c>
      <c r="S21" s="115">
        <f>'LOE Breakdown by Year'!D204</f>
        <v>0</v>
      </c>
      <c r="T21" s="44">
        <f>2*12</f>
        <v>24</v>
      </c>
      <c r="U21" s="44">
        <f t="shared" si="3"/>
        <v>0</v>
      </c>
      <c r="V21" s="115">
        <f>'LOE Breakdown by Year'!D250</f>
        <v>0</v>
      </c>
      <c r="W21" s="44">
        <f>2*6</f>
        <v>12</v>
      </c>
      <c r="X21" s="44">
        <f t="shared" si="4"/>
        <v>0</v>
      </c>
      <c r="Y21" s="44">
        <f t="shared" si="5"/>
        <v>0</v>
      </c>
      <c r="Z21" s="44">
        <v>0</v>
      </c>
      <c r="AA21" s="44">
        <f t="shared" si="7"/>
        <v>0</v>
      </c>
    </row>
    <row r="22" spans="1:27" hidden="1">
      <c r="A22" s="595" t="s">
        <v>758</v>
      </c>
      <c r="B22" s="595">
        <v>70000</v>
      </c>
      <c r="C22" s="595" t="s">
        <v>747</v>
      </c>
      <c r="D22" s="240" t="s">
        <v>110</v>
      </c>
      <c r="E22" s="115">
        <f>'LOE Breakdown by Year'!D21</f>
        <v>0</v>
      </c>
      <c r="F22" s="50" t="s">
        <v>100</v>
      </c>
      <c r="G22" s="44">
        <v>6</v>
      </c>
      <c r="H22" s="237">
        <f>(12000/12)</f>
        <v>1000</v>
      </c>
      <c r="I22" s="44">
        <f t="shared" si="0"/>
        <v>0</v>
      </c>
      <c r="J22" s="115">
        <f>'LOE Breakdown by Year'!D67</f>
        <v>0</v>
      </c>
      <c r="K22" s="44">
        <v>12</v>
      </c>
      <c r="L22" s="44">
        <f t="shared" si="2"/>
        <v>0</v>
      </c>
      <c r="M22" s="115">
        <f>'LOE Breakdown by Year'!D113</f>
        <v>0</v>
      </c>
      <c r="N22" s="44">
        <v>12</v>
      </c>
      <c r="O22" s="44">
        <f t="shared" si="1"/>
        <v>0</v>
      </c>
      <c r="P22" s="115">
        <f>'LOE Breakdown by Year'!D159</f>
        <v>0</v>
      </c>
      <c r="Q22" s="44">
        <v>12</v>
      </c>
      <c r="R22" s="44">
        <f t="shared" si="6"/>
        <v>0</v>
      </c>
      <c r="S22" s="115">
        <f>'LOE Breakdown by Year'!D205</f>
        <v>0</v>
      </c>
      <c r="T22" s="44">
        <v>12</v>
      </c>
      <c r="U22" s="44">
        <f t="shared" si="3"/>
        <v>0</v>
      </c>
      <c r="V22" s="115">
        <f>'LOE Breakdown by Year'!D251</f>
        <v>0</v>
      </c>
      <c r="W22" s="44">
        <v>3</v>
      </c>
      <c r="X22" s="44">
        <f t="shared" ref="X22" si="20">W22*H22*$V22*$E$7*$E$7*$E$7*$E$7*$E$7</f>
        <v>0</v>
      </c>
      <c r="Y22" s="44">
        <f t="shared" ref="Y22" si="21">SUM(R22,O22,L22,I22,U22,X22)</f>
        <v>0</v>
      </c>
      <c r="Z22" s="44">
        <v>0</v>
      </c>
      <c r="AA22" s="44">
        <f t="shared" ref="AA22" si="22">SUM(Y22:Z22)</f>
        <v>0</v>
      </c>
    </row>
    <row r="23" spans="1:27">
      <c r="A23" s="595" t="s">
        <v>759</v>
      </c>
      <c r="B23" s="595">
        <v>70000</v>
      </c>
      <c r="C23" s="595" t="s">
        <v>747</v>
      </c>
      <c r="D23" s="240" t="s">
        <v>111</v>
      </c>
      <c r="E23" s="115">
        <f>'LOE Breakdown by Year'!D22</f>
        <v>0.5</v>
      </c>
      <c r="F23" s="50" t="s">
        <v>100</v>
      </c>
      <c r="G23" s="44">
        <v>8</v>
      </c>
      <c r="H23" s="237">
        <v>1500</v>
      </c>
      <c r="I23" s="44">
        <f t="shared" si="0"/>
        <v>6000</v>
      </c>
      <c r="J23" s="115">
        <f>'LOE Breakdown by Year'!D68</f>
        <v>0.5</v>
      </c>
      <c r="K23" s="44">
        <v>12</v>
      </c>
      <c r="L23" s="44">
        <f t="shared" si="2"/>
        <v>9450</v>
      </c>
      <c r="M23" s="115">
        <f>'LOE Breakdown by Year'!D114</f>
        <v>0.5</v>
      </c>
      <c r="N23" s="44">
        <v>12</v>
      </c>
      <c r="O23" s="44">
        <f t="shared" si="1"/>
        <v>9922.5</v>
      </c>
      <c r="P23" s="115">
        <f>'LOE Breakdown by Year'!D160</f>
        <v>0.5</v>
      </c>
      <c r="Q23" s="44">
        <v>12</v>
      </c>
      <c r="R23" s="44">
        <f t="shared" si="6"/>
        <v>10418.625</v>
      </c>
      <c r="S23" s="115">
        <f>'LOE Breakdown by Year'!D206</f>
        <v>0.5</v>
      </c>
      <c r="T23" s="44">
        <v>12</v>
      </c>
      <c r="U23" s="44">
        <f t="shared" si="3"/>
        <v>10939.55625</v>
      </c>
      <c r="V23" s="115">
        <f>'LOE Breakdown by Year'!D252</f>
        <v>0.5</v>
      </c>
      <c r="W23" s="44">
        <v>8</v>
      </c>
      <c r="X23" s="44">
        <f t="shared" si="4"/>
        <v>7657.6893750000008</v>
      </c>
      <c r="Y23" s="44">
        <f t="shared" si="5"/>
        <v>54388.370625000003</v>
      </c>
      <c r="Z23" s="44">
        <v>0</v>
      </c>
      <c r="AA23" s="44">
        <f t="shared" si="7"/>
        <v>54388.370625000003</v>
      </c>
    </row>
    <row r="24" spans="1:27" hidden="1">
      <c r="A24" s="595" t="s">
        <v>760</v>
      </c>
      <c r="B24" s="595">
        <v>70000</v>
      </c>
      <c r="C24" s="595" t="s">
        <v>747</v>
      </c>
      <c r="D24" s="240" t="s">
        <v>112</v>
      </c>
      <c r="E24" s="115">
        <f>'LOE Breakdown by Year'!D23</f>
        <v>0</v>
      </c>
      <c r="F24" s="50" t="s">
        <v>100</v>
      </c>
      <c r="G24" s="44">
        <v>0</v>
      </c>
      <c r="H24" s="237">
        <f>12000/12</f>
        <v>1000</v>
      </c>
      <c r="I24" s="44">
        <f t="shared" si="0"/>
        <v>0</v>
      </c>
      <c r="J24" s="115">
        <f>'LOE Breakdown by Year'!D69</f>
        <v>0</v>
      </c>
      <c r="K24" s="44">
        <v>12</v>
      </c>
      <c r="L24" s="44">
        <f t="shared" si="2"/>
        <v>0</v>
      </c>
      <c r="M24" s="115">
        <f>'LOE Breakdown by Year'!D115</f>
        <v>0</v>
      </c>
      <c r="N24" s="44">
        <v>12</v>
      </c>
      <c r="O24" s="44">
        <f t="shared" si="1"/>
        <v>0</v>
      </c>
      <c r="P24" s="115">
        <f>'LOE Breakdown by Year'!D161</f>
        <v>0</v>
      </c>
      <c r="Q24" s="44">
        <v>12</v>
      </c>
      <c r="R24" s="44">
        <f t="shared" si="6"/>
        <v>0</v>
      </c>
      <c r="S24" s="115">
        <f>'LOE Breakdown by Year'!D207</f>
        <v>0</v>
      </c>
      <c r="T24" s="44">
        <v>12</v>
      </c>
      <c r="U24" s="44">
        <f t="shared" si="3"/>
        <v>0</v>
      </c>
      <c r="V24" s="115">
        <f>'LOE Breakdown by Year'!D253</f>
        <v>0</v>
      </c>
      <c r="W24" s="44">
        <v>0</v>
      </c>
      <c r="X24" s="44">
        <f t="shared" ref="X24" si="23">W24*H24*$V24*$E$7*$E$7*$E$7*$E$7*$E$7</f>
        <v>0</v>
      </c>
      <c r="Y24" s="44">
        <f t="shared" ref="Y24" si="24">SUM(R24,O24,L24,I24,U24,X24)</f>
        <v>0</v>
      </c>
      <c r="Z24" s="44">
        <v>0</v>
      </c>
      <c r="AA24" s="44">
        <f>SUM(Y24:Z24)</f>
        <v>0</v>
      </c>
    </row>
    <row r="25" spans="1:27" hidden="1">
      <c r="A25" s="595" t="s">
        <v>761</v>
      </c>
      <c r="B25" s="595">
        <v>70000</v>
      </c>
      <c r="C25" s="595" t="s">
        <v>747</v>
      </c>
      <c r="D25" s="240" t="s">
        <v>113</v>
      </c>
      <c r="E25" s="115">
        <f>'LOE Breakdown by Year'!D24</f>
        <v>0</v>
      </c>
      <c r="F25" s="50" t="s">
        <v>100</v>
      </c>
      <c r="G25" s="44">
        <v>6</v>
      </c>
      <c r="H25" s="237">
        <f>18000/12</f>
        <v>1500</v>
      </c>
      <c r="I25" s="44">
        <f>G25*H25*E25</f>
        <v>0</v>
      </c>
      <c r="J25" s="115">
        <f>'LOE Breakdown by Year'!D70</f>
        <v>0</v>
      </c>
      <c r="K25" s="44">
        <v>12</v>
      </c>
      <c r="L25" s="44">
        <f>K25*H25*$E$7*$J25</f>
        <v>0</v>
      </c>
      <c r="M25" s="115">
        <f>'LOE Breakdown by Year'!D116</f>
        <v>0</v>
      </c>
      <c r="N25" s="44">
        <v>12</v>
      </c>
      <c r="O25" s="44">
        <f t="shared" si="1"/>
        <v>0</v>
      </c>
      <c r="P25" s="115">
        <f>'LOE Breakdown by Year'!D162</f>
        <v>0</v>
      </c>
      <c r="Q25" s="44">
        <v>12</v>
      </c>
      <c r="R25" s="44">
        <f t="shared" si="6"/>
        <v>0</v>
      </c>
      <c r="S25" s="115">
        <f>'LOE Breakdown by Year'!D208</f>
        <v>0</v>
      </c>
      <c r="T25" s="44">
        <v>12</v>
      </c>
      <c r="U25" s="44">
        <f t="shared" si="3"/>
        <v>0</v>
      </c>
      <c r="V25" s="115">
        <f>'LOE Breakdown by Year'!D254</f>
        <v>0</v>
      </c>
      <c r="W25" s="44">
        <v>8</v>
      </c>
      <c r="X25" s="44">
        <f t="shared" si="4"/>
        <v>0</v>
      </c>
      <c r="Y25" s="44">
        <f t="shared" si="5"/>
        <v>0</v>
      </c>
      <c r="Z25" s="44">
        <v>0</v>
      </c>
      <c r="AA25" s="44">
        <f t="shared" ref="AA25:AA34" si="25">SUM(Y25:Z25)</f>
        <v>0</v>
      </c>
    </row>
    <row r="26" spans="1:27" hidden="1">
      <c r="A26" s="595" t="s">
        <v>762</v>
      </c>
      <c r="B26" s="595">
        <v>70000</v>
      </c>
      <c r="C26" s="595" t="s">
        <v>747</v>
      </c>
      <c r="D26" s="240" t="s">
        <v>114</v>
      </c>
      <c r="E26" s="115">
        <f>'LOE Breakdown by Year'!D25</f>
        <v>0</v>
      </c>
      <c r="F26" s="50" t="s">
        <v>100</v>
      </c>
      <c r="G26" s="44">
        <v>3</v>
      </c>
      <c r="H26" s="237">
        <f>12000/12</f>
        <v>1000</v>
      </c>
      <c r="I26" s="44">
        <f t="shared" ref="I26" si="26">G26*H26*E26</f>
        <v>0</v>
      </c>
      <c r="J26" s="115">
        <f>'LOE Breakdown by Year'!D71</f>
        <v>0</v>
      </c>
      <c r="K26" s="44">
        <v>12</v>
      </c>
      <c r="L26" s="44">
        <f t="shared" ref="L26" si="27">K26*H26*$E$7*$J26</f>
        <v>0</v>
      </c>
      <c r="M26" s="115">
        <f>'LOE Breakdown by Year'!D117</f>
        <v>0</v>
      </c>
      <c r="N26" s="44">
        <v>12</v>
      </c>
      <c r="O26" s="44">
        <f t="shared" ref="O26" si="28">N26*H26*$M26*$E$7*$E$7</f>
        <v>0</v>
      </c>
      <c r="P26" s="115">
        <f>'LOE Breakdown by Year'!D163</f>
        <v>0</v>
      </c>
      <c r="Q26" s="44">
        <v>12</v>
      </c>
      <c r="R26" s="44">
        <f t="shared" ref="R26" si="29">Q26*H26*$P26*$E$7*$E$7*$E$7</f>
        <v>0</v>
      </c>
      <c r="S26" s="115">
        <f>'LOE Breakdown by Year'!D209</f>
        <v>0</v>
      </c>
      <c r="T26" s="44">
        <v>12</v>
      </c>
      <c r="U26" s="44">
        <f t="shared" ref="U26" si="30">T26*H26*$S26*$E$7*$E$7*$E$7*$E$7</f>
        <v>0</v>
      </c>
      <c r="V26" s="115">
        <f>'LOE Breakdown by Year'!D255</f>
        <v>0</v>
      </c>
      <c r="W26" s="44">
        <v>0</v>
      </c>
      <c r="X26" s="44">
        <f t="shared" si="4"/>
        <v>0</v>
      </c>
      <c r="Y26" s="44">
        <f t="shared" si="5"/>
        <v>0</v>
      </c>
      <c r="Z26" s="44">
        <v>0</v>
      </c>
      <c r="AA26" s="44">
        <f>SUM(Y26:Z26)</f>
        <v>0</v>
      </c>
    </row>
    <row r="27" spans="1:27" hidden="1">
      <c r="A27" s="595" t="s">
        <v>750</v>
      </c>
      <c r="B27" s="595">
        <v>70000</v>
      </c>
      <c r="C27" s="595" t="s">
        <v>747</v>
      </c>
      <c r="D27" s="240" t="s">
        <v>115</v>
      </c>
      <c r="E27" s="115">
        <f>'LOE Breakdown by Year'!D26</f>
        <v>0</v>
      </c>
      <c r="F27" s="50" t="s">
        <v>100</v>
      </c>
      <c r="G27" s="44">
        <v>9</v>
      </c>
      <c r="H27" s="237">
        <f>24000/12</f>
        <v>2000</v>
      </c>
      <c r="I27" s="44">
        <f>G27*H27*E27</f>
        <v>0</v>
      </c>
      <c r="J27" s="115">
        <f>'LOE Breakdown by Year'!D72</f>
        <v>0</v>
      </c>
      <c r="K27" s="44">
        <v>12</v>
      </c>
      <c r="L27" s="44">
        <f>K27*H27*$E$7*$J27</f>
        <v>0</v>
      </c>
      <c r="M27" s="115">
        <f>'LOE Breakdown by Year'!D118</f>
        <v>0</v>
      </c>
      <c r="N27" s="44">
        <v>12</v>
      </c>
      <c r="O27" s="44">
        <f t="shared" ref="O27" si="31">N27*H27*$M27*$E$7*$E$7</f>
        <v>0</v>
      </c>
      <c r="P27" s="115">
        <f>'LOE Breakdown by Year'!D164</f>
        <v>0</v>
      </c>
      <c r="Q27" s="44">
        <v>12</v>
      </c>
      <c r="R27" s="44">
        <f t="shared" ref="R27" si="32">Q27*H27*$P27*$E$7*$E$7*$E$7</f>
        <v>0</v>
      </c>
      <c r="S27" s="115">
        <f>'LOE Breakdown by Year'!D210</f>
        <v>0</v>
      </c>
      <c r="T27" s="44">
        <v>12</v>
      </c>
      <c r="U27" s="44">
        <f t="shared" ref="U27" si="33">T27*H27*$S27*$E$7*$E$7*$E$7*$E$7</f>
        <v>0</v>
      </c>
      <c r="V27" s="115">
        <f>'LOE Breakdown by Year'!D256</f>
        <v>0</v>
      </c>
      <c r="W27" s="44">
        <v>6</v>
      </c>
      <c r="X27" s="44">
        <f t="shared" si="4"/>
        <v>0</v>
      </c>
      <c r="Y27" s="44">
        <f t="shared" si="5"/>
        <v>0</v>
      </c>
      <c r="Z27" s="44">
        <v>0</v>
      </c>
      <c r="AA27" s="44">
        <f t="shared" si="25"/>
        <v>0</v>
      </c>
    </row>
    <row r="28" spans="1:27">
      <c r="A28" s="595" t="s">
        <v>764</v>
      </c>
      <c r="B28" s="595">
        <v>70000</v>
      </c>
      <c r="C28" s="595" t="s">
        <v>747</v>
      </c>
      <c r="D28" s="240" t="s">
        <v>116</v>
      </c>
      <c r="E28" s="115">
        <f>'LOE Breakdown by Year'!D27</f>
        <v>1</v>
      </c>
      <c r="F28" s="50" t="s">
        <v>100</v>
      </c>
      <c r="G28" s="44">
        <v>11</v>
      </c>
      <c r="H28" s="237">
        <f>55000/12</f>
        <v>4583.333333333333</v>
      </c>
      <c r="I28" s="44">
        <f>G28*H28*E28</f>
        <v>50416.666666666664</v>
      </c>
      <c r="J28" s="115">
        <f>'LOE Breakdown by Year'!D73</f>
        <v>1</v>
      </c>
      <c r="K28" s="44">
        <v>12</v>
      </c>
      <c r="L28" s="44">
        <f>K28*H28*$E$7*$J28</f>
        <v>57750</v>
      </c>
      <c r="M28" s="115">
        <f>'LOE Breakdown by Year'!D119</f>
        <v>1</v>
      </c>
      <c r="N28" s="44">
        <v>12</v>
      </c>
      <c r="O28" s="44">
        <f t="shared" ref="O28:O32" si="34">N28*H28*$M28*$E$7*$E$7</f>
        <v>60637.5</v>
      </c>
      <c r="P28" s="115">
        <f>'LOE Breakdown by Year'!D165</f>
        <v>1</v>
      </c>
      <c r="Q28" s="44">
        <v>12</v>
      </c>
      <c r="R28" s="44">
        <f t="shared" ref="R28:R32" si="35">Q28*H28*$P28*$E$7*$E$7*$E$7</f>
        <v>63669.375</v>
      </c>
      <c r="S28" s="115">
        <f>'LOE Breakdown by Year'!D211</f>
        <v>1</v>
      </c>
      <c r="T28" s="44">
        <v>12</v>
      </c>
      <c r="U28" s="44">
        <f t="shared" ref="U28:U32" si="36">T28*H28*$S28*$E$7*$E$7*$E$7*$E$7</f>
        <v>66852.84375</v>
      </c>
      <c r="V28" s="115">
        <f>'LOE Breakdown by Year'!D257</f>
        <v>1</v>
      </c>
      <c r="W28" s="44">
        <v>12</v>
      </c>
      <c r="X28" s="44">
        <f t="shared" si="4"/>
        <v>70195.485937500009</v>
      </c>
      <c r="Y28" s="44">
        <f t="shared" si="5"/>
        <v>369521.87135416665</v>
      </c>
      <c r="Z28" s="44">
        <v>0</v>
      </c>
      <c r="AA28" s="44">
        <f t="shared" si="25"/>
        <v>369521.87135416665</v>
      </c>
    </row>
    <row r="29" spans="1:27">
      <c r="A29" s="595" t="s">
        <v>765</v>
      </c>
      <c r="B29" s="595">
        <v>70000</v>
      </c>
      <c r="C29" s="595" t="s">
        <v>747</v>
      </c>
      <c r="D29" s="240" t="s">
        <v>117</v>
      </c>
      <c r="E29" s="115">
        <f>'LOE Breakdown by Year'!D28</f>
        <v>1</v>
      </c>
      <c r="F29" s="50" t="s">
        <v>100</v>
      </c>
      <c r="G29" s="44">
        <v>6</v>
      </c>
      <c r="H29" s="237">
        <f>(24000/12)</f>
        <v>2000</v>
      </c>
      <c r="I29" s="44">
        <f t="shared" ref="I29:I30" si="37">G29*H29*E29</f>
        <v>12000</v>
      </c>
      <c r="J29" s="115">
        <f>'LOE Breakdown by Year'!D74</f>
        <v>1</v>
      </c>
      <c r="K29" s="44">
        <v>12</v>
      </c>
      <c r="L29" s="44">
        <f t="shared" ref="L29:L30" si="38">K29*H29*$E$7*$J29</f>
        <v>25200</v>
      </c>
      <c r="M29" s="115">
        <f>'LOE Breakdown by Year'!D120</f>
        <v>1</v>
      </c>
      <c r="N29" s="44">
        <v>12</v>
      </c>
      <c r="O29" s="44">
        <f t="shared" si="34"/>
        <v>26460</v>
      </c>
      <c r="P29" s="115">
        <f>'LOE Breakdown by Year'!D166</f>
        <v>1</v>
      </c>
      <c r="Q29" s="44">
        <v>12</v>
      </c>
      <c r="R29" s="44">
        <f t="shared" si="35"/>
        <v>27783</v>
      </c>
      <c r="S29" s="115">
        <f>'LOE Breakdown by Year'!D212</f>
        <v>1</v>
      </c>
      <c r="T29" s="44">
        <v>12</v>
      </c>
      <c r="U29" s="44">
        <f t="shared" si="36"/>
        <v>29172.15</v>
      </c>
      <c r="V29" s="115">
        <f>'LOE Breakdown by Year'!D258</f>
        <v>1</v>
      </c>
      <c r="W29" s="44">
        <v>11</v>
      </c>
      <c r="X29" s="44">
        <f t="shared" si="4"/>
        <v>28078.194375000003</v>
      </c>
      <c r="Y29" s="44">
        <f t="shared" si="5"/>
        <v>148693.34437499999</v>
      </c>
      <c r="Z29" s="44">
        <v>0</v>
      </c>
      <c r="AA29" s="44">
        <f t="shared" si="25"/>
        <v>148693.34437499999</v>
      </c>
    </row>
    <row r="30" spans="1:27">
      <c r="A30" s="595" t="s">
        <v>766</v>
      </c>
      <c r="B30" s="595">
        <v>70000</v>
      </c>
      <c r="C30" s="595" t="s">
        <v>747</v>
      </c>
      <c r="D30" s="240" t="s">
        <v>118</v>
      </c>
      <c r="E30" s="115">
        <f>'LOE Breakdown by Year'!D29</f>
        <v>1</v>
      </c>
      <c r="F30" s="50" t="s">
        <v>100</v>
      </c>
      <c r="G30" s="44">
        <v>2</v>
      </c>
      <c r="H30" s="237">
        <f>15000/12</f>
        <v>1250</v>
      </c>
      <c r="I30" s="44">
        <f t="shared" si="37"/>
        <v>2500</v>
      </c>
      <c r="J30" s="115">
        <f>'LOE Breakdown by Year'!D75</f>
        <v>1</v>
      </c>
      <c r="K30" s="44">
        <f>12</f>
        <v>12</v>
      </c>
      <c r="L30" s="44">
        <f t="shared" si="38"/>
        <v>15750</v>
      </c>
      <c r="M30" s="115">
        <f>'LOE Breakdown by Year'!D121</f>
        <v>1</v>
      </c>
      <c r="N30" s="44">
        <f>12</f>
        <v>12</v>
      </c>
      <c r="O30" s="44">
        <f t="shared" si="34"/>
        <v>16537.5</v>
      </c>
      <c r="P30" s="115">
        <f>'LOE Breakdown by Year'!D167</f>
        <v>1</v>
      </c>
      <c r="Q30" s="44">
        <f>12</f>
        <v>12</v>
      </c>
      <c r="R30" s="44">
        <f t="shared" si="35"/>
        <v>17364.375</v>
      </c>
      <c r="S30" s="115">
        <f>'LOE Breakdown by Year'!D213</f>
        <v>1</v>
      </c>
      <c r="T30" s="44">
        <f>12</f>
        <v>12</v>
      </c>
      <c r="U30" s="44">
        <f t="shared" si="36"/>
        <v>18232.59375</v>
      </c>
      <c r="V30" s="115">
        <f>'LOE Breakdown by Year'!D259</f>
        <v>1</v>
      </c>
      <c r="W30" s="44">
        <v>3</v>
      </c>
      <c r="X30" s="44">
        <f t="shared" ref="X30" si="39">W30*H30*$V30*$E$7*$E$7*$E$7*$E$7*$E$7</f>
        <v>4786.0558593750002</v>
      </c>
      <c r="Y30" s="44">
        <f t="shared" ref="Y30" si="40">SUM(R30,O30,L30,I30,U30,X30)</f>
        <v>75170.524609375003</v>
      </c>
      <c r="Z30" s="44">
        <v>0</v>
      </c>
      <c r="AA30" s="44">
        <f>SUM(Y30:Z30)</f>
        <v>75170.524609375003</v>
      </c>
    </row>
    <row r="31" spans="1:27" hidden="1">
      <c r="A31" s="595" t="s">
        <v>767</v>
      </c>
      <c r="B31" s="595">
        <v>70000</v>
      </c>
      <c r="C31" s="595" t="s">
        <v>747</v>
      </c>
      <c r="D31" s="240" t="s">
        <v>119</v>
      </c>
      <c r="E31" s="115">
        <f>'LOE Breakdown by Year'!D30</f>
        <v>0</v>
      </c>
      <c r="F31" s="50" t="s">
        <v>100</v>
      </c>
      <c r="G31" s="44">
        <v>11</v>
      </c>
      <c r="H31" s="237">
        <f>60000/12</f>
        <v>5000</v>
      </c>
      <c r="I31" s="44">
        <f>G31*H31*E31</f>
        <v>0</v>
      </c>
      <c r="J31" s="115">
        <f>'LOE Breakdown by Year'!D76</f>
        <v>0</v>
      </c>
      <c r="K31" s="44">
        <v>12</v>
      </c>
      <c r="L31" s="44">
        <f>K31*H31*$E$7*$J31</f>
        <v>0</v>
      </c>
      <c r="M31" s="115">
        <f>'LOE Breakdown by Year'!D122</f>
        <v>0</v>
      </c>
      <c r="N31" s="44">
        <v>12</v>
      </c>
      <c r="O31" s="44">
        <f t="shared" si="34"/>
        <v>0</v>
      </c>
      <c r="P31" s="115">
        <f>'LOE Breakdown by Year'!D168</f>
        <v>0</v>
      </c>
      <c r="Q31" s="44">
        <v>12</v>
      </c>
      <c r="R31" s="44">
        <f t="shared" si="35"/>
        <v>0</v>
      </c>
      <c r="S31" s="115">
        <f>'LOE Breakdown by Year'!D214</f>
        <v>0</v>
      </c>
      <c r="T31" s="44">
        <v>12</v>
      </c>
      <c r="U31" s="44">
        <f t="shared" si="36"/>
        <v>0</v>
      </c>
      <c r="V31" s="115">
        <f>'LOE Breakdown by Year'!D260</f>
        <v>0</v>
      </c>
      <c r="W31" s="44">
        <v>8</v>
      </c>
      <c r="X31" s="44">
        <f t="shared" si="4"/>
        <v>0</v>
      </c>
      <c r="Y31" s="44">
        <f t="shared" si="5"/>
        <v>0</v>
      </c>
      <c r="Z31" s="44">
        <v>0</v>
      </c>
      <c r="AA31" s="44">
        <f t="shared" si="25"/>
        <v>0</v>
      </c>
    </row>
    <row r="32" spans="1:27" hidden="1">
      <c r="A32" s="595" t="s">
        <v>768</v>
      </c>
      <c r="B32" s="595">
        <v>70000</v>
      </c>
      <c r="C32" s="595" t="s">
        <v>747</v>
      </c>
      <c r="D32" s="240" t="s">
        <v>120</v>
      </c>
      <c r="E32" s="115">
        <f>'LOE Breakdown by Year'!D31</f>
        <v>0</v>
      </c>
      <c r="F32" s="50" t="s">
        <v>100</v>
      </c>
      <c r="G32" s="44">
        <v>9</v>
      </c>
      <c r="H32" s="237">
        <f>24000/12</f>
        <v>2000</v>
      </c>
      <c r="I32" s="44">
        <f t="shared" ref="I32" si="41">G32*H32*E32</f>
        <v>0</v>
      </c>
      <c r="J32" s="115">
        <f>'LOE Breakdown by Year'!D77</f>
        <v>0</v>
      </c>
      <c r="K32" s="44">
        <v>12</v>
      </c>
      <c r="L32" s="44">
        <f t="shared" ref="L32" si="42">K32*H32*$E$7*$J32</f>
        <v>0</v>
      </c>
      <c r="M32" s="115">
        <f>'LOE Breakdown by Year'!D123</f>
        <v>0</v>
      </c>
      <c r="N32" s="44">
        <v>12</v>
      </c>
      <c r="O32" s="44">
        <f t="shared" si="34"/>
        <v>0</v>
      </c>
      <c r="P32" s="115">
        <f>'LOE Breakdown by Year'!D169</f>
        <v>0</v>
      </c>
      <c r="Q32" s="44">
        <v>12</v>
      </c>
      <c r="R32" s="44">
        <f t="shared" si="35"/>
        <v>0</v>
      </c>
      <c r="S32" s="115">
        <f>'LOE Breakdown by Year'!D215</f>
        <v>0</v>
      </c>
      <c r="T32" s="44">
        <v>12</v>
      </c>
      <c r="U32" s="44">
        <f t="shared" si="36"/>
        <v>0</v>
      </c>
      <c r="V32" s="115">
        <f>'LOE Breakdown by Year'!D261</f>
        <v>0</v>
      </c>
      <c r="W32" s="44">
        <v>8</v>
      </c>
      <c r="X32" s="44">
        <f t="shared" si="4"/>
        <v>0</v>
      </c>
      <c r="Y32" s="44">
        <f t="shared" si="5"/>
        <v>0</v>
      </c>
      <c r="Z32" s="44">
        <v>0</v>
      </c>
      <c r="AA32" s="44">
        <f t="shared" si="25"/>
        <v>0</v>
      </c>
    </row>
    <row r="33" spans="1:28" hidden="1">
      <c r="A33" s="595" t="s">
        <v>769</v>
      </c>
      <c r="B33" s="595">
        <v>70000</v>
      </c>
      <c r="C33" s="595" t="s">
        <v>747</v>
      </c>
      <c r="D33" s="240" t="s">
        <v>121</v>
      </c>
      <c r="E33" s="115">
        <f>'LOE Breakdown by Year'!D32</f>
        <v>0</v>
      </c>
      <c r="F33" s="50" t="s">
        <v>100</v>
      </c>
      <c r="G33" s="44">
        <v>9</v>
      </c>
      <c r="H33" s="237">
        <f>24000/12</f>
        <v>2000</v>
      </c>
      <c r="I33" s="44">
        <f t="shared" ref="I33:I35" si="43">G33*H33*E33</f>
        <v>0</v>
      </c>
      <c r="J33" s="115">
        <f>'LOE Breakdown by Year'!D78</f>
        <v>0</v>
      </c>
      <c r="K33" s="44">
        <v>12</v>
      </c>
      <c r="L33" s="44">
        <f t="shared" ref="L33" si="44">K33*H33*$E$7*$J33</f>
        <v>0</v>
      </c>
      <c r="M33" s="115">
        <f>'LOE Breakdown by Year'!D124</f>
        <v>0</v>
      </c>
      <c r="N33" s="44">
        <v>12</v>
      </c>
      <c r="O33" s="44">
        <f t="shared" ref="O33" si="45">N33*H33*$M33*$E$7*$E$7</f>
        <v>0</v>
      </c>
      <c r="P33" s="115">
        <f>'LOE Breakdown by Year'!D170</f>
        <v>0</v>
      </c>
      <c r="Q33" s="44">
        <v>12</v>
      </c>
      <c r="R33" s="44">
        <f t="shared" ref="R33" si="46">Q33*H33*$P33*$E$7*$E$7*$E$7</f>
        <v>0</v>
      </c>
      <c r="S33" s="115">
        <f>'LOE Breakdown by Year'!D216</f>
        <v>0</v>
      </c>
      <c r="T33" s="44">
        <v>12</v>
      </c>
      <c r="U33" s="44">
        <f t="shared" ref="U33" si="47">T33*H33*$S33*$E$7*$E$7*$E$7*$E$7</f>
        <v>0</v>
      </c>
      <c r="V33" s="115">
        <f>'LOE Breakdown by Year'!D262</f>
        <v>0</v>
      </c>
      <c r="W33" s="44">
        <v>8</v>
      </c>
      <c r="X33" s="44">
        <f t="shared" ref="X33" si="48">W33*H33*$V33*$E$7*$E$7*$E$7*$E$7*$E$7</f>
        <v>0</v>
      </c>
      <c r="Y33" s="44">
        <f t="shared" ref="Y33" si="49">SUM(R33,O33,L33,I33,U33,X33)</f>
        <v>0</v>
      </c>
      <c r="Z33" s="44">
        <v>0</v>
      </c>
      <c r="AA33" s="44">
        <f t="shared" ref="AA33" si="50">SUM(Y33:Z33)</f>
        <v>0</v>
      </c>
    </row>
    <row r="34" spans="1:28" hidden="1">
      <c r="A34" s="595" t="s">
        <v>770</v>
      </c>
      <c r="B34" s="595">
        <v>70000</v>
      </c>
      <c r="C34" s="595" t="s">
        <v>747</v>
      </c>
      <c r="D34" s="240" t="s">
        <v>122</v>
      </c>
      <c r="E34" s="115">
        <f>'LOE Breakdown by Year'!D33</f>
        <v>0</v>
      </c>
      <c r="F34" s="50" t="s">
        <v>100</v>
      </c>
      <c r="G34" s="44">
        <v>8</v>
      </c>
      <c r="H34" s="237">
        <v>1250</v>
      </c>
      <c r="I34" s="44">
        <f t="shared" si="43"/>
        <v>0</v>
      </c>
      <c r="J34" s="115">
        <f>'LOE Breakdown by Year'!D79</f>
        <v>0</v>
      </c>
      <c r="K34" s="44">
        <v>12</v>
      </c>
      <c r="L34" s="44">
        <f t="shared" ref="L34:L40" si="51">K34*H34*$E$7*$J34</f>
        <v>0</v>
      </c>
      <c r="M34" s="115">
        <f>'LOE Breakdown by Year'!D125</f>
        <v>0</v>
      </c>
      <c r="N34" s="44">
        <v>12</v>
      </c>
      <c r="O34" s="44">
        <f t="shared" ref="O34:O40" si="52">N34*H34*$M34*$E$7*$E$7</f>
        <v>0</v>
      </c>
      <c r="P34" s="115">
        <f>'LOE Breakdown by Year'!D171</f>
        <v>0</v>
      </c>
      <c r="Q34" s="44">
        <v>12</v>
      </c>
      <c r="R34" s="44">
        <f t="shared" ref="R34:R40" si="53">Q34*H34*$P34*$E$7*$E$7*$E$7</f>
        <v>0</v>
      </c>
      <c r="S34" s="115">
        <f>'LOE Breakdown by Year'!D217</f>
        <v>0</v>
      </c>
      <c r="T34" s="44">
        <v>12</v>
      </c>
      <c r="U34" s="44">
        <f t="shared" ref="U34:U40" si="54">T34*H34*$S34*$E$7*$E$7*$E$7*$E$7</f>
        <v>0</v>
      </c>
      <c r="V34" s="115">
        <f>'LOE Breakdown by Year'!D263</f>
        <v>0</v>
      </c>
      <c r="W34" s="44">
        <v>8</v>
      </c>
      <c r="X34" s="44">
        <f t="shared" si="4"/>
        <v>0</v>
      </c>
      <c r="Y34" s="44">
        <f t="shared" si="5"/>
        <v>0</v>
      </c>
      <c r="Z34" s="44">
        <v>0</v>
      </c>
      <c r="AA34" s="44">
        <f t="shared" si="25"/>
        <v>0</v>
      </c>
    </row>
    <row r="35" spans="1:28" hidden="1">
      <c r="A35" s="595" t="s">
        <v>771</v>
      </c>
      <c r="B35" s="595">
        <v>70000</v>
      </c>
      <c r="C35" s="595" t="s">
        <v>747</v>
      </c>
      <c r="D35" s="240" t="s">
        <v>123</v>
      </c>
      <c r="E35" s="115">
        <f>'LOE Breakdown by Year'!D34</f>
        <v>0</v>
      </c>
      <c r="F35" s="50" t="s">
        <v>100</v>
      </c>
      <c r="G35" s="44">
        <f>2*4</f>
        <v>8</v>
      </c>
      <c r="H35" s="237">
        <f>(12000/12)</f>
        <v>1000</v>
      </c>
      <c r="I35" s="44">
        <f t="shared" si="43"/>
        <v>0</v>
      </c>
      <c r="J35" s="115">
        <f>'LOE Breakdown by Year'!D80</f>
        <v>0</v>
      </c>
      <c r="K35" s="44">
        <f>2*12</f>
        <v>24</v>
      </c>
      <c r="L35" s="44">
        <f t="shared" si="51"/>
        <v>0</v>
      </c>
      <c r="M35" s="115">
        <f>'LOE Breakdown by Year'!D126</f>
        <v>0</v>
      </c>
      <c r="N35" s="44">
        <f>2*12</f>
        <v>24</v>
      </c>
      <c r="O35" s="44">
        <f t="shared" si="52"/>
        <v>0</v>
      </c>
      <c r="P35" s="115">
        <f>'LOE Breakdown by Year'!D172</f>
        <v>0</v>
      </c>
      <c r="Q35" s="44">
        <f>2*12</f>
        <v>24</v>
      </c>
      <c r="R35" s="44">
        <f t="shared" si="53"/>
        <v>0</v>
      </c>
      <c r="S35" s="115">
        <f>'LOE Breakdown by Year'!D218</f>
        <v>0</v>
      </c>
      <c r="T35" s="44">
        <f>2*12</f>
        <v>24</v>
      </c>
      <c r="U35" s="44">
        <f t="shared" si="54"/>
        <v>0</v>
      </c>
      <c r="V35" s="115">
        <f>'LOE Breakdown by Year'!D264</f>
        <v>0</v>
      </c>
      <c r="W35" s="44">
        <f>2*4</f>
        <v>8</v>
      </c>
      <c r="X35" s="44">
        <f t="shared" ref="X35" si="55">W35*H35*$V35*$E$7*$E$7*$E$7*$E$7*$E$7</f>
        <v>0</v>
      </c>
      <c r="Y35" s="44">
        <f t="shared" ref="Y35" si="56">SUM(R35,O35,L35,I35,U35,X35)</f>
        <v>0</v>
      </c>
      <c r="Z35" s="44">
        <v>0</v>
      </c>
      <c r="AA35" s="44">
        <f t="shared" ref="AA35" si="57">SUM(Y35:Z35)</f>
        <v>0</v>
      </c>
    </row>
    <row r="36" spans="1:28" ht="12.75" hidden="1" customHeight="1">
      <c r="A36" s="595" t="s">
        <v>772</v>
      </c>
      <c r="B36" s="595">
        <v>70000</v>
      </c>
      <c r="C36" s="595" t="s">
        <v>747</v>
      </c>
      <c r="D36" s="240" t="s">
        <v>124</v>
      </c>
      <c r="E36" s="115">
        <f>'LOE Breakdown by Year'!D35</f>
        <v>0</v>
      </c>
      <c r="F36" s="50" t="s">
        <v>100</v>
      </c>
      <c r="G36" s="44">
        <v>8</v>
      </c>
      <c r="H36" s="237">
        <f>18000/12</f>
        <v>1500</v>
      </c>
      <c r="I36" s="44">
        <f>G36*H36*E36</f>
        <v>0</v>
      </c>
      <c r="J36" s="115">
        <f>'LOE Breakdown by Year'!D81</f>
        <v>0</v>
      </c>
      <c r="K36" s="44">
        <v>12</v>
      </c>
      <c r="L36" s="44">
        <f>K36*H36*$E$7*$J36</f>
        <v>0</v>
      </c>
      <c r="M36" s="115">
        <f>'LOE Breakdown by Year'!D127</f>
        <v>0</v>
      </c>
      <c r="N36" s="44">
        <v>12</v>
      </c>
      <c r="O36" s="44">
        <f t="shared" si="52"/>
        <v>0</v>
      </c>
      <c r="P36" s="115">
        <f>'LOE Breakdown by Year'!D173</f>
        <v>0</v>
      </c>
      <c r="Q36" s="44">
        <v>12</v>
      </c>
      <c r="R36" s="44">
        <f t="shared" si="53"/>
        <v>0</v>
      </c>
      <c r="S36" s="115">
        <f>'LOE Breakdown by Year'!D219</f>
        <v>0</v>
      </c>
      <c r="T36" s="44">
        <v>12</v>
      </c>
      <c r="U36" s="44">
        <f t="shared" si="54"/>
        <v>0</v>
      </c>
      <c r="V36" s="115">
        <f>'LOE Breakdown by Year'!D265</f>
        <v>0</v>
      </c>
      <c r="W36" s="44">
        <v>0</v>
      </c>
      <c r="X36" s="44">
        <f t="shared" ref="X36" si="58">W36*H36*$V36*$E$7*$E$7*$E$7*$E$7*$E$7</f>
        <v>0</v>
      </c>
      <c r="Y36" s="44">
        <f t="shared" ref="Y36" si="59">SUM(R36,O36,L36,I36,U36,X36)</f>
        <v>0</v>
      </c>
      <c r="Z36" s="44">
        <v>0</v>
      </c>
      <c r="AA36" s="44">
        <f t="shared" ref="AA36" si="60">SUM(Y36:Z36)</f>
        <v>0</v>
      </c>
    </row>
    <row r="37" spans="1:28" ht="12.75" customHeight="1">
      <c r="A37" s="595" t="s">
        <v>775</v>
      </c>
      <c r="B37" s="595">
        <v>70000</v>
      </c>
      <c r="C37" s="595" t="s">
        <v>747</v>
      </c>
      <c r="D37" s="240" t="s">
        <v>125</v>
      </c>
      <c r="E37" s="115">
        <f>'LOE Breakdown by Year'!D36</f>
        <v>1</v>
      </c>
      <c r="F37" s="50" t="s">
        <v>100</v>
      </c>
      <c r="G37" s="44">
        <v>9</v>
      </c>
      <c r="H37" s="237">
        <f>60000/12</f>
        <v>5000</v>
      </c>
      <c r="I37" s="44">
        <f t="shared" ref="I37:I40" si="61">G37*H37*E37</f>
        <v>45000</v>
      </c>
      <c r="J37" s="115">
        <f>'LOE Breakdown by Year'!D82</f>
        <v>1</v>
      </c>
      <c r="K37" s="44">
        <v>12</v>
      </c>
      <c r="L37" s="44">
        <f t="shared" si="51"/>
        <v>63000</v>
      </c>
      <c r="M37" s="115">
        <f>'LOE Breakdown by Year'!D128</f>
        <v>1</v>
      </c>
      <c r="N37" s="44">
        <v>12</v>
      </c>
      <c r="O37" s="44">
        <f t="shared" si="52"/>
        <v>66150</v>
      </c>
      <c r="P37" s="115">
        <f>'LOE Breakdown by Year'!D174</f>
        <v>1</v>
      </c>
      <c r="Q37" s="44">
        <v>12</v>
      </c>
      <c r="R37" s="44">
        <f t="shared" si="53"/>
        <v>69457.5</v>
      </c>
      <c r="S37" s="115">
        <f>'LOE Breakdown by Year'!D220</f>
        <v>1</v>
      </c>
      <c r="T37" s="44">
        <v>12</v>
      </c>
      <c r="U37" s="44">
        <f t="shared" si="54"/>
        <v>72930.375</v>
      </c>
      <c r="V37" s="115">
        <f>'LOE Breakdown by Year'!D266</f>
        <v>1</v>
      </c>
      <c r="W37" s="44">
        <v>12</v>
      </c>
      <c r="X37" s="44">
        <f t="shared" si="4"/>
        <v>76576.893750000003</v>
      </c>
      <c r="Y37" s="44">
        <f t="shared" si="5"/>
        <v>393114.76874999999</v>
      </c>
      <c r="Z37" s="44">
        <v>0</v>
      </c>
      <c r="AA37" s="44">
        <f t="shared" ref="AA37" si="62">SUM(Y37:Z37)</f>
        <v>393114.76874999999</v>
      </c>
    </row>
    <row r="38" spans="1:28">
      <c r="A38" s="595" t="s">
        <v>776</v>
      </c>
      <c r="B38" s="595">
        <v>70000</v>
      </c>
      <c r="C38" s="595" t="s">
        <v>747</v>
      </c>
      <c r="D38" s="240" t="s">
        <v>126</v>
      </c>
      <c r="E38" s="115">
        <f>'LOE Breakdown by Year'!D37</f>
        <v>1</v>
      </c>
      <c r="F38" s="50" t="s">
        <v>100</v>
      </c>
      <c r="G38" s="44">
        <v>9</v>
      </c>
      <c r="H38" s="237">
        <f>31600/12</f>
        <v>2633.3333333333335</v>
      </c>
      <c r="I38" s="44">
        <f t="shared" si="61"/>
        <v>23700</v>
      </c>
      <c r="J38" s="115">
        <f>'LOE Breakdown by Year'!D83</f>
        <v>1</v>
      </c>
      <c r="K38" s="44">
        <v>12</v>
      </c>
      <c r="L38" s="44">
        <f t="shared" si="51"/>
        <v>33180</v>
      </c>
      <c r="M38" s="115">
        <f>'LOE Breakdown by Year'!D129</f>
        <v>1</v>
      </c>
      <c r="N38" s="44">
        <v>12</v>
      </c>
      <c r="O38" s="44">
        <f t="shared" si="52"/>
        <v>34839</v>
      </c>
      <c r="P38" s="115">
        <f>'LOE Breakdown by Year'!D175</f>
        <v>1</v>
      </c>
      <c r="Q38" s="44">
        <v>12</v>
      </c>
      <c r="R38" s="44">
        <f t="shared" si="53"/>
        <v>36580.950000000004</v>
      </c>
      <c r="S38" s="115">
        <f>'LOE Breakdown by Year'!D221</f>
        <v>1</v>
      </c>
      <c r="T38" s="44">
        <v>12</v>
      </c>
      <c r="U38" s="44">
        <f t="shared" si="54"/>
        <v>38409.997500000005</v>
      </c>
      <c r="V38" s="115">
        <f>'LOE Breakdown by Year'!D267</f>
        <v>1</v>
      </c>
      <c r="W38" s="44">
        <v>11</v>
      </c>
      <c r="X38" s="44">
        <f t="shared" si="4"/>
        <v>36969.622593750013</v>
      </c>
      <c r="Y38" s="44">
        <f t="shared" si="5"/>
        <v>203679.57009375002</v>
      </c>
      <c r="Z38" s="44">
        <v>0</v>
      </c>
      <c r="AA38" s="44">
        <f>SUM(Y38:Z38)</f>
        <v>203679.57009375002</v>
      </c>
    </row>
    <row r="39" spans="1:28">
      <c r="A39" s="595" t="s">
        <v>777</v>
      </c>
      <c r="B39" s="595">
        <v>70000</v>
      </c>
      <c r="C39" s="595" t="s">
        <v>747</v>
      </c>
      <c r="D39" s="240" t="s">
        <v>127</v>
      </c>
      <c r="E39" s="115">
        <f>'LOE Breakdown by Year'!D38</f>
        <v>1</v>
      </c>
      <c r="F39" s="50" t="s">
        <v>100</v>
      </c>
      <c r="G39" s="44">
        <v>6</v>
      </c>
      <c r="H39" s="237">
        <v>1500</v>
      </c>
      <c r="I39" s="44">
        <f t="shared" ref="I39" si="63">G39*H39*E39</f>
        <v>9000</v>
      </c>
      <c r="J39" s="115">
        <f>'LOE Breakdown by Year'!D84</f>
        <v>1</v>
      </c>
      <c r="K39" s="44">
        <v>12</v>
      </c>
      <c r="L39" s="44">
        <f t="shared" ref="L39" si="64">K39*H39*$E$7*$J39</f>
        <v>18900</v>
      </c>
      <c r="M39" s="115">
        <f>'LOE Breakdown by Year'!D130</f>
        <v>1</v>
      </c>
      <c r="N39" s="44">
        <v>12</v>
      </c>
      <c r="O39" s="44">
        <f t="shared" ref="O39" si="65">N39*H39*$M39*$E$7*$E$7</f>
        <v>19845</v>
      </c>
      <c r="P39" s="115">
        <f>'LOE Breakdown by Year'!D176</f>
        <v>1</v>
      </c>
      <c r="Q39" s="44">
        <v>12</v>
      </c>
      <c r="R39" s="44">
        <f t="shared" ref="R39" si="66">Q39*H39*$P39*$E$7*$E$7*$E$7</f>
        <v>20837.25</v>
      </c>
      <c r="S39" s="115">
        <f>'LOE Breakdown by Year'!D222</f>
        <v>1</v>
      </c>
      <c r="T39" s="44">
        <v>12</v>
      </c>
      <c r="U39" s="44">
        <f t="shared" ref="U39" si="67">T39*H39*$S39*$E$7*$E$7*$E$7*$E$7</f>
        <v>21879.112499999999</v>
      </c>
      <c r="V39" s="115">
        <f>'LOE Breakdown by Year'!D268</f>
        <v>1</v>
      </c>
      <c r="W39" s="44">
        <v>6</v>
      </c>
      <c r="X39" s="44">
        <f t="shared" ref="X39" si="68">W39*H39*$V39*$E$7*$E$7*$E$7*$E$7*$E$7</f>
        <v>11486.534062500001</v>
      </c>
      <c r="Y39" s="44">
        <f t="shared" ref="Y39" si="69">SUM(R39,O39,L39,I39,U39,X39)</f>
        <v>101947.8965625</v>
      </c>
      <c r="Z39" s="44">
        <v>0</v>
      </c>
      <c r="AA39" s="44">
        <f>SUM(Y39:Z39)</f>
        <v>101947.8965625</v>
      </c>
    </row>
    <row r="40" spans="1:28">
      <c r="A40" s="595" t="s">
        <v>778</v>
      </c>
      <c r="B40" s="595">
        <v>70000</v>
      </c>
      <c r="C40" s="595" t="s">
        <v>747</v>
      </c>
      <c r="D40" s="240" t="s">
        <v>128</v>
      </c>
      <c r="E40" s="115">
        <f>'LOE Breakdown by Year'!D39</f>
        <v>1</v>
      </c>
      <c r="F40" s="50" t="s">
        <v>100</v>
      </c>
      <c r="G40" s="44">
        <v>2</v>
      </c>
      <c r="H40" s="237">
        <f>12000/12</f>
        <v>1000</v>
      </c>
      <c r="I40" s="44">
        <f t="shared" si="61"/>
        <v>2000</v>
      </c>
      <c r="J40" s="115">
        <f>'LOE Breakdown by Year'!D85</f>
        <v>1</v>
      </c>
      <c r="K40" s="44">
        <v>12</v>
      </c>
      <c r="L40" s="44">
        <f t="shared" si="51"/>
        <v>12600</v>
      </c>
      <c r="M40" s="115">
        <f>'LOE Breakdown by Year'!D131</f>
        <v>1</v>
      </c>
      <c r="N40" s="44">
        <v>12</v>
      </c>
      <c r="O40" s="44">
        <f t="shared" si="52"/>
        <v>13230</v>
      </c>
      <c r="P40" s="115">
        <f>'LOE Breakdown by Year'!D177</f>
        <v>1</v>
      </c>
      <c r="Q40" s="44">
        <v>12</v>
      </c>
      <c r="R40" s="44">
        <f t="shared" si="53"/>
        <v>13891.5</v>
      </c>
      <c r="S40" s="115">
        <f>'LOE Breakdown by Year'!D223</f>
        <v>1</v>
      </c>
      <c r="T40" s="44">
        <v>12</v>
      </c>
      <c r="U40" s="44">
        <f t="shared" si="54"/>
        <v>14586.075000000001</v>
      </c>
      <c r="V40" s="115">
        <f>'LOE Breakdown by Year'!D269</f>
        <v>1</v>
      </c>
      <c r="W40" s="44">
        <v>3</v>
      </c>
      <c r="X40" s="44">
        <f t="shared" si="4"/>
        <v>3828.8446875000004</v>
      </c>
      <c r="Y40" s="44">
        <f t="shared" si="5"/>
        <v>60136.419687499998</v>
      </c>
      <c r="Z40" s="44">
        <v>0</v>
      </c>
      <c r="AA40" s="44">
        <f>SUM(Y40:Z40)</f>
        <v>60136.419687499998</v>
      </c>
    </row>
    <row r="41" spans="1:28" ht="12.75" customHeight="1">
      <c r="A41" s="595" t="s">
        <v>779</v>
      </c>
      <c r="B41" s="595">
        <v>70000</v>
      </c>
      <c r="C41" s="595" t="s">
        <v>747</v>
      </c>
      <c r="D41" s="240" t="s">
        <v>129</v>
      </c>
      <c r="E41" s="115">
        <f>'LOE Breakdown by Year'!D40</f>
        <v>1</v>
      </c>
      <c r="F41" s="50" t="s">
        <v>100</v>
      </c>
      <c r="G41" s="44">
        <v>9</v>
      </c>
      <c r="H41" s="237">
        <f>15000/12</f>
        <v>1250</v>
      </c>
      <c r="I41" s="44">
        <f t="shared" ref="I41:I43" si="70">G41*H41*E41</f>
        <v>11250</v>
      </c>
      <c r="J41" s="115">
        <f>'LOE Breakdown by Year'!D86</f>
        <v>1</v>
      </c>
      <c r="K41" s="44">
        <v>12</v>
      </c>
      <c r="L41" s="44">
        <f t="shared" ref="L41" si="71">K41*H41*$E$7*$J41</f>
        <v>15750</v>
      </c>
      <c r="M41" s="115">
        <f>'LOE Breakdown by Year'!D132</f>
        <v>1</v>
      </c>
      <c r="N41" s="44">
        <v>12</v>
      </c>
      <c r="O41" s="44">
        <f t="shared" ref="O41:O43" si="72">N41*H41*$M41*$E$7*$E$7</f>
        <v>16537.5</v>
      </c>
      <c r="P41" s="115">
        <f>'LOE Breakdown by Year'!D178</f>
        <v>1</v>
      </c>
      <c r="Q41" s="44">
        <v>12</v>
      </c>
      <c r="R41" s="44">
        <f t="shared" ref="R41:R43" si="73">Q41*H41*$P41*$E$7*$E$7*$E$7</f>
        <v>17364.375</v>
      </c>
      <c r="S41" s="115">
        <f>'LOE Breakdown by Year'!D224</f>
        <v>1</v>
      </c>
      <c r="T41" s="44">
        <v>12</v>
      </c>
      <c r="U41" s="44">
        <f t="shared" ref="U41:U43" si="74">T41*H41*$S41*$E$7*$E$7*$E$7*$E$7</f>
        <v>18232.59375</v>
      </c>
      <c r="V41" s="115">
        <f>'LOE Breakdown by Year'!D270</f>
        <v>1</v>
      </c>
      <c r="W41" s="44">
        <v>11</v>
      </c>
      <c r="X41" s="44">
        <f t="shared" si="4"/>
        <v>17548.871484375002</v>
      </c>
      <c r="Y41" s="44">
        <f t="shared" si="5"/>
        <v>96683.340234375006</v>
      </c>
      <c r="Z41" s="44">
        <v>0</v>
      </c>
      <c r="AA41" s="44">
        <f>SUM(Y41:Z41)</f>
        <v>96683.340234375006</v>
      </c>
    </row>
    <row r="42" spans="1:28">
      <c r="A42" s="595" t="s">
        <v>780</v>
      </c>
      <c r="B42" s="595">
        <v>70000</v>
      </c>
      <c r="C42" s="595" t="s">
        <v>747</v>
      </c>
      <c r="D42" s="240" t="s">
        <v>130</v>
      </c>
      <c r="E42" s="115">
        <f>'LOE Breakdown by Year'!D41</f>
        <v>1</v>
      </c>
      <c r="F42" s="50" t="s">
        <v>100</v>
      </c>
      <c r="G42" s="44">
        <v>3</v>
      </c>
      <c r="H42" s="237">
        <f>(12000/12)</f>
        <v>1000</v>
      </c>
      <c r="I42" s="44">
        <f t="shared" si="70"/>
        <v>3000</v>
      </c>
      <c r="J42" s="115">
        <f>'LOE Breakdown by Year'!D87</f>
        <v>1</v>
      </c>
      <c r="K42" s="44">
        <v>12</v>
      </c>
      <c r="L42" s="44">
        <f>K42*H42*$E$7*$J42</f>
        <v>12600</v>
      </c>
      <c r="M42" s="115">
        <f>'LOE Breakdown by Year'!D133</f>
        <v>1</v>
      </c>
      <c r="N42" s="44">
        <v>12</v>
      </c>
      <c r="O42" s="44">
        <f t="shared" si="72"/>
        <v>13230</v>
      </c>
      <c r="P42" s="115">
        <f>'LOE Breakdown by Year'!D179</f>
        <v>1</v>
      </c>
      <c r="Q42" s="44">
        <v>12</v>
      </c>
      <c r="R42" s="44">
        <f t="shared" si="73"/>
        <v>13891.5</v>
      </c>
      <c r="S42" s="115">
        <f>'LOE Breakdown by Year'!D225</f>
        <v>1</v>
      </c>
      <c r="T42" s="44">
        <v>12</v>
      </c>
      <c r="U42" s="44">
        <f t="shared" si="74"/>
        <v>14586.075000000001</v>
      </c>
      <c r="V42" s="115">
        <f>'LOE Breakdown by Year'!D271</f>
        <v>1</v>
      </c>
      <c r="W42" s="44">
        <v>9</v>
      </c>
      <c r="X42" s="44">
        <f t="shared" si="4"/>
        <v>11486.534062500001</v>
      </c>
      <c r="Y42" s="44">
        <f t="shared" si="5"/>
        <v>68794.109062499992</v>
      </c>
      <c r="Z42" s="44">
        <v>0</v>
      </c>
      <c r="AA42" s="44">
        <f>SUM(Y42:Z42)</f>
        <v>68794.109062499992</v>
      </c>
    </row>
    <row r="43" spans="1:28">
      <c r="A43" s="595" t="s">
        <v>781</v>
      </c>
      <c r="B43" s="595">
        <v>70000</v>
      </c>
      <c r="C43" s="595" t="s">
        <v>747</v>
      </c>
      <c r="D43" s="240" t="s">
        <v>131</v>
      </c>
      <c r="E43" s="115">
        <f>'LOE Breakdown by Year'!D42</f>
        <v>1</v>
      </c>
      <c r="F43" s="50" t="s">
        <v>100</v>
      </c>
      <c r="G43" s="44">
        <v>9</v>
      </c>
      <c r="H43" s="44">
        <f>21600/12</f>
        <v>1800</v>
      </c>
      <c r="I43" s="44">
        <f t="shared" si="70"/>
        <v>16200</v>
      </c>
      <c r="J43" s="115">
        <f>'LOE Breakdown by Year'!D88</f>
        <v>1</v>
      </c>
      <c r="K43" s="44">
        <v>12</v>
      </c>
      <c r="L43" s="44">
        <f t="shared" ref="L43" si="75">K43*H43*$E$7*$J43</f>
        <v>22680</v>
      </c>
      <c r="M43" s="115">
        <f>'LOE Breakdown by Year'!D134</f>
        <v>1</v>
      </c>
      <c r="N43" s="44">
        <v>12</v>
      </c>
      <c r="O43" s="44">
        <f t="shared" si="72"/>
        <v>23814</v>
      </c>
      <c r="P43" s="115">
        <f>'LOE Breakdown by Year'!D180</f>
        <v>1</v>
      </c>
      <c r="Q43" s="44">
        <v>12</v>
      </c>
      <c r="R43" s="44">
        <f t="shared" si="73"/>
        <v>25004.7</v>
      </c>
      <c r="S43" s="115">
        <f>'LOE Breakdown by Year'!D226</f>
        <v>1</v>
      </c>
      <c r="T43" s="44">
        <v>12</v>
      </c>
      <c r="U43" s="44">
        <f t="shared" si="74"/>
        <v>26254.935000000001</v>
      </c>
      <c r="V43" s="115">
        <f>'LOE Breakdown by Year'!D272</f>
        <v>1</v>
      </c>
      <c r="W43" s="44">
        <v>11</v>
      </c>
      <c r="X43" s="44">
        <f t="shared" si="4"/>
        <v>25270.374937500004</v>
      </c>
      <c r="Y43" s="44">
        <f t="shared" si="5"/>
        <v>139224.0099375</v>
      </c>
      <c r="Z43" s="44">
        <v>0</v>
      </c>
      <c r="AA43" s="44">
        <f t="shared" ref="AA43" si="76">SUM(Y43:Z43)</f>
        <v>139224.0099375</v>
      </c>
      <c r="AB43" s="222"/>
    </row>
    <row r="44" spans="1:28">
      <c r="A44" s="595" t="s">
        <v>782</v>
      </c>
      <c r="B44" s="595">
        <v>70000</v>
      </c>
      <c r="C44" s="595" t="s">
        <v>747</v>
      </c>
      <c r="D44" s="8" t="s">
        <v>132</v>
      </c>
      <c r="E44" s="115">
        <f>'LOE Breakdown by Year'!D43</f>
        <v>1</v>
      </c>
      <c r="F44" s="50" t="s">
        <v>100</v>
      </c>
      <c r="G44" s="44">
        <f>3*2</f>
        <v>6</v>
      </c>
      <c r="H44" s="237">
        <f>(9000/12)</f>
        <v>750</v>
      </c>
      <c r="I44" s="44">
        <f>G44*H44*E44</f>
        <v>4500</v>
      </c>
      <c r="J44" s="115">
        <f>'LOE Breakdown by Year'!D89</f>
        <v>1</v>
      </c>
      <c r="K44" s="44">
        <f>12*2</f>
        <v>24</v>
      </c>
      <c r="L44" s="44">
        <f t="shared" si="2"/>
        <v>18900</v>
      </c>
      <c r="M44" s="115">
        <f>'LOE Breakdown by Year'!D135</f>
        <v>1</v>
      </c>
      <c r="N44" s="44">
        <f>12*2</f>
        <v>24</v>
      </c>
      <c r="O44" s="44">
        <f t="shared" si="1"/>
        <v>19845</v>
      </c>
      <c r="P44" s="115">
        <f>'LOE Breakdown by Year'!D181</f>
        <v>1</v>
      </c>
      <c r="Q44" s="44">
        <f>12*2</f>
        <v>24</v>
      </c>
      <c r="R44" s="44">
        <f t="shared" si="6"/>
        <v>20837.25</v>
      </c>
      <c r="S44" s="115">
        <f>'LOE Breakdown by Year'!D227</f>
        <v>1</v>
      </c>
      <c r="T44" s="44">
        <f>12*2</f>
        <v>24</v>
      </c>
      <c r="U44" s="44">
        <f t="shared" si="3"/>
        <v>21879.112499999999</v>
      </c>
      <c r="V44" s="115">
        <f>'LOE Breakdown by Year'!D273</f>
        <v>1</v>
      </c>
      <c r="W44" s="44">
        <f>5*2</f>
        <v>10</v>
      </c>
      <c r="X44" s="44">
        <f t="shared" si="4"/>
        <v>9572.1117187500004</v>
      </c>
      <c r="Y44" s="44">
        <f t="shared" si="5"/>
        <v>95533.474218750009</v>
      </c>
      <c r="Z44" s="44">
        <v>0</v>
      </c>
      <c r="AA44" s="44">
        <f>SUM(Y44:Z44)</f>
        <v>95533.474218750009</v>
      </c>
      <c r="AB44" s="569"/>
    </row>
    <row r="45" spans="1:28">
      <c r="A45" s="595" t="s">
        <v>783</v>
      </c>
      <c r="B45" s="595">
        <v>70000</v>
      </c>
      <c r="C45" s="595" t="s">
        <v>747</v>
      </c>
      <c r="D45" s="8" t="s">
        <v>133</v>
      </c>
      <c r="E45" s="115">
        <f>'LOE Breakdown by Year'!D44</f>
        <v>1</v>
      </c>
      <c r="F45" s="50" t="s">
        <v>100</v>
      </c>
      <c r="G45" s="44">
        <f>2*3</f>
        <v>6</v>
      </c>
      <c r="H45" s="237">
        <f>(6000/12)</f>
        <v>500</v>
      </c>
      <c r="I45" s="44">
        <f t="shared" ref="I45" si="77">G45*H45*E45</f>
        <v>3000</v>
      </c>
      <c r="J45" s="115">
        <f>'LOE Breakdown by Year'!D90</f>
        <v>1</v>
      </c>
      <c r="K45" s="44">
        <f>2*12</f>
        <v>24</v>
      </c>
      <c r="L45" s="44">
        <f t="shared" ref="L45" si="78">K45*H45*$E$7*$J45</f>
        <v>12600</v>
      </c>
      <c r="M45" s="115">
        <f>'LOE Breakdown by Year'!D136</f>
        <v>1</v>
      </c>
      <c r="N45" s="44">
        <f>2*12</f>
        <v>24</v>
      </c>
      <c r="O45" s="44">
        <f t="shared" ref="O45" si="79">N45*H45*$M45*$E$7*$E$7</f>
        <v>13230</v>
      </c>
      <c r="P45" s="115">
        <f>'LOE Breakdown by Year'!D182</f>
        <v>1</v>
      </c>
      <c r="Q45" s="44">
        <f>2*12</f>
        <v>24</v>
      </c>
      <c r="R45" s="44">
        <f t="shared" ref="R45" si="80">Q45*H45*$P45*$E$7*$E$7*$E$7</f>
        <v>13891.5</v>
      </c>
      <c r="S45" s="115">
        <f>'LOE Breakdown by Year'!D228</f>
        <v>1</v>
      </c>
      <c r="T45" s="44">
        <f>2*12</f>
        <v>24</v>
      </c>
      <c r="U45" s="44">
        <f t="shared" ref="U45" si="81">T45*H45*$S45*$E$7*$E$7*$E$7*$E$7</f>
        <v>14586.075000000001</v>
      </c>
      <c r="V45" s="115">
        <f>'LOE Breakdown by Year'!D274</f>
        <v>1</v>
      </c>
      <c r="W45" s="44">
        <f>2*9</f>
        <v>18</v>
      </c>
      <c r="X45" s="44">
        <f t="shared" si="4"/>
        <v>11486.534062500001</v>
      </c>
      <c r="Y45" s="44">
        <f t="shared" si="5"/>
        <v>68794.109062499992</v>
      </c>
      <c r="Z45" s="44">
        <v>0</v>
      </c>
      <c r="AA45" s="44">
        <f>SUM(Y45:Z45)</f>
        <v>68794.109062499992</v>
      </c>
      <c r="AB45" s="569"/>
    </row>
    <row r="46" spans="1:28">
      <c r="A46" s="594"/>
      <c r="B46" s="594"/>
      <c r="C46" s="594"/>
      <c r="D46" s="74" t="s">
        <v>134</v>
      </c>
      <c r="E46" s="79"/>
      <c r="F46" s="79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</row>
    <row r="47" spans="1:28">
      <c r="A47" s="595" t="s">
        <v>784</v>
      </c>
      <c r="B47" s="591" t="s">
        <v>787</v>
      </c>
      <c r="C47" s="591" t="s">
        <v>788</v>
      </c>
      <c r="D47" s="8" t="s">
        <v>135</v>
      </c>
      <c r="E47" s="115">
        <f>'LOE Breakdown by Year'!D46</f>
        <v>0.35</v>
      </c>
      <c r="F47" s="50" t="s">
        <v>100</v>
      </c>
      <c r="G47" s="44">
        <v>12</v>
      </c>
      <c r="H47" s="44">
        <f>162000/12</f>
        <v>13500</v>
      </c>
      <c r="I47" s="44">
        <f>G47*H47*E47</f>
        <v>56700</v>
      </c>
      <c r="J47" s="115">
        <f>'LOE Breakdown by Year'!D92</f>
        <v>0.35</v>
      </c>
      <c r="K47" s="44">
        <v>12</v>
      </c>
      <c r="L47" s="44">
        <f t="shared" ref="L47" si="82">K47*H47*$E$7*$J47</f>
        <v>59534.999999999993</v>
      </c>
      <c r="M47" s="115">
        <f>'LOE Breakdown by Year'!D138</f>
        <v>0.35</v>
      </c>
      <c r="N47" s="44">
        <v>12</v>
      </c>
      <c r="O47" s="44">
        <f>N47*H47*$M47*$E$7*$E$7</f>
        <v>62511.75</v>
      </c>
      <c r="P47" s="115">
        <f>'LOE Breakdown by Year'!D184</f>
        <v>0.35</v>
      </c>
      <c r="Q47" s="44">
        <v>12</v>
      </c>
      <c r="R47" s="44">
        <f>Q47*H47*$P47*$E$7*$E$7*$E$7</f>
        <v>65637.337500000009</v>
      </c>
      <c r="S47" s="115">
        <f>'LOE Breakdown by Year'!D230</f>
        <v>0.35</v>
      </c>
      <c r="T47" s="44">
        <v>12</v>
      </c>
      <c r="U47" s="44">
        <f t="shared" ref="U47" si="83">T47*H47*$S47*$E$7*$E$7*$E$7*$E$7</f>
        <v>68919.204375000016</v>
      </c>
      <c r="V47" s="115">
        <f>'LOE Breakdown by Year'!D276</f>
        <v>0.35</v>
      </c>
      <c r="W47" s="44">
        <v>12</v>
      </c>
      <c r="X47" s="44">
        <f t="shared" ref="X47" si="84">W47*H47*$V47*$E$7*$E$7*$E$7*$E$7*$E$7</f>
        <v>72365.164593750014</v>
      </c>
      <c r="Y47" s="44">
        <f t="shared" ref="Y47" si="85">SUM(R47,O47,L47,I47,U47,X47)</f>
        <v>385668.45646875002</v>
      </c>
      <c r="Z47" s="44">
        <v>0</v>
      </c>
      <c r="AA47" s="44">
        <f>SUM(Y47:Z47)</f>
        <v>385668.45646875002</v>
      </c>
    </row>
    <row r="48" spans="1:28">
      <c r="A48" s="595" t="s">
        <v>785</v>
      </c>
      <c r="B48" s="591" t="s">
        <v>787</v>
      </c>
      <c r="C48" s="591" t="s">
        <v>788</v>
      </c>
      <c r="D48" s="8" t="s">
        <v>136</v>
      </c>
      <c r="E48" s="115">
        <f>'LOE Breakdown by Year'!D47</f>
        <v>0.9</v>
      </c>
      <c r="F48" s="50" t="s">
        <v>100</v>
      </c>
      <c r="G48" s="44">
        <v>12</v>
      </c>
      <c r="H48" s="44">
        <f>150000/12</f>
        <v>12500</v>
      </c>
      <c r="I48" s="44">
        <f>G48*H48*E48</f>
        <v>135000</v>
      </c>
      <c r="J48" s="115">
        <f>'LOE Breakdown by Year'!D93</f>
        <v>0.9</v>
      </c>
      <c r="K48" s="44">
        <v>12</v>
      </c>
      <c r="L48" s="44">
        <f t="shared" ref="L48:L50" si="86">K48*H48*$E$7*$J48</f>
        <v>141750</v>
      </c>
      <c r="M48" s="115">
        <f>'LOE Breakdown by Year'!D139</f>
        <v>0.9</v>
      </c>
      <c r="N48" s="44">
        <v>12</v>
      </c>
      <c r="O48" s="44">
        <f>N48*H48*$M48*$E$7*$E$7</f>
        <v>148837.5</v>
      </c>
      <c r="P48" s="115">
        <f>'LOE Breakdown by Year'!D185</f>
        <v>0.9</v>
      </c>
      <c r="Q48" s="44">
        <v>12</v>
      </c>
      <c r="R48" s="44">
        <f>Q48*H48*$P48*$E$7*$E$7*$E$7</f>
        <v>156279.375</v>
      </c>
      <c r="S48" s="115">
        <f>'LOE Breakdown by Year'!D231</f>
        <v>0.9</v>
      </c>
      <c r="T48" s="44">
        <v>12</v>
      </c>
      <c r="U48" s="44">
        <f t="shared" ref="U48:U50" si="87">T48*H48*$S48*$E$7*$E$7*$E$7*$E$7</f>
        <v>164093.34375</v>
      </c>
      <c r="V48" s="115">
        <f>'LOE Breakdown by Year'!D277</f>
        <v>0.9</v>
      </c>
      <c r="W48" s="44">
        <v>12</v>
      </c>
      <c r="X48" s="44">
        <f t="shared" si="4"/>
        <v>172298.01093750002</v>
      </c>
      <c r="Y48" s="44">
        <f t="shared" si="5"/>
        <v>918258.22968750005</v>
      </c>
      <c r="Z48" s="44">
        <v>0</v>
      </c>
      <c r="AA48" s="44">
        <f>SUM(Y48:Z48)</f>
        <v>918258.22968750005</v>
      </c>
    </row>
    <row r="49" spans="1:27">
      <c r="A49" s="595" t="s">
        <v>773</v>
      </c>
      <c r="B49" s="591" t="s">
        <v>787</v>
      </c>
      <c r="C49" s="591" t="s">
        <v>788</v>
      </c>
      <c r="D49" s="8" t="s">
        <v>137</v>
      </c>
      <c r="E49" s="115">
        <f>'LOE Breakdown by Year'!D48</f>
        <v>0.2</v>
      </c>
      <c r="F49" s="50" t="s">
        <v>100</v>
      </c>
      <c r="G49" s="44">
        <v>12</v>
      </c>
      <c r="H49" s="44">
        <f>110000/12</f>
        <v>9166.6666666666661</v>
      </c>
      <c r="I49" s="44">
        <f>G49*H49*E49</f>
        <v>22000</v>
      </c>
      <c r="J49" s="115">
        <f>'LOE Breakdown by Year'!D94</f>
        <v>0.2</v>
      </c>
      <c r="K49" s="44">
        <v>12</v>
      </c>
      <c r="L49" s="44">
        <f>K49*H49*$E$7*$J49</f>
        <v>23100</v>
      </c>
      <c r="M49" s="115">
        <f>'LOE Breakdown by Year'!D140</f>
        <v>0.2</v>
      </c>
      <c r="N49" s="44">
        <v>12</v>
      </c>
      <c r="O49" s="44">
        <f>N49*H49*$M49*$E$7*$E$7</f>
        <v>24255</v>
      </c>
      <c r="P49" s="115">
        <f>'LOE Breakdown by Year'!D186</f>
        <v>0.2</v>
      </c>
      <c r="Q49" s="44">
        <v>12</v>
      </c>
      <c r="R49" s="44">
        <f>Q49*H49*$P49*$E$7*$E$7*$E$7</f>
        <v>25467.75</v>
      </c>
      <c r="S49" s="115">
        <f>'LOE Breakdown by Year'!D232</f>
        <v>0.2</v>
      </c>
      <c r="T49" s="44">
        <v>12</v>
      </c>
      <c r="U49" s="44">
        <f t="shared" ref="U49" si="88">T49*H49*$S49*$E$7*$E$7*$E$7*$E$7</f>
        <v>26741.137500000001</v>
      </c>
      <c r="V49" s="115">
        <f>'LOE Breakdown by Year'!D278</f>
        <v>0.2</v>
      </c>
      <c r="W49" s="44">
        <v>12</v>
      </c>
      <c r="X49" s="44">
        <f t="shared" si="4"/>
        <v>28078.194375000003</v>
      </c>
      <c r="Y49" s="44">
        <f t="shared" si="5"/>
        <v>149642.081875</v>
      </c>
      <c r="Z49" s="44">
        <v>0</v>
      </c>
      <c r="AA49" s="44">
        <f>SUM(Y49:Z49)</f>
        <v>149642.081875</v>
      </c>
    </row>
    <row r="50" spans="1:27">
      <c r="A50" s="595" t="s">
        <v>786</v>
      </c>
      <c r="B50" s="591" t="s">
        <v>787</v>
      </c>
      <c r="C50" s="591" t="s">
        <v>788</v>
      </c>
      <c r="D50" s="8" t="s">
        <v>138</v>
      </c>
      <c r="E50" s="115">
        <f>'LOE Breakdown by Year'!D49</f>
        <v>1</v>
      </c>
      <c r="F50" s="50" t="s">
        <v>100</v>
      </c>
      <c r="G50" s="44">
        <v>12</v>
      </c>
      <c r="H50" s="44">
        <f>90000/12</f>
        <v>7500</v>
      </c>
      <c r="I50" s="44">
        <f>G50*H50*E50</f>
        <v>90000</v>
      </c>
      <c r="J50" s="115">
        <f>'LOE Breakdown by Year'!D95</f>
        <v>1</v>
      </c>
      <c r="K50" s="44">
        <v>12</v>
      </c>
      <c r="L50" s="44">
        <f t="shared" si="86"/>
        <v>94500</v>
      </c>
      <c r="M50" s="115">
        <f>'LOE Breakdown by Year'!D141</f>
        <v>1</v>
      </c>
      <c r="N50" s="44">
        <v>12</v>
      </c>
      <c r="O50" s="44">
        <f>N50*H50*$M50*$E$7*$E$7</f>
        <v>99225</v>
      </c>
      <c r="P50" s="115">
        <f>'LOE Breakdown by Year'!D187</f>
        <v>1</v>
      </c>
      <c r="Q50" s="44">
        <v>12</v>
      </c>
      <c r="R50" s="44">
        <f>Q50*H50*$P50*$E$7*$E$7*$E$7</f>
        <v>104186.25</v>
      </c>
      <c r="S50" s="115">
        <f>'LOE Breakdown by Year'!D233</f>
        <v>1</v>
      </c>
      <c r="T50" s="44">
        <v>12</v>
      </c>
      <c r="U50" s="44">
        <f t="shared" si="87"/>
        <v>109395.5625</v>
      </c>
      <c r="V50" s="115">
        <f>'LOE Breakdown by Year'!D279</f>
        <v>1</v>
      </c>
      <c r="W50" s="44">
        <v>12</v>
      </c>
      <c r="X50" s="44">
        <f t="shared" ref="X50" si="89">W50*H50*$V50*$E$7*$E$7*$E$7*$E$7*$E$7</f>
        <v>114865.34062500001</v>
      </c>
      <c r="Y50" s="44">
        <f t="shared" ref="Y50" si="90">SUM(R50,O50,L50,I50,U50,X50)</f>
        <v>612172.15312499995</v>
      </c>
      <c r="Z50" s="44">
        <v>0</v>
      </c>
      <c r="AA50" s="44">
        <f>SUM(Y50:Z50)</f>
        <v>612172.15312499995</v>
      </c>
    </row>
    <row r="51" spans="1:27">
      <c r="A51" s="595" t="s">
        <v>774</v>
      </c>
      <c r="B51" s="591" t="s">
        <v>787</v>
      </c>
      <c r="C51" s="591" t="s">
        <v>788</v>
      </c>
      <c r="D51" s="8" t="s">
        <v>139</v>
      </c>
      <c r="E51" s="115">
        <f>'LOE Breakdown by Year'!D50</f>
        <v>0.2</v>
      </c>
      <c r="F51" s="50" t="s">
        <v>100</v>
      </c>
      <c r="G51" s="44">
        <v>12</v>
      </c>
      <c r="H51" s="44">
        <f>71000/12</f>
        <v>5916.666666666667</v>
      </c>
      <c r="I51" s="44">
        <f>G51*H51*E51</f>
        <v>14200</v>
      </c>
      <c r="J51" s="115">
        <f>'LOE Breakdown by Year'!D96</f>
        <v>0.05</v>
      </c>
      <c r="K51" s="44">
        <v>12</v>
      </c>
      <c r="L51" s="44">
        <f t="shared" ref="L51" si="91">K51*H51*$E$7*$J51</f>
        <v>3727.5</v>
      </c>
      <c r="M51" s="115">
        <f>'LOE Breakdown by Year'!D142</f>
        <v>0.05</v>
      </c>
      <c r="N51" s="44">
        <v>12</v>
      </c>
      <c r="O51" s="44">
        <f>N51*H51*$M51*$E$7*$E$7</f>
        <v>3913.875</v>
      </c>
      <c r="P51" s="115">
        <f>'LOE Breakdown by Year'!D188</f>
        <v>0.05</v>
      </c>
      <c r="Q51" s="44">
        <v>12</v>
      </c>
      <c r="R51" s="44">
        <f>Q51*H51*$P51*$E$7*$E$7*$E$7</f>
        <v>4109.5687500000004</v>
      </c>
      <c r="S51" s="115">
        <f>'LOE Breakdown by Year'!D234</f>
        <v>0.05</v>
      </c>
      <c r="T51" s="44">
        <v>12</v>
      </c>
      <c r="U51" s="44">
        <f t="shared" ref="U51" si="92">T51*H51*$S51*$E$7*$E$7*$E$7*$E$7</f>
        <v>4315.0471875000003</v>
      </c>
      <c r="V51" s="115">
        <f>'LOE Breakdown by Year'!D280</f>
        <v>0.2</v>
      </c>
      <c r="W51" s="44">
        <v>12</v>
      </c>
      <c r="X51" s="44">
        <f t="shared" si="4"/>
        <v>18123.198187500002</v>
      </c>
      <c r="Y51" s="44">
        <f t="shared" si="5"/>
        <v>48389.189125000004</v>
      </c>
      <c r="Z51" s="44">
        <v>0</v>
      </c>
      <c r="AA51" s="44">
        <f>SUM(Y51:Z51)</f>
        <v>48389.189125000004</v>
      </c>
    </row>
    <row r="52" spans="1:27">
      <c r="E52" s="115"/>
      <c r="F52" s="50"/>
      <c r="G52" s="44"/>
      <c r="H52" s="44"/>
      <c r="I52" s="44"/>
      <c r="J52" s="115"/>
      <c r="K52" s="44"/>
      <c r="L52" s="44"/>
      <c r="M52" s="115"/>
      <c r="N52" s="44"/>
      <c r="O52" s="44"/>
      <c r="P52" s="115"/>
      <c r="Q52" s="44"/>
      <c r="R52" s="44"/>
      <c r="S52" s="115"/>
      <c r="T52" s="44"/>
      <c r="U52" s="44"/>
      <c r="V52" s="115"/>
      <c r="W52" s="44"/>
      <c r="X52" s="44"/>
      <c r="Y52" s="44"/>
      <c r="Z52" s="44"/>
      <c r="AA52" s="44"/>
    </row>
    <row r="53" spans="1:27" ht="12.9" thickBot="1">
      <c r="A53" s="596"/>
      <c r="B53" s="596"/>
      <c r="C53" s="596"/>
      <c r="D53" s="54" t="s">
        <v>140</v>
      </c>
      <c r="E53" s="117"/>
      <c r="F53" s="54"/>
      <c r="G53" s="54"/>
      <c r="H53" s="54"/>
      <c r="I53" s="57">
        <f>SUM(I12:I51)</f>
        <v>683383.33333333337</v>
      </c>
      <c r="J53" s="117"/>
      <c r="K53" s="57"/>
      <c r="L53" s="57">
        <f>SUM(L12:L51)</f>
        <v>843622.5</v>
      </c>
      <c r="M53" s="117"/>
      <c r="N53" s="57"/>
      <c r="O53" s="57">
        <f>SUM(O12:O51)</f>
        <v>885803.625</v>
      </c>
      <c r="P53" s="117"/>
      <c r="Q53" s="57"/>
      <c r="R53" s="57">
        <f>SUM(R12:R51)</f>
        <v>930093.80625000002</v>
      </c>
      <c r="S53" s="117"/>
      <c r="T53" s="57"/>
      <c r="U53" s="57">
        <f>SUM(U12:U51)</f>
        <v>976598.4965624999</v>
      </c>
      <c r="V53" s="117"/>
      <c r="W53" s="57"/>
      <c r="X53" s="57">
        <f>SUM(X12:X51)</f>
        <v>966995.99718750012</v>
      </c>
      <c r="Y53" s="57">
        <f>SUM(Y12:Y51)</f>
        <v>5286497.7583333328</v>
      </c>
      <c r="Z53" s="57">
        <f>SUM(Z12:Z51)</f>
        <v>0</v>
      </c>
      <c r="AA53" s="69">
        <f>SUM(AA12:AA51)</f>
        <v>5286497.7583333328</v>
      </c>
    </row>
    <row r="54" spans="1:27">
      <c r="A54" s="597"/>
      <c r="B54" s="597"/>
      <c r="C54" s="597"/>
      <c r="D54" s="81"/>
      <c r="E54" s="118"/>
      <c r="F54" s="81"/>
      <c r="G54" s="63"/>
      <c r="H54" s="63"/>
      <c r="I54" s="63"/>
      <c r="J54" s="118"/>
      <c r="K54" s="63"/>
      <c r="L54" s="63"/>
      <c r="M54" s="118"/>
      <c r="N54" s="63"/>
      <c r="O54" s="63"/>
      <c r="P54" s="118"/>
      <c r="Q54" s="63"/>
      <c r="R54" s="63"/>
      <c r="S54" s="118"/>
      <c r="T54" s="63"/>
      <c r="U54" s="63"/>
      <c r="V54" s="118"/>
      <c r="W54" s="63"/>
      <c r="X54" s="63"/>
      <c r="Y54" s="63"/>
      <c r="Z54" s="63"/>
      <c r="AA54" s="63"/>
    </row>
    <row r="55" spans="1:27">
      <c r="A55" s="598"/>
      <c r="B55" s="598"/>
      <c r="C55" s="598"/>
      <c r="D55" s="38" t="s">
        <v>141</v>
      </c>
      <c r="E55" s="119"/>
      <c r="F55" s="38"/>
      <c r="G55" s="38"/>
      <c r="H55" s="39"/>
      <c r="I55" s="40"/>
      <c r="J55" s="119"/>
      <c r="K55" s="40"/>
      <c r="L55" s="40"/>
      <c r="M55" s="119"/>
      <c r="N55" s="40"/>
      <c r="O55" s="40"/>
      <c r="P55" s="119"/>
      <c r="Q55" s="40"/>
      <c r="R55" s="40"/>
      <c r="S55" s="119"/>
      <c r="T55" s="40"/>
      <c r="U55" s="40"/>
      <c r="V55" s="119"/>
      <c r="W55" s="40"/>
      <c r="X55" s="40"/>
      <c r="Y55" s="40"/>
      <c r="Z55" s="40"/>
      <c r="AA55" s="40"/>
    </row>
    <row r="56" spans="1:27">
      <c r="A56" s="591" t="s">
        <v>829</v>
      </c>
      <c r="B56" s="591" t="s">
        <v>791</v>
      </c>
      <c r="C56" s="591" t="s">
        <v>747</v>
      </c>
      <c r="D56" s="8" t="s">
        <v>142</v>
      </c>
      <c r="E56" s="116"/>
      <c r="F56" s="82" t="s">
        <v>143</v>
      </c>
      <c r="G56" s="44"/>
      <c r="H56" s="239">
        <v>0.48259999999999997</v>
      </c>
      <c r="I56" s="44">
        <f>(SUM(I12:I45))*$H$56</f>
        <v>176382.25666666668</v>
      </c>
      <c r="J56" s="116"/>
      <c r="K56" s="44"/>
      <c r="L56" s="44">
        <f>(SUM(L12:L45))*$H$56</f>
        <v>251439.42599999998</v>
      </c>
      <c r="M56" s="116"/>
      <c r="N56" s="44"/>
      <c r="O56" s="44">
        <f>(SUM(O12:O45))*$H$56</f>
        <v>264011.39730000001</v>
      </c>
      <c r="P56" s="116"/>
      <c r="Q56" s="44"/>
      <c r="R56" s="44">
        <f>(SUM(R12:R45))*$H$56</f>
        <v>277211.96716499998</v>
      </c>
      <c r="S56" s="116"/>
      <c r="T56" s="44"/>
      <c r="U56" s="44">
        <f>(SUM(U12:U45))*$H$56</f>
        <v>291072.56552324997</v>
      </c>
      <c r="V56" s="116"/>
      <c r="W56" s="44"/>
      <c r="X56" s="44">
        <f>(SUM(X12:X45))*$H$56</f>
        <v>270867.01429501874</v>
      </c>
      <c r="Y56" s="44">
        <f t="shared" ref="Y56" si="93">SUM(R56,O56,L56,I56,U56,X56)</f>
        <v>1530984.6269499355</v>
      </c>
      <c r="Z56" s="63">
        <v>0</v>
      </c>
      <c r="AA56" s="44">
        <f t="shared" ref="AA56:AA57" si="94">SUM(Y56:Z56)</f>
        <v>1530984.6269499355</v>
      </c>
    </row>
    <row r="57" spans="1:27">
      <c r="A57" s="591" t="s">
        <v>789</v>
      </c>
      <c r="B57" s="591" t="s">
        <v>790</v>
      </c>
      <c r="C57" s="591" t="s">
        <v>788</v>
      </c>
      <c r="D57" s="8" t="s">
        <v>144</v>
      </c>
      <c r="E57" s="116"/>
      <c r="F57" s="82" t="s">
        <v>143</v>
      </c>
      <c r="G57" s="151"/>
      <c r="H57" s="64">
        <v>0.23469999999999999</v>
      </c>
      <c r="I57" s="44">
        <f>(SUM(I46:I51))*$H$57</f>
        <v>74611.13</v>
      </c>
      <c r="J57" s="116"/>
      <c r="K57" s="44"/>
      <c r="L57" s="44">
        <f>(SUM(L46:L51))*$H$57</f>
        <v>75717.153749999998</v>
      </c>
      <c r="M57" s="116"/>
      <c r="N57" s="44"/>
      <c r="O57" s="44">
        <f>(SUM(O46:O51))*$H$57</f>
        <v>79503.011437499998</v>
      </c>
      <c r="P57" s="116"/>
      <c r="Q57" s="44"/>
      <c r="R57" s="44">
        <f>(SUM(R46:R51))*$H$57</f>
        <v>83478.162009374995</v>
      </c>
      <c r="S57" s="116"/>
      <c r="T57" s="44"/>
      <c r="U57" s="44">
        <f>(SUM(U46:U51))*$H$57</f>
        <v>87652.070109843757</v>
      </c>
      <c r="V57" s="116"/>
      <c r="W57" s="44"/>
      <c r="X57" s="44">
        <f>(SUM(X46:X51))*$H$57</f>
        <v>95224.809576290631</v>
      </c>
      <c r="Y57" s="44">
        <f>SUM(R57,O57,L57,I57,U57,X57)</f>
        <v>496186.33688300941</v>
      </c>
      <c r="Z57" s="63">
        <v>0</v>
      </c>
      <c r="AA57" s="44">
        <f t="shared" si="94"/>
        <v>496186.33688300941</v>
      </c>
    </row>
    <row r="58" spans="1:27">
      <c r="A58" s="599"/>
      <c r="B58" s="599"/>
      <c r="C58" s="599"/>
      <c r="D58" s="45"/>
      <c r="E58" s="120"/>
      <c r="I58" s="44"/>
      <c r="J58" s="120"/>
      <c r="K58" s="44"/>
      <c r="L58" s="44"/>
      <c r="M58" s="120"/>
      <c r="N58" s="44"/>
      <c r="O58" s="44"/>
      <c r="P58" s="120"/>
      <c r="Q58" s="44"/>
      <c r="R58" s="44"/>
      <c r="S58" s="120"/>
      <c r="T58" s="44"/>
      <c r="U58" s="44"/>
      <c r="V58" s="120"/>
      <c r="W58" s="44"/>
      <c r="X58" s="44"/>
      <c r="Y58" s="44"/>
      <c r="Z58" s="44"/>
      <c r="AA58" s="44"/>
    </row>
    <row r="59" spans="1:27" ht="12.9" thickBot="1">
      <c r="A59" s="600"/>
      <c r="B59" s="600"/>
      <c r="C59" s="600"/>
      <c r="D59" s="66" t="s">
        <v>145</v>
      </c>
      <c r="E59" s="121"/>
      <c r="F59" s="54"/>
      <c r="G59" s="66"/>
      <c r="H59" s="56"/>
      <c r="I59" s="57">
        <f>SUM(I56:I58)</f>
        <v>250993.38666666669</v>
      </c>
      <c r="J59" s="121"/>
      <c r="K59" s="57"/>
      <c r="L59" s="57">
        <f>SUM(L56:L58)</f>
        <v>327156.57974999998</v>
      </c>
      <c r="M59" s="121"/>
      <c r="N59" s="57"/>
      <c r="O59" s="57">
        <f>SUM(O56:O58)</f>
        <v>343514.40873750002</v>
      </c>
      <c r="P59" s="121"/>
      <c r="Q59" s="57"/>
      <c r="R59" s="57">
        <f>SUM(R56:R58)</f>
        <v>360690.12917437498</v>
      </c>
      <c r="S59" s="121"/>
      <c r="T59" s="57"/>
      <c r="U59" s="57">
        <f>SUM(U56:U58)</f>
        <v>378724.63563309371</v>
      </c>
      <c r="V59" s="121"/>
      <c r="W59" s="57"/>
      <c r="X59" s="57">
        <f>SUM(X56:X58)</f>
        <v>366091.8238713094</v>
      </c>
      <c r="Y59" s="57">
        <f>SUM(Y56:Y58)</f>
        <v>2027170.9638329449</v>
      </c>
      <c r="Z59" s="57">
        <f>SUM(Z56:Z58)</f>
        <v>0</v>
      </c>
      <c r="AA59" s="69">
        <f>SUM(AA56:AA58)</f>
        <v>2027170.9638329449</v>
      </c>
    </row>
    <row r="60" spans="1:27">
      <c r="A60" s="597"/>
      <c r="B60" s="597"/>
      <c r="C60" s="597"/>
      <c r="D60" s="81"/>
      <c r="E60" s="118"/>
      <c r="F60" s="81"/>
      <c r="G60" s="63"/>
      <c r="H60" s="63"/>
      <c r="I60" s="63"/>
      <c r="J60" s="118"/>
      <c r="K60" s="63"/>
      <c r="L60" s="63"/>
      <c r="M60" s="118"/>
      <c r="N60" s="63"/>
      <c r="O60" s="63"/>
      <c r="P60" s="118"/>
      <c r="Q60" s="63"/>
      <c r="R60" s="63"/>
      <c r="S60" s="118"/>
      <c r="T60" s="63"/>
      <c r="U60" s="63"/>
      <c r="V60" s="118"/>
      <c r="W60" s="63"/>
      <c r="X60" s="63"/>
      <c r="Y60" s="63"/>
      <c r="Z60" s="63"/>
      <c r="AA60" s="63"/>
    </row>
    <row r="61" spans="1:27">
      <c r="A61" s="598"/>
      <c r="B61" s="598"/>
      <c r="C61" s="598"/>
      <c r="D61" s="38" t="s">
        <v>31</v>
      </c>
      <c r="E61" s="119"/>
      <c r="F61" s="38"/>
      <c r="G61" s="38"/>
      <c r="H61" s="39"/>
      <c r="I61" s="40"/>
      <c r="J61" s="119"/>
      <c r="K61" s="40"/>
      <c r="L61" s="40"/>
      <c r="M61" s="119"/>
      <c r="N61" s="40"/>
      <c r="O61" s="40"/>
      <c r="P61" s="119"/>
      <c r="Q61" s="40"/>
      <c r="R61" s="40"/>
      <c r="S61" s="119"/>
      <c r="T61" s="40"/>
      <c r="U61" s="40"/>
      <c r="V61" s="119"/>
      <c r="W61" s="40"/>
      <c r="X61" s="40"/>
      <c r="Y61" s="40"/>
      <c r="Z61" s="40"/>
      <c r="AA61" s="40"/>
    </row>
    <row r="62" spans="1:27">
      <c r="A62" s="594"/>
      <c r="B62" s="594"/>
      <c r="C62" s="594"/>
      <c r="D62" s="74" t="s">
        <v>146</v>
      </c>
      <c r="E62" s="122"/>
      <c r="F62" s="83"/>
      <c r="G62" s="84"/>
      <c r="H62" s="80"/>
      <c r="I62" s="80"/>
      <c r="J62" s="122"/>
      <c r="K62" s="80"/>
      <c r="L62" s="80"/>
      <c r="M62" s="122"/>
      <c r="N62" s="80"/>
      <c r="O62" s="80"/>
      <c r="P62" s="122"/>
      <c r="Q62" s="80"/>
      <c r="R62" s="80"/>
      <c r="S62" s="122"/>
      <c r="T62" s="80"/>
      <c r="U62" s="80"/>
      <c r="V62" s="122"/>
      <c r="W62" s="80"/>
      <c r="X62" s="80"/>
      <c r="Y62" s="80"/>
      <c r="Z62" s="80"/>
      <c r="AA62" s="80"/>
    </row>
    <row r="63" spans="1:27">
      <c r="A63" s="8" t="s">
        <v>792</v>
      </c>
      <c r="B63" s="45">
        <v>86040</v>
      </c>
      <c r="C63" s="8" t="s">
        <v>788</v>
      </c>
      <c r="D63" s="8" t="s">
        <v>147</v>
      </c>
      <c r="F63" s="8" t="s">
        <v>148</v>
      </c>
      <c r="G63" s="44">
        <v>4</v>
      </c>
      <c r="H63" s="237">
        <v>800</v>
      </c>
      <c r="I63" s="44">
        <f>G63*H63</f>
        <v>3200</v>
      </c>
      <c r="J63" s="123"/>
      <c r="K63" s="44">
        <v>4</v>
      </c>
      <c r="L63" s="44">
        <f>H63*K63*$E$6</f>
        <v>3360</v>
      </c>
      <c r="M63" s="123"/>
      <c r="N63" s="44">
        <v>4</v>
      </c>
      <c r="O63" s="44">
        <f>H63*N63*$E$6*$E$6</f>
        <v>3528</v>
      </c>
      <c r="P63" s="123"/>
      <c r="Q63" s="44">
        <v>4</v>
      </c>
      <c r="R63" s="44">
        <f>H63*Q63*$E$6*$E$6*$E$6</f>
        <v>3704.4</v>
      </c>
      <c r="S63" s="123"/>
      <c r="T63" s="44">
        <v>4</v>
      </c>
      <c r="U63" s="44">
        <f>T63*H63*$E$6*$E$6*$E$6*$E$6</f>
        <v>3889.6200000000003</v>
      </c>
      <c r="V63" s="123"/>
      <c r="W63" s="44">
        <v>4</v>
      </c>
      <c r="X63" s="44">
        <f>W63*H63*$E$6*$E$6*$E$6*$E$6*$E$6</f>
        <v>4084.1010000000006</v>
      </c>
      <c r="Y63" s="44">
        <f>SUM(R63,O63,L63,I63,U63,X63)</f>
        <v>21766.120999999999</v>
      </c>
      <c r="Z63" s="44" t="s">
        <v>149</v>
      </c>
      <c r="AA63" s="44">
        <f>SUM(Y63:Z63)</f>
        <v>21766.120999999999</v>
      </c>
    </row>
    <row r="64" spans="1:27" ht="25.2">
      <c r="A64" s="8" t="s">
        <v>793</v>
      </c>
      <c r="B64" s="45" t="s">
        <v>794</v>
      </c>
      <c r="C64" s="8" t="s">
        <v>788</v>
      </c>
      <c r="D64" s="8" t="s">
        <v>150</v>
      </c>
      <c r="F64" s="8" t="s">
        <v>151</v>
      </c>
      <c r="G64" s="44">
        <f>G63*7</f>
        <v>28</v>
      </c>
      <c r="H64" s="237">
        <f xml:space="preserve"> 150 + (0.9*87)</f>
        <v>228.3</v>
      </c>
      <c r="I64" s="44">
        <f>G64*H64</f>
        <v>6392.4000000000005</v>
      </c>
      <c r="J64" s="123"/>
      <c r="K64" s="44">
        <f>K63*7</f>
        <v>28</v>
      </c>
      <c r="L64" s="44">
        <f>H64*K64*$E$6</f>
        <v>6712.02</v>
      </c>
      <c r="M64" s="123"/>
      <c r="N64" s="44">
        <f>N63*7</f>
        <v>28</v>
      </c>
      <c r="O64" s="44">
        <f t="shared" ref="O64:O66" si="95">H64*N64*$E$6*$E$6</f>
        <v>7047.621000000001</v>
      </c>
      <c r="P64" s="123"/>
      <c r="Q64" s="44">
        <f>Q63*7</f>
        <v>28</v>
      </c>
      <c r="R64" s="44">
        <f t="shared" ref="R64:R66" si="96">H64*Q64*$E$6*$E$6*$E$6</f>
        <v>7400.002050000001</v>
      </c>
      <c r="S64" s="123"/>
      <c r="T64" s="44">
        <f>T63*7</f>
        <v>28</v>
      </c>
      <c r="U64" s="44">
        <f t="shared" ref="U64:U66" si="97">T64*H64*$E$6*$E$6*$E$6*$E$6</f>
        <v>7770.0021525000011</v>
      </c>
      <c r="V64" s="123"/>
      <c r="W64" s="44">
        <f>W63*7</f>
        <v>28</v>
      </c>
      <c r="X64" s="44">
        <f>W64*H64*$E$6*$E$6*$E$6*$E$6*$E$6</f>
        <v>8158.5022601250012</v>
      </c>
      <c r="Y64" s="44">
        <f>SUM(R64,O64,L64,I64,U64,X64)</f>
        <v>43480.547462625007</v>
      </c>
      <c r="Z64" s="44" t="s">
        <v>149</v>
      </c>
      <c r="AA64" s="44">
        <f>SUM(Y64:Z64)</f>
        <v>43480.547462625007</v>
      </c>
    </row>
    <row r="65" spans="1:27">
      <c r="A65" s="8" t="s">
        <v>793</v>
      </c>
      <c r="B65" s="45">
        <v>86000</v>
      </c>
      <c r="C65" s="8" t="s">
        <v>788</v>
      </c>
      <c r="D65" s="8" t="s">
        <v>152</v>
      </c>
      <c r="F65" s="8" t="s">
        <v>148</v>
      </c>
      <c r="G65" s="44">
        <f>G63</f>
        <v>4</v>
      </c>
      <c r="H65" s="237">
        <f>120</f>
        <v>120</v>
      </c>
      <c r="I65" s="44">
        <f>G65*H65</f>
        <v>480</v>
      </c>
      <c r="J65" s="123"/>
      <c r="K65" s="44">
        <f>K63</f>
        <v>4</v>
      </c>
      <c r="L65" s="44">
        <f t="shared" ref="L65:L66" si="98">H65*K65*$E$6</f>
        <v>504</v>
      </c>
      <c r="M65" s="123"/>
      <c r="N65" s="44">
        <f>N63</f>
        <v>4</v>
      </c>
      <c r="O65" s="44">
        <f t="shared" si="95"/>
        <v>529.20000000000005</v>
      </c>
      <c r="P65" s="123"/>
      <c r="Q65" s="44">
        <f>Q63</f>
        <v>4</v>
      </c>
      <c r="R65" s="44">
        <f t="shared" si="96"/>
        <v>555.66000000000008</v>
      </c>
      <c r="S65" s="123"/>
      <c r="T65" s="44">
        <f>T63</f>
        <v>4</v>
      </c>
      <c r="U65" s="44">
        <f t="shared" si="97"/>
        <v>583.4430000000001</v>
      </c>
      <c r="V65" s="123"/>
      <c r="W65" s="44">
        <f>W63</f>
        <v>4</v>
      </c>
      <c r="X65" s="44">
        <f>W65*H65*$E$6*$E$6*$E$6*$E$6*$E$6</f>
        <v>612.61515000000009</v>
      </c>
      <c r="Y65" s="44">
        <f>SUM(R65,O65,L65,I65,U65,X65)</f>
        <v>3264.9181500000004</v>
      </c>
      <c r="Z65" s="44" t="s">
        <v>149</v>
      </c>
      <c r="AA65" s="44">
        <f>SUM(Y65:Z65)</f>
        <v>3264.9181500000004</v>
      </c>
    </row>
    <row r="66" spans="1:27">
      <c r="A66" s="8" t="s">
        <v>793</v>
      </c>
      <c r="B66" s="45">
        <v>86050</v>
      </c>
      <c r="C66" s="8" t="s">
        <v>788</v>
      </c>
      <c r="D66" s="8" t="s">
        <v>153</v>
      </c>
      <c r="F66" s="8" t="s">
        <v>148</v>
      </c>
      <c r="G66" s="44">
        <f>G63</f>
        <v>4</v>
      </c>
      <c r="H66" s="237">
        <v>100</v>
      </c>
      <c r="I66" s="44">
        <f>G66*H66</f>
        <v>400</v>
      </c>
      <c r="J66" s="123"/>
      <c r="K66" s="44">
        <f>K63</f>
        <v>4</v>
      </c>
      <c r="L66" s="44">
        <f t="shared" si="98"/>
        <v>420</v>
      </c>
      <c r="M66" s="123"/>
      <c r="N66" s="44">
        <f>N63</f>
        <v>4</v>
      </c>
      <c r="O66" s="44">
        <f t="shared" si="95"/>
        <v>441</v>
      </c>
      <c r="P66" s="123"/>
      <c r="Q66" s="44">
        <f>Q63</f>
        <v>4</v>
      </c>
      <c r="R66" s="44">
        <f t="shared" si="96"/>
        <v>463.05</v>
      </c>
      <c r="S66" s="123"/>
      <c r="T66" s="44">
        <f>T63</f>
        <v>4</v>
      </c>
      <c r="U66" s="44">
        <f t="shared" si="97"/>
        <v>486.20250000000004</v>
      </c>
      <c r="V66" s="123"/>
      <c r="W66" s="44">
        <f>W63</f>
        <v>4</v>
      </c>
      <c r="X66" s="44">
        <f>W66*H66*$E$6*$E$6*$E$6*$E$6*$E$6</f>
        <v>510.51262500000007</v>
      </c>
      <c r="Y66" s="44">
        <f>SUM(R66,O66,L66,I66,U66,X66)</f>
        <v>2720.7651249999999</v>
      </c>
      <c r="Z66" s="44" t="s">
        <v>149</v>
      </c>
      <c r="AA66" s="44">
        <f>SUM(Y66:Z66)</f>
        <v>2720.7651249999999</v>
      </c>
    </row>
    <row r="67" spans="1:27">
      <c r="A67" s="74"/>
      <c r="B67" s="87"/>
      <c r="C67" s="74"/>
      <c r="D67" s="74" t="s">
        <v>154</v>
      </c>
      <c r="E67" s="122"/>
      <c r="F67" s="83"/>
      <c r="G67" s="80"/>
      <c r="H67" s="238"/>
      <c r="I67" s="80"/>
      <c r="J67" s="122"/>
      <c r="K67" s="80"/>
      <c r="L67" s="80"/>
      <c r="M67" s="122"/>
      <c r="N67" s="80"/>
      <c r="O67" s="80"/>
      <c r="P67" s="122"/>
      <c r="Q67" s="80"/>
      <c r="R67" s="80"/>
      <c r="S67" s="122"/>
      <c r="T67" s="80"/>
      <c r="U67" s="80"/>
      <c r="V67" s="122"/>
      <c r="W67" s="80"/>
      <c r="X67" s="80"/>
      <c r="Y67" s="80"/>
      <c r="Z67" s="80"/>
      <c r="AA67" s="80"/>
    </row>
    <row r="68" spans="1:27">
      <c r="A68" s="8" t="s">
        <v>1257</v>
      </c>
      <c r="B68" s="45">
        <v>86040</v>
      </c>
      <c r="C68" s="8" t="s">
        <v>747</v>
      </c>
      <c r="D68" s="8" t="s">
        <v>155</v>
      </c>
      <c r="F68" s="8" t="s">
        <v>148</v>
      </c>
      <c r="G68" s="44">
        <v>2</v>
      </c>
      <c r="H68" s="237">
        <v>800</v>
      </c>
      <c r="I68" s="44">
        <f>G68*H68</f>
        <v>1600</v>
      </c>
      <c r="J68" s="123"/>
      <c r="K68" s="44">
        <v>2</v>
      </c>
      <c r="L68" s="44">
        <f>H68*K68*$E$6</f>
        <v>1680</v>
      </c>
      <c r="M68" s="123"/>
      <c r="N68" s="44">
        <v>2</v>
      </c>
      <c r="O68" s="44">
        <f>H68*N68*$E$6*$E$6</f>
        <v>1764</v>
      </c>
      <c r="P68" s="123"/>
      <c r="Q68" s="44">
        <v>2</v>
      </c>
      <c r="R68" s="44">
        <f>H68*Q68*$E$6*$E$6*$E$6</f>
        <v>1852.2</v>
      </c>
      <c r="S68" s="123"/>
      <c r="T68" s="44">
        <v>2</v>
      </c>
      <c r="U68" s="44">
        <f>T68*H68*$E$6*$E$6*$E$6*$E$6</f>
        <v>1944.8100000000002</v>
      </c>
      <c r="V68" s="123"/>
      <c r="W68" s="44">
        <v>2</v>
      </c>
      <c r="X68" s="44">
        <f>W68*H68*$E$6*$E$6*$E$6*$E$6*$E$6</f>
        <v>2042.0505000000003</v>
      </c>
      <c r="Y68" s="44">
        <f>SUM(R68,O68,L68,I68,U68,X68)</f>
        <v>10883.0605</v>
      </c>
      <c r="Z68" s="44" t="s">
        <v>149</v>
      </c>
      <c r="AA68" s="44">
        <f>SUM(Y68:Z68)</f>
        <v>10883.0605</v>
      </c>
    </row>
    <row r="69" spans="1:27" ht="25.2">
      <c r="A69" s="8" t="s">
        <v>1257</v>
      </c>
      <c r="B69" s="45" t="s">
        <v>794</v>
      </c>
      <c r="C69" s="8" t="s">
        <v>747</v>
      </c>
      <c r="D69" s="8" t="s">
        <v>156</v>
      </c>
      <c r="F69" s="8" t="s">
        <v>151</v>
      </c>
      <c r="G69" s="44">
        <f>7*G68</f>
        <v>14</v>
      </c>
      <c r="H69" s="237">
        <f xml:space="preserve"> 180 + (0.9*92)</f>
        <v>262.8</v>
      </c>
      <c r="I69" s="44">
        <f>G69*H69</f>
        <v>3679.2000000000003</v>
      </c>
      <c r="J69" s="123"/>
      <c r="K69" s="44">
        <f>7*K68</f>
        <v>14</v>
      </c>
      <c r="L69" s="44">
        <f t="shared" ref="L69:L71" si="99">H69*K69*$E$6</f>
        <v>3863.1600000000003</v>
      </c>
      <c r="M69" s="123"/>
      <c r="N69" s="44">
        <f>7*N68</f>
        <v>14</v>
      </c>
      <c r="O69" s="44">
        <f t="shared" ref="O69:O75" si="100">H69*N69*$E$6*$E$6</f>
        <v>4056.3180000000007</v>
      </c>
      <c r="P69" s="123"/>
      <c r="Q69" s="44">
        <f>7*Q68</f>
        <v>14</v>
      </c>
      <c r="R69" s="44">
        <f t="shared" ref="R69:R71" si="101">H69*Q69*$E$6*$E$6*$E$6</f>
        <v>4259.1339000000007</v>
      </c>
      <c r="S69" s="123"/>
      <c r="T69" s="44">
        <f>7*T68</f>
        <v>14</v>
      </c>
      <c r="U69" s="44">
        <f t="shared" ref="U69:U75" si="102">T69*H69*$E$6*$E$6*$E$6*$E$6</f>
        <v>4472.0905950000006</v>
      </c>
      <c r="V69" s="123"/>
      <c r="W69" s="44">
        <f>7*W68</f>
        <v>14</v>
      </c>
      <c r="X69" s="44">
        <f>W69*H69*$E$6*$E$6*$E$6*$E$6*$E$6</f>
        <v>4695.695124750001</v>
      </c>
      <c r="Y69" s="44">
        <f>SUM(R69,O69,L69,I69,U69,X69)</f>
        <v>25025.597619750002</v>
      </c>
      <c r="Z69" s="44" t="s">
        <v>149</v>
      </c>
      <c r="AA69" s="44">
        <f>SUM(Y69:Z69)</f>
        <v>25025.597619750002</v>
      </c>
    </row>
    <row r="70" spans="1:27">
      <c r="A70" s="8" t="s">
        <v>1257</v>
      </c>
      <c r="B70" s="45">
        <v>86000</v>
      </c>
      <c r="C70" s="8" t="s">
        <v>747</v>
      </c>
      <c r="D70" s="8" t="s">
        <v>157</v>
      </c>
      <c r="F70" s="8" t="s">
        <v>148</v>
      </c>
      <c r="G70" s="44">
        <f>G68</f>
        <v>2</v>
      </c>
      <c r="H70" s="237">
        <f>120</f>
        <v>120</v>
      </c>
      <c r="I70" s="44">
        <f>G70*H70</f>
        <v>240</v>
      </c>
      <c r="J70" s="123"/>
      <c r="K70" s="44">
        <f>K68</f>
        <v>2</v>
      </c>
      <c r="L70" s="44">
        <f t="shared" si="99"/>
        <v>252</v>
      </c>
      <c r="M70" s="123"/>
      <c r="N70" s="44">
        <f>N68</f>
        <v>2</v>
      </c>
      <c r="O70" s="44">
        <f t="shared" si="100"/>
        <v>264.60000000000002</v>
      </c>
      <c r="P70" s="123"/>
      <c r="Q70" s="44">
        <f>Q68</f>
        <v>2</v>
      </c>
      <c r="R70" s="44">
        <f t="shared" si="101"/>
        <v>277.83000000000004</v>
      </c>
      <c r="S70" s="123"/>
      <c r="T70" s="44">
        <f>T68</f>
        <v>2</v>
      </c>
      <c r="U70" s="44">
        <f t="shared" si="102"/>
        <v>291.72150000000005</v>
      </c>
      <c r="V70" s="123"/>
      <c r="W70" s="44">
        <f>W68</f>
        <v>2</v>
      </c>
      <c r="X70" s="44">
        <f>W70*H70*$E$6*$E$6*$E$6*$E$6*$E$6</f>
        <v>306.30757500000004</v>
      </c>
      <c r="Y70" s="44">
        <f>SUM(R70,O70,L70,I70,U70,X70)</f>
        <v>1632.4590750000002</v>
      </c>
      <c r="Z70" s="44" t="s">
        <v>149</v>
      </c>
      <c r="AA70" s="44">
        <f>SUM(Y70:Z70)</f>
        <v>1632.4590750000002</v>
      </c>
    </row>
    <row r="71" spans="1:27">
      <c r="A71" s="8" t="s">
        <v>1257</v>
      </c>
      <c r="B71" s="45">
        <v>86050</v>
      </c>
      <c r="C71" s="8" t="s">
        <v>747</v>
      </c>
      <c r="D71" s="8" t="s">
        <v>158</v>
      </c>
      <c r="F71" s="8" t="s">
        <v>148</v>
      </c>
      <c r="G71" s="44">
        <f>G68</f>
        <v>2</v>
      </c>
      <c r="H71" s="237">
        <v>100</v>
      </c>
      <c r="I71" s="44">
        <f>G71*H71</f>
        <v>200</v>
      </c>
      <c r="J71" s="123"/>
      <c r="K71" s="44">
        <f>K68</f>
        <v>2</v>
      </c>
      <c r="L71" s="44">
        <f t="shared" si="99"/>
        <v>210</v>
      </c>
      <c r="M71" s="123"/>
      <c r="N71" s="44">
        <f>N68</f>
        <v>2</v>
      </c>
      <c r="O71" s="44">
        <f t="shared" si="100"/>
        <v>220.5</v>
      </c>
      <c r="P71" s="123"/>
      <c r="Q71" s="44">
        <f>Q68</f>
        <v>2</v>
      </c>
      <c r="R71" s="44">
        <f t="shared" si="101"/>
        <v>231.52500000000001</v>
      </c>
      <c r="S71" s="123"/>
      <c r="T71" s="44">
        <f>T68</f>
        <v>2</v>
      </c>
      <c r="U71" s="44">
        <f t="shared" si="102"/>
        <v>243.10125000000002</v>
      </c>
      <c r="V71" s="123"/>
      <c r="W71" s="44">
        <f>W68</f>
        <v>2</v>
      </c>
      <c r="X71" s="44">
        <f>W71*H71*$E$6*$E$6*$E$6*$E$6*$E$6</f>
        <v>255.25631250000004</v>
      </c>
      <c r="Y71" s="44">
        <f>SUM(R71,O71,L71,I71,U71,X71)</f>
        <v>1360.3825624999999</v>
      </c>
      <c r="Z71" s="44" t="s">
        <v>149</v>
      </c>
      <c r="AA71" s="44">
        <f>SUM(Y71:Z71)</f>
        <v>1360.3825624999999</v>
      </c>
    </row>
    <row r="72" spans="1:27">
      <c r="A72" s="74"/>
      <c r="B72" s="87"/>
      <c r="C72" s="74"/>
      <c r="D72" s="74" t="s">
        <v>159</v>
      </c>
      <c r="E72" s="122"/>
      <c r="F72" s="83"/>
      <c r="G72" s="80"/>
      <c r="H72" s="80"/>
      <c r="I72" s="80"/>
      <c r="J72" s="122"/>
      <c r="K72" s="80"/>
      <c r="L72" s="80"/>
      <c r="M72" s="122"/>
      <c r="N72" s="80"/>
      <c r="O72" s="80"/>
      <c r="P72" s="122"/>
      <c r="Q72" s="80"/>
      <c r="R72" s="80"/>
      <c r="S72" s="122"/>
      <c r="T72" s="80"/>
      <c r="U72" s="80"/>
      <c r="V72" s="122"/>
      <c r="W72" s="80"/>
      <c r="X72" s="80"/>
      <c r="Y72" s="80"/>
      <c r="Z72" s="80"/>
      <c r="AA72" s="80"/>
    </row>
    <row r="73" spans="1:27">
      <c r="A73" s="8" t="s">
        <v>1258</v>
      </c>
      <c r="B73" s="45">
        <v>86000</v>
      </c>
      <c r="C73" s="8" t="s">
        <v>747</v>
      </c>
      <c r="D73" s="240" t="s">
        <v>160</v>
      </c>
      <c r="E73" s="120"/>
      <c r="F73" s="8" t="s">
        <v>100</v>
      </c>
      <c r="G73" s="44">
        <v>3</v>
      </c>
      <c r="H73" s="237">
        <v>120</v>
      </c>
      <c r="I73" s="44">
        <f>G73*H73</f>
        <v>360</v>
      </c>
      <c r="J73" s="120"/>
      <c r="K73" s="44">
        <v>12</v>
      </c>
      <c r="L73" s="44">
        <f>H73*K73*$E$6</f>
        <v>1512</v>
      </c>
      <c r="M73" s="120"/>
      <c r="N73" s="44">
        <v>12</v>
      </c>
      <c r="O73" s="44">
        <f t="shared" si="100"/>
        <v>1587.6000000000001</v>
      </c>
      <c r="P73" s="120"/>
      <c r="Q73" s="44">
        <v>12</v>
      </c>
      <c r="R73" s="44">
        <f>H73*Q73*$E$6*$E$6*$E$6</f>
        <v>1666.9800000000002</v>
      </c>
      <c r="S73" s="120"/>
      <c r="T73" s="44">
        <v>12</v>
      </c>
      <c r="U73" s="44">
        <f t="shared" si="102"/>
        <v>1750.3290000000004</v>
      </c>
      <c r="V73" s="120"/>
      <c r="W73" s="44">
        <v>7</v>
      </c>
      <c r="X73" s="44">
        <f>W73*H73*$E$6*$E$6*$E$6*$E$6*$E$6</f>
        <v>1072.0765125000003</v>
      </c>
      <c r="Y73" s="44">
        <f>SUM(R73,O73,L73,I73,U73,X73)</f>
        <v>7948.9855125000013</v>
      </c>
      <c r="Z73" s="44" t="s">
        <v>149</v>
      </c>
      <c r="AA73" s="44">
        <f>SUM(Y73:Z73)</f>
        <v>7948.9855125000013</v>
      </c>
    </row>
    <row r="74" spans="1:27">
      <c r="A74" s="8" t="s">
        <v>1258</v>
      </c>
      <c r="B74" s="45">
        <v>86000</v>
      </c>
      <c r="C74" s="8" t="s">
        <v>747</v>
      </c>
      <c r="D74" s="240" t="s">
        <v>161</v>
      </c>
      <c r="F74" s="8" t="s">
        <v>148</v>
      </c>
      <c r="G74" s="44">
        <f>12*3</f>
        <v>36</v>
      </c>
      <c r="H74" s="44">
        <v>55</v>
      </c>
      <c r="I74" s="44">
        <f>G74*H74</f>
        <v>1980</v>
      </c>
      <c r="J74" s="123"/>
      <c r="K74" s="44">
        <f>12*3</f>
        <v>36</v>
      </c>
      <c r="L74" s="44">
        <f t="shared" ref="L74" si="103">H74*K74*$E$6</f>
        <v>2079</v>
      </c>
      <c r="M74" s="123"/>
      <c r="N74" s="44">
        <f>12*3</f>
        <v>36</v>
      </c>
      <c r="O74" s="44">
        <f t="shared" si="100"/>
        <v>2182.9500000000003</v>
      </c>
      <c r="P74" s="123"/>
      <c r="Q74" s="44">
        <f>12*3</f>
        <v>36</v>
      </c>
      <c r="R74" s="44">
        <f t="shared" ref="R74:R75" si="104">H74*Q74*$E$6*$E$6*$E$6</f>
        <v>2292.0975000000003</v>
      </c>
      <c r="S74" s="123"/>
      <c r="T74" s="44">
        <f>12*3</f>
        <v>36</v>
      </c>
      <c r="U74" s="44">
        <f t="shared" si="102"/>
        <v>2406.7023750000003</v>
      </c>
      <c r="V74" s="123"/>
      <c r="W74" s="44">
        <f>12*3</f>
        <v>36</v>
      </c>
      <c r="X74" s="44">
        <f>W74*H74*$E$6*$E$6*$E$6*$E$6*$E$6</f>
        <v>2527.0374937500005</v>
      </c>
      <c r="Y74" s="44">
        <f>SUM(R74,O74,L74,I74,U74,X74)</f>
        <v>13467.787368750001</v>
      </c>
      <c r="Z74" s="44" t="s">
        <v>149</v>
      </c>
      <c r="AA74" s="44">
        <f>SUM(Y74:Z74)</f>
        <v>13467.787368750001</v>
      </c>
    </row>
    <row r="75" spans="1:27" ht="25.2">
      <c r="A75" s="8" t="s">
        <v>1258</v>
      </c>
      <c r="B75" s="45" t="s">
        <v>794</v>
      </c>
      <c r="C75" s="8" t="s">
        <v>747</v>
      </c>
      <c r="D75" s="240" t="s">
        <v>162</v>
      </c>
      <c r="F75" s="8" t="s">
        <v>151</v>
      </c>
      <c r="G75" s="44">
        <f>4*G74</f>
        <v>144</v>
      </c>
      <c r="H75" s="44">
        <f xml:space="preserve"> 70 + (0.5*80)</f>
        <v>110</v>
      </c>
      <c r="I75" s="44">
        <f>G75*H75</f>
        <v>15840</v>
      </c>
      <c r="J75" s="123"/>
      <c r="K75" s="44">
        <f>4*K74</f>
        <v>144</v>
      </c>
      <c r="L75" s="44">
        <f>H75*K75*$E$6</f>
        <v>16632</v>
      </c>
      <c r="M75" s="123"/>
      <c r="N75" s="44">
        <f>4*N74</f>
        <v>144</v>
      </c>
      <c r="O75" s="44">
        <f t="shared" si="100"/>
        <v>17463.600000000002</v>
      </c>
      <c r="P75" s="123"/>
      <c r="Q75" s="44">
        <f>4*Q74</f>
        <v>144</v>
      </c>
      <c r="R75" s="44">
        <f t="shared" si="104"/>
        <v>18336.780000000002</v>
      </c>
      <c r="S75" s="123"/>
      <c r="T75" s="44">
        <f>4*T74</f>
        <v>144</v>
      </c>
      <c r="U75" s="44">
        <f t="shared" si="102"/>
        <v>19253.619000000002</v>
      </c>
      <c r="V75" s="123"/>
      <c r="W75" s="44">
        <f>4*W74</f>
        <v>144</v>
      </c>
      <c r="X75" s="44">
        <f>W75*H75*$E$6*$E$6*$E$6*$E$6*$E$6</f>
        <v>20216.299950000004</v>
      </c>
      <c r="Y75" s="44">
        <f>SUM(R75,O75,L75,I75,U75,X75)</f>
        <v>107742.29895000001</v>
      </c>
      <c r="Z75" s="44" t="s">
        <v>149</v>
      </c>
      <c r="AA75" s="44">
        <f>SUM(Y75:Z75)</f>
        <v>107742.29895000001</v>
      </c>
    </row>
    <row r="76" spans="1:27">
      <c r="A76" s="601"/>
      <c r="B76" s="601"/>
      <c r="C76" s="601"/>
      <c r="D76" s="242" t="s">
        <v>163</v>
      </c>
      <c r="E76" s="122"/>
      <c r="F76" s="83"/>
      <c r="G76" s="80"/>
      <c r="H76" s="80"/>
      <c r="I76" s="80"/>
      <c r="J76" s="122"/>
      <c r="K76" s="80"/>
      <c r="L76" s="80"/>
      <c r="M76" s="122"/>
      <c r="N76" s="80"/>
      <c r="O76" s="80"/>
      <c r="P76" s="122"/>
      <c r="Q76" s="80"/>
      <c r="R76" s="80"/>
      <c r="S76" s="122"/>
      <c r="T76" s="80"/>
      <c r="U76" s="80"/>
      <c r="V76" s="122"/>
      <c r="W76" s="80"/>
      <c r="X76" s="80"/>
      <c r="Y76" s="80"/>
      <c r="Z76" s="80"/>
      <c r="AA76" s="80"/>
    </row>
    <row r="77" spans="1:27">
      <c r="A77" s="8" t="s">
        <v>1259</v>
      </c>
      <c r="B77" s="45">
        <v>86000</v>
      </c>
      <c r="C77" s="8" t="s">
        <v>747</v>
      </c>
      <c r="D77" s="240" t="s">
        <v>160</v>
      </c>
      <c r="E77" s="120"/>
      <c r="F77" s="8" t="s">
        <v>100</v>
      </c>
      <c r="G77" s="44">
        <v>3</v>
      </c>
      <c r="H77" s="237">
        <v>120</v>
      </c>
      <c r="I77" s="44">
        <f>G77*H77</f>
        <v>360</v>
      </c>
      <c r="J77" s="120"/>
      <c r="K77" s="44">
        <v>12</v>
      </c>
      <c r="L77" s="44">
        <f>H77*K77*$E$6</f>
        <v>1512</v>
      </c>
      <c r="M77" s="120"/>
      <c r="N77" s="44">
        <v>12</v>
      </c>
      <c r="O77" s="44">
        <f t="shared" ref="O77:O79" si="105">H77*N77*$E$6*$E$6</f>
        <v>1587.6000000000001</v>
      </c>
      <c r="P77" s="120"/>
      <c r="Q77" s="44">
        <v>12</v>
      </c>
      <c r="R77" s="44">
        <f>H77*Q77*$E$6*$E$6*$E$6</f>
        <v>1666.9800000000002</v>
      </c>
      <c r="S77" s="120"/>
      <c r="T77" s="44">
        <v>12</v>
      </c>
      <c r="U77" s="44">
        <f t="shared" ref="U77:U79" si="106">T77*H77*$E$6*$E$6*$E$6*$E$6</f>
        <v>1750.3290000000004</v>
      </c>
      <c r="V77" s="120"/>
      <c r="W77" s="44">
        <v>9</v>
      </c>
      <c r="X77" s="44">
        <f>W77*H77*$E$6*$E$6*$E$6*$E$6*$E$6</f>
        <v>1378.3840875000003</v>
      </c>
      <c r="Y77" s="44">
        <f>SUM(R77,O77,L77,I77,U77,X77)</f>
        <v>8255.2930875000002</v>
      </c>
      <c r="Z77" s="44" t="s">
        <v>149</v>
      </c>
      <c r="AA77" s="44">
        <f>SUM(Y77:Z77)</f>
        <v>8255.2930875000002</v>
      </c>
    </row>
    <row r="78" spans="1:27">
      <c r="A78" s="8" t="s">
        <v>1259</v>
      </c>
      <c r="B78" s="45">
        <v>86000</v>
      </c>
      <c r="C78" s="8" t="s">
        <v>747</v>
      </c>
      <c r="D78" s="8" t="s">
        <v>161</v>
      </c>
      <c r="F78" s="8" t="s">
        <v>148</v>
      </c>
      <c r="G78" s="44">
        <f>12*3</f>
        <v>36</v>
      </c>
      <c r="H78" s="44">
        <v>35</v>
      </c>
      <c r="I78" s="44">
        <f>G78*H78</f>
        <v>1260</v>
      </c>
      <c r="J78" s="123"/>
      <c r="K78" s="44">
        <f>12*3</f>
        <v>36</v>
      </c>
      <c r="L78" s="44">
        <f t="shared" ref="L78:L79" si="107">H78*K78*$E$6</f>
        <v>1323</v>
      </c>
      <c r="M78" s="123"/>
      <c r="N78" s="44">
        <f>12*3</f>
        <v>36</v>
      </c>
      <c r="O78" s="44">
        <f t="shared" si="105"/>
        <v>1389.15</v>
      </c>
      <c r="P78" s="123"/>
      <c r="Q78" s="44">
        <f>12*3</f>
        <v>36</v>
      </c>
      <c r="R78" s="44">
        <f t="shared" ref="R78:R79" si="108">H78*Q78*$E$6*$E$6*$E$6</f>
        <v>1458.6075000000001</v>
      </c>
      <c r="S78" s="123"/>
      <c r="T78" s="44">
        <f>12*3</f>
        <v>36</v>
      </c>
      <c r="U78" s="44">
        <f t="shared" si="106"/>
        <v>1531.5378750000002</v>
      </c>
      <c r="V78" s="123"/>
      <c r="W78" s="44">
        <f>12*3</f>
        <v>36</v>
      </c>
      <c r="X78" s="44">
        <f>W78*H78*$E$6*$E$6*$E$6*$E$6*$E$6</f>
        <v>1608.1147687500004</v>
      </c>
      <c r="Y78" s="44">
        <f>SUM(R78,O78,L78,I78,U78,X78)</f>
        <v>8570.4101437499994</v>
      </c>
      <c r="Z78" s="44" t="s">
        <v>149</v>
      </c>
      <c r="AA78" s="44">
        <f>SUM(Y78:Z78)</f>
        <v>8570.4101437499994</v>
      </c>
    </row>
    <row r="79" spans="1:27" ht="25.2">
      <c r="A79" s="8" t="s">
        <v>1259</v>
      </c>
      <c r="B79" s="45" t="s">
        <v>794</v>
      </c>
      <c r="C79" s="8" t="s">
        <v>747</v>
      </c>
      <c r="D79" s="8" t="s">
        <v>162</v>
      </c>
      <c r="F79" s="8" t="s">
        <v>151</v>
      </c>
      <c r="G79" s="44">
        <f>4*G78</f>
        <v>144</v>
      </c>
      <c r="H79" s="44">
        <f xml:space="preserve"> 75 +  + (0.5*80)</f>
        <v>115</v>
      </c>
      <c r="I79" s="44">
        <f>G79*H79</f>
        <v>16560</v>
      </c>
      <c r="J79" s="123"/>
      <c r="K79" s="44">
        <f>4*K78</f>
        <v>144</v>
      </c>
      <c r="L79" s="44">
        <f t="shared" si="107"/>
        <v>17388</v>
      </c>
      <c r="M79" s="123"/>
      <c r="N79" s="44">
        <f>4*N78</f>
        <v>144</v>
      </c>
      <c r="O79" s="44">
        <f t="shared" si="105"/>
        <v>18257.400000000001</v>
      </c>
      <c r="P79" s="123"/>
      <c r="Q79" s="44">
        <f>4*Q78</f>
        <v>144</v>
      </c>
      <c r="R79" s="44">
        <f t="shared" si="108"/>
        <v>19170.270000000004</v>
      </c>
      <c r="S79" s="123"/>
      <c r="T79" s="44">
        <f>4*T78</f>
        <v>144</v>
      </c>
      <c r="U79" s="44">
        <f t="shared" si="106"/>
        <v>20128.783500000005</v>
      </c>
      <c r="V79" s="123"/>
      <c r="W79" s="44">
        <f>4*W78</f>
        <v>144</v>
      </c>
      <c r="X79" s="44">
        <f>W79*H79*$E$6*$E$6*$E$6*$E$6*$E$6</f>
        <v>21135.222675000005</v>
      </c>
      <c r="Y79" s="44">
        <f>SUM(R79,O79,L79,I79,U79,X79)</f>
        <v>112639.67617500003</v>
      </c>
      <c r="Z79" s="44" t="s">
        <v>149</v>
      </c>
      <c r="AA79" s="44">
        <f>SUM(Y79:Z79)</f>
        <v>112639.67617500003</v>
      </c>
    </row>
    <row r="80" spans="1:27" ht="12.9" thickBot="1">
      <c r="A80" s="596"/>
      <c r="B80" s="596"/>
      <c r="C80" s="596"/>
      <c r="D80" s="54" t="s">
        <v>164</v>
      </c>
      <c r="E80" s="121"/>
      <c r="F80" s="55"/>
      <c r="G80" s="55"/>
      <c r="H80" s="56"/>
      <c r="I80" s="57">
        <f>SUM(I62:I79)</f>
        <v>52551.600000000006</v>
      </c>
      <c r="J80" s="121"/>
      <c r="K80" s="57"/>
      <c r="L80" s="57">
        <f>SUM(L62:L79)</f>
        <v>57447.18</v>
      </c>
      <c r="M80" s="121"/>
      <c r="N80" s="57"/>
      <c r="O80" s="57">
        <f>SUM(O62:O79)</f>
        <v>60319.539000000004</v>
      </c>
      <c r="P80" s="121"/>
      <c r="Q80" s="57"/>
      <c r="R80" s="57">
        <f>SUM(R62:R79)</f>
        <v>63335.515950000008</v>
      </c>
      <c r="S80" s="121"/>
      <c r="T80" s="57"/>
      <c r="U80" s="57">
        <f>SUM(U62:U79)</f>
        <v>66502.291747500014</v>
      </c>
      <c r="V80" s="121"/>
      <c r="W80" s="57"/>
      <c r="X80" s="57">
        <f>SUM(X62:X79)</f>
        <v>68602.17603487501</v>
      </c>
      <c r="Y80" s="57">
        <f>SUM(Y62:Y79)</f>
        <v>368758.30273237504</v>
      </c>
      <c r="Z80" s="57">
        <f>SUM(Z62:Z79)</f>
        <v>0</v>
      </c>
      <c r="AA80" s="69">
        <f>SUM(AA62:AA79)</f>
        <v>368758.30273237504</v>
      </c>
    </row>
    <row r="81" spans="1:27">
      <c r="A81" s="597"/>
      <c r="B81" s="597"/>
      <c r="C81" s="597"/>
      <c r="D81" s="81"/>
      <c r="E81" s="118"/>
      <c r="F81" s="81"/>
      <c r="G81" s="63"/>
      <c r="H81" s="63"/>
      <c r="I81" s="63"/>
      <c r="J81" s="118"/>
      <c r="K81" s="63"/>
      <c r="L81" s="63"/>
      <c r="M81" s="118"/>
      <c r="N81" s="63"/>
      <c r="O81" s="63"/>
      <c r="P81" s="118"/>
      <c r="Q81" s="63"/>
      <c r="R81" s="63"/>
      <c r="S81" s="118"/>
      <c r="T81" s="63"/>
      <c r="U81" s="63"/>
      <c r="V81" s="118"/>
      <c r="W81" s="63"/>
      <c r="X81" s="63"/>
      <c r="Y81" s="63"/>
      <c r="Z81" s="63"/>
      <c r="AA81" s="63"/>
    </row>
    <row r="82" spans="1:27">
      <c r="A82" s="598"/>
      <c r="B82" s="598"/>
      <c r="C82" s="598"/>
      <c r="D82" s="38" t="s">
        <v>32</v>
      </c>
      <c r="E82" s="119"/>
      <c r="F82" s="38"/>
      <c r="G82" s="38"/>
      <c r="H82" s="39"/>
      <c r="I82" s="40"/>
      <c r="J82" s="119"/>
      <c r="K82" s="40"/>
      <c r="L82" s="40"/>
      <c r="M82" s="119"/>
      <c r="N82" s="40"/>
      <c r="O82" s="40"/>
      <c r="P82" s="119"/>
      <c r="Q82" s="40"/>
      <c r="R82" s="40"/>
      <c r="S82" s="119"/>
      <c r="T82" s="40"/>
      <c r="U82" s="40"/>
      <c r="V82" s="119"/>
      <c r="W82" s="40"/>
      <c r="X82" s="40"/>
      <c r="Y82" s="40"/>
      <c r="Z82" s="40"/>
      <c r="AA82" s="40"/>
    </row>
    <row r="83" spans="1:27">
      <c r="A83" s="591" t="s">
        <v>797</v>
      </c>
      <c r="B83" s="591" t="s">
        <v>798</v>
      </c>
      <c r="C83" s="8" t="s">
        <v>747</v>
      </c>
      <c r="D83" s="8" t="s">
        <v>165</v>
      </c>
      <c r="E83" s="120"/>
      <c r="F83" s="49" t="s">
        <v>166</v>
      </c>
      <c r="G83" s="44">
        <v>1</v>
      </c>
      <c r="H83" s="44">
        <v>5000</v>
      </c>
      <c r="I83" s="44">
        <f t="shared" ref="I83:I86" si="109">G83*H83</f>
        <v>5000</v>
      </c>
      <c r="J83" s="120"/>
      <c r="K83" s="44">
        <v>1</v>
      </c>
      <c r="L83" s="44">
        <f t="shared" ref="L83:L84" si="110">K83*H83</f>
        <v>5000</v>
      </c>
      <c r="M83" s="120"/>
      <c r="N83" s="44">
        <v>1</v>
      </c>
      <c r="O83" s="44">
        <f t="shared" ref="O83:O84" si="111">N83*H83</f>
        <v>5000</v>
      </c>
      <c r="P83" s="120"/>
      <c r="Q83" s="44">
        <v>1</v>
      </c>
      <c r="R83" s="44">
        <f t="shared" ref="R83:R84" si="112">Q83*H83</f>
        <v>5000</v>
      </c>
      <c r="S83" s="120"/>
      <c r="T83" s="44">
        <v>1</v>
      </c>
      <c r="U83" s="44">
        <f>T83*H83</f>
        <v>5000</v>
      </c>
      <c r="V83" s="120"/>
      <c r="W83" s="44">
        <v>1</v>
      </c>
      <c r="X83" s="44">
        <f t="shared" ref="X83:X86" si="113">W83*H83</f>
        <v>5000</v>
      </c>
      <c r="Y83" s="44">
        <f t="shared" ref="Y83:Y86" si="114">SUM(R83,O83,L83,I83,U83,X83)</f>
        <v>30000</v>
      </c>
      <c r="Z83" s="44">
        <v>0</v>
      </c>
      <c r="AA83" s="575">
        <f t="shared" ref="AA83" si="115">Y83+Z83</f>
        <v>30000</v>
      </c>
    </row>
    <row r="84" spans="1:27">
      <c r="A84" s="591" t="s">
        <v>796</v>
      </c>
      <c r="B84" s="591">
        <v>81010</v>
      </c>
      <c r="C84" s="8" t="s">
        <v>747</v>
      </c>
      <c r="D84" s="8" t="s">
        <v>167</v>
      </c>
      <c r="E84" s="120"/>
      <c r="F84" s="49" t="s">
        <v>166</v>
      </c>
      <c r="G84" s="44">
        <v>1</v>
      </c>
      <c r="H84" s="44">
        <v>7000</v>
      </c>
      <c r="I84" s="44">
        <f t="shared" si="109"/>
        <v>7000</v>
      </c>
      <c r="J84" s="120"/>
      <c r="K84" s="44">
        <v>1</v>
      </c>
      <c r="L84" s="44">
        <f t="shared" si="110"/>
        <v>7000</v>
      </c>
      <c r="M84" s="120"/>
      <c r="N84" s="44">
        <v>1</v>
      </c>
      <c r="O84" s="44">
        <f t="shared" si="111"/>
        <v>7000</v>
      </c>
      <c r="P84" s="120"/>
      <c r="Q84" s="44">
        <v>1</v>
      </c>
      <c r="R84" s="44">
        <f t="shared" si="112"/>
        <v>7000</v>
      </c>
      <c r="S84" s="120"/>
      <c r="T84" s="44">
        <v>1</v>
      </c>
      <c r="U84" s="44">
        <f>T84*H84</f>
        <v>7000</v>
      </c>
      <c r="V84" s="120"/>
      <c r="W84" s="44">
        <v>1</v>
      </c>
      <c r="X84" s="44">
        <f t="shared" si="113"/>
        <v>7000</v>
      </c>
      <c r="Y84" s="44">
        <f t="shared" si="114"/>
        <v>42000</v>
      </c>
      <c r="Z84" s="44">
        <v>0</v>
      </c>
      <c r="AA84" s="575">
        <f>Y84+Z84</f>
        <v>42000</v>
      </c>
    </row>
    <row r="85" spans="1:27">
      <c r="A85" s="6" t="s">
        <v>799</v>
      </c>
      <c r="B85" s="45">
        <v>86110</v>
      </c>
      <c r="C85" s="8" t="s">
        <v>747</v>
      </c>
      <c r="D85" s="8" t="s">
        <v>168</v>
      </c>
      <c r="E85" s="120"/>
      <c r="F85" s="49" t="s">
        <v>166</v>
      </c>
      <c r="G85" s="44">
        <v>1</v>
      </c>
      <c r="H85" s="44">
        <v>20000</v>
      </c>
      <c r="I85" s="44">
        <f t="shared" si="109"/>
        <v>20000</v>
      </c>
      <c r="J85" s="120"/>
      <c r="K85" s="44">
        <v>1</v>
      </c>
      <c r="L85" s="44">
        <f t="shared" ref="L85" si="116">K85*H85</f>
        <v>20000</v>
      </c>
      <c r="M85" s="120"/>
      <c r="N85" s="44">
        <v>1</v>
      </c>
      <c r="O85" s="44">
        <f t="shared" ref="O85" si="117">N85*H85</f>
        <v>20000</v>
      </c>
      <c r="P85" s="120"/>
      <c r="Q85" s="44">
        <v>1</v>
      </c>
      <c r="R85" s="44">
        <f t="shared" ref="R85" si="118">Q85*H85</f>
        <v>20000</v>
      </c>
      <c r="S85" s="120"/>
      <c r="T85" s="44">
        <v>1</v>
      </c>
      <c r="U85" s="44">
        <f>T85*H85</f>
        <v>20000</v>
      </c>
      <c r="V85" s="120"/>
      <c r="W85" s="44">
        <v>1</v>
      </c>
      <c r="X85" s="44">
        <f t="shared" si="113"/>
        <v>20000</v>
      </c>
      <c r="Y85" s="44">
        <f t="shared" si="114"/>
        <v>120000</v>
      </c>
      <c r="Z85" s="44">
        <v>0</v>
      </c>
      <c r="AA85" s="575">
        <f>Y85+Z85</f>
        <v>120000</v>
      </c>
    </row>
    <row r="86" spans="1:27">
      <c r="A86" s="6" t="s">
        <v>800</v>
      </c>
      <c r="B86" s="45">
        <v>81000</v>
      </c>
      <c r="C86" s="8" t="s">
        <v>747</v>
      </c>
      <c r="D86" s="8" t="s">
        <v>169</v>
      </c>
      <c r="E86" s="120"/>
      <c r="F86" s="49" t="s">
        <v>151</v>
      </c>
      <c r="G86" s="44">
        <v>108</v>
      </c>
      <c r="H86" s="44">
        <v>600</v>
      </c>
      <c r="I86" s="44">
        <f t="shared" si="109"/>
        <v>64800</v>
      </c>
      <c r="J86" s="120"/>
      <c r="K86" s="44">
        <v>0</v>
      </c>
      <c r="L86" s="44">
        <f t="shared" ref="L86" si="119">K86*H86</f>
        <v>0</v>
      </c>
      <c r="M86" s="120"/>
      <c r="N86" s="44">
        <v>0</v>
      </c>
      <c r="O86" s="44">
        <f t="shared" ref="O86" si="120">N86*H86</f>
        <v>0</v>
      </c>
      <c r="P86" s="120"/>
      <c r="Q86" s="44">
        <v>0</v>
      </c>
      <c r="R86" s="44">
        <f t="shared" ref="R86" si="121">Q86*H86</f>
        <v>0</v>
      </c>
      <c r="S86" s="120"/>
      <c r="T86" s="44">
        <v>0</v>
      </c>
      <c r="U86" s="44">
        <f t="shared" ref="U86" si="122">T86*H86</f>
        <v>0</v>
      </c>
      <c r="V86" s="120"/>
      <c r="W86" s="44">
        <v>0</v>
      </c>
      <c r="X86" s="44">
        <f t="shared" si="113"/>
        <v>0</v>
      </c>
      <c r="Y86" s="44">
        <f t="shared" si="114"/>
        <v>64800</v>
      </c>
      <c r="Z86" s="44">
        <v>0</v>
      </c>
      <c r="AA86" s="575">
        <f>Y86+Z86</f>
        <v>64800</v>
      </c>
    </row>
    <row r="87" spans="1:27">
      <c r="A87" s="602" t="s">
        <v>801</v>
      </c>
      <c r="B87" s="602" t="s">
        <v>802</v>
      </c>
      <c r="C87" s="8" t="s">
        <v>747</v>
      </c>
      <c r="D87" s="574" t="s">
        <v>170</v>
      </c>
      <c r="E87" s="120"/>
      <c r="F87" s="50" t="s">
        <v>151</v>
      </c>
      <c r="G87" s="44">
        <v>75</v>
      </c>
      <c r="H87" s="44">
        <v>400</v>
      </c>
      <c r="I87" s="44">
        <f>H87*G87</f>
        <v>30000</v>
      </c>
      <c r="J87" s="120"/>
      <c r="K87" s="44">
        <v>0</v>
      </c>
      <c r="L87" s="44">
        <f>K87*H87</f>
        <v>0</v>
      </c>
      <c r="M87" s="120"/>
      <c r="N87" s="44">
        <v>0</v>
      </c>
      <c r="O87" s="44">
        <f>N87*H87</f>
        <v>0</v>
      </c>
      <c r="P87" s="120"/>
      <c r="Q87" s="44">
        <v>0</v>
      </c>
      <c r="R87" s="44">
        <f>Q87*H87</f>
        <v>0</v>
      </c>
      <c r="S87" s="120"/>
      <c r="T87" s="44">
        <v>0</v>
      </c>
      <c r="U87" s="44">
        <f>T87*H87</f>
        <v>0</v>
      </c>
      <c r="V87" s="120"/>
      <c r="W87" s="44">
        <v>0</v>
      </c>
      <c r="X87" s="44">
        <f>W87*H87</f>
        <v>0</v>
      </c>
      <c r="Y87" s="44">
        <f>SUM(R87,O87,L87,I87,U87,X87)</f>
        <v>30000</v>
      </c>
      <c r="Z87" s="44">
        <v>0</v>
      </c>
      <c r="AA87" s="575">
        <f t="shared" ref="AA87" si="123">Y87+Z87</f>
        <v>30000</v>
      </c>
    </row>
    <row r="88" spans="1:27">
      <c r="A88" s="603"/>
      <c r="B88" s="603"/>
      <c r="C88" s="603"/>
      <c r="D88" s="87" t="s">
        <v>171</v>
      </c>
      <c r="E88" s="122"/>
      <c r="F88" s="83"/>
      <c r="G88" s="83"/>
      <c r="H88" s="84"/>
      <c r="I88" s="88"/>
      <c r="J88" s="122"/>
      <c r="K88" s="88"/>
      <c r="L88" s="88"/>
      <c r="M88" s="122"/>
      <c r="N88" s="88"/>
      <c r="O88" s="88"/>
      <c r="P88" s="122"/>
      <c r="Q88" s="88"/>
      <c r="R88" s="88"/>
      <c r="S88" s="122"/>
      <c r="T88" s="88"/>
      <c r="U88" s="88"/>
      <c r="V88" s="122"/>
      <c r="W88" s="88"/>
      <c r="X88" s="88"/>
      <c r="Y88" s="80"/>
      <c r="Z88" s="80"/>
      <c r="AA88" s="570"/>
    </row>
    <row r="89" spans="1:27">
      <c r="A89" s="6" t="s">
        <v>803</v>
      </c>
      <c r="B89" s="9">
        <v>81010</v>
      </c>
      <c r="C89" s="8" t="s">
        <v>747</v>
      </c>
      <c r="D89" s="8" t="s">
        <v>172</v>
      </c>
      <c r="E89" s="120"/>
      <c r="F89" s="50" t="s">
        <v>173</v>
      </c>
      <c r="G89" s="44">
        <v>1</v>
      </c>
      <c r="H89" s="44">
        <v>150000</v>
      </c>
      <c r="I89" s="44">
        <f>G89*H89</f>
        <v>150000</v>
      </c>
      <c r="J89" s="120"/>
      <c r="K89" s="44">
        <v>0</v>
      </c>
      <c r="L89" s="44">
        <f>K89*H89</f>
        <v>0</v>
      </c>
      <c r="M89" s="120"/>
      <c r="N89" s="44">
        <v>0</v>
      </c>
      <c r="O89" s="44">
        <f>N89*H89</f>
        <v>0</v>
      </c>
      <c r="P89" s="120"/>
      <c r="Q89" s="44">
        <v>0</v>
      </c>
      <c r="R89" s="44">
        <f>Q89*H89</f>
        <v>0</v>
      </c>
      <c r="S89" s="120"/>
      <c r="T89" s="44">
        <v>0</v>
      </c>
      <c r="U89" s="44">
        <f>T89*H89</f>
        <v>0</v>
      </c>
      <c r="V89" s="120"/>
      <c r="W89" s="44">
        <v>0</v>
      </c>
      <c r="X89" s="44">
        <f>W89*H89</f>
        <v>0</v>
      </c>
      <c r="Y89" s="44">
        <f>SUM(R89,O89,L89,I89,U89,X89)</f>
        <v>150000</v>
      </c>
      <c r="Z89" s="44">
        <v>0</v>
      </c>
      <c r="AA89" s="44">
        <f t="shared" ref="AA89" si="124">Y89+Z89</f>
        <v>150000</v>
      </c>
    </row>
    <row r="90" spans="1:27">
      <c r="A90" s="6" t="s">
        <v>804</v>
      </c>
      <c r="B90" s="9">
        <v>81010</v>
      </c>
      <c r="C90" s="8" t="s">
        <v>747</v>
      </c>
      <c r="D90" s="8" t="s">
        <v>174</v>
      </c>
      <c r="E90" s="120"/>
      <c r="F90" s="50" t="s">
        <v>173</v>
      </c>
      <c r="G90" s="44">
        <v>0</v>
      </c>
      <c r="H90" s="44">
        <v>160000</v>
      </c>
      <c r="I90" s="44">
        <f t="shared" ref="I90:I92" si="125">G90*H90</f>
        <v>0</v>
      </c>
      <c r="J90" s="120"/>
      <c r="K90" s="44">
        <v>0</v>
      </c>
      <c r="L90" s="44">
        <f>K90*H90</f>
        <v>0</v>
      </c>
      <c r="M90" s="120"/>
      <c r="N90" s="44">
        <v>1</v>
      </c>
      <c r="O90" s="44">
        <f>N90*H90</f>
        <v>160000</v>
      </c>
      <c r="P90" s="120"/>
      <c r="Q90" s="44">
        <v>0</v>
      </c>
      <c r="R90" s="44">
        <f>Q90*H90</f>
        <v>0</v>
      </c>
      <c r="S90" s="120"/>
      <c r="T90" s="44">
        <v>0</v>
      </c>
      <c r="U90" s="44">
        <f>T90*H90</f>
        <v>0</v>
      </c>
      <c r="V90" s="120"/>
      <c r="W90" s="44">
        <v>0</v>
      </c>
      <c r="X90" s="44">
        <f>W90*H90</f>
        <v>0</v>
      </c>
      <c r="Y90" s="44">
        <f>SUM(R90,O90,L90,I90,U90,X90)</f>
        <v>160000</v>
      </c>
      <c r="Z90" s="44">
        <v>0</v>
      </c>
      <c r="AA90" s="44">
        <f>Y90+Z90</f>
        <v>160000</v>
      </c>
    </row>
    <row r="91" spans="1:27">
      <c r="A91" s="6" t="s">
        <v>805</v>
      </c>
      <c r="B91" s="9">
        <v>81010</v>
      </c>
      <c r="C91" s="8" t="s">
        <v>747</v>
      </c>
      <c r="D91" s="8" t="s">
        <v>175</v>
      </c>
      <c r="E91" s="120"/>
      <c r="F91" s="50" t="s">
        <v>173</v>
      </c>
      <c r="G91" s="44">
        <v>0</v>
      </c>
      <c r="H91" s="44">
        <v>175000</v>
      </c>
      <c r="I91" s="44">
        <f t="shared" si="125"/>
        <v>0</v>
      </c>
      <c r="J91" s="120"/>
      <c r="K91" s="44">
        <v>0</v>
      </c>
      <c r="L91" s="44">
        <f>K91*H91</f>
        <v>0</v>
      </c>
      <c r="M91" s="120"/>
      <c r="N91" s="44">
        <v>0</v>
      </c>
      <c r="O91" s="44">
        <f>N91*H91</f>
        <v>0</v>
      </c>
      <c r="P91" s="120"/>
      <c r="Q91" s="44">
        <v>0</v>
      </c>
      <c r="R91" s="44">
        <f>Q91*H91</f>
        <v>0</v>
      </c>
      <c r="S91" s="120"/>
      <c r="T91" s="44">
        <v>0</v>
      </c>
      <c r="U91" s="44">
        <f>T91*H91</f>
        <v>0</v>
      </c>
      <c r="V91" s="120"/>
      <c r="W91" s="44">
        <v>1</v>
      </c>
      <c r="X91" s="44">
        <f>W91*H91</f>
        <v>175000</v>
      </c>
      <c r="Y91" s="44">
        <f>SUM(R91,O91,L91,I91,U91,X91)</f>
        <v>175000</v>
      </c>
      <c r="Z91" s="44">
        <v>0</v>
      </c>
      <c r="AA91" s="44">
        <f t="shared" ref="AA91:AA92" si="126">Y91+Z91</f>
        <v>175000</v>
      </c>
    </row>
    <row r="92" spans="1:27" ht="37.799999999999997">
      <c r="A92" s="602" t="s">
        <v>806</v>
      </c>
      <c r="B92" s="9">
        <v>81010</v>
      </c>
      <c r="C92" s="8" t="s">
        <v>747</v>
      </c>
      <c r="D92" s="574" t="s">
        <v>176</v>
      </c>
      <c r="E92" s="120"/>
      <c r="F92" s="50" t="s">
        <v>173</v>
      </c>
      <c r="G92" s="153">
        <v>0.5</v>
      </c>
      <c r="H92" s="44">
        <v>125000</v>
      </c>
      <c r="I92" s="44">
        <f t="shared" si="125"/>
        <v>62500</v>
      </c>
      <c r="J92" s="120"/>
      <c r="K92" s="153">
        <v>0</v>
      </c>
      <c r="L92" s="44">
        <f>K92*H92</f>
        <v>0</v>
      </c>
      <c r="M92" s="120"/>
      <c r="N92" s="44">
        <v>1</v>
      </c>
      <c r="O92" s="44">
        <f>N92*H92</f>
        <v>125000</v>
      </c>
      <c r="P92" s="120"/>
      <c r="Q92" s="153">
        <v>0.5</v>
      </c>
      <c r="R92" s="44">
        <f>Q92*H92</f>
        <v>62500</v>
      </c>
      <c r="S92" s="120"/>
      <c r="T92" s="44">
        <v>0</v>
      </c>
      <c r="U92" s="44">
        <f>T92*H92</f>
        <v>0</v>
      </c>
      <c r="V92" s="120"/>
      <c r="W92" s="44">
        <v>0</v>
      </c>
      <c r="X92" s="44">
        <f>W92*H92</f>
        <v>0</v>
      </c>
      <c r="Y92" s="44">
        <f>SUM(R92,O92,L92,I92,U92,X92)</f>
        <v>250000</v>
      </c>
      <c r="Z92" s="44">
        <v>0</v>
      </c>
      <c r="AA92" s="44">
        <f t="shared" si="126"/>
        <v>250000</v>
      </c>
    </row>
    <row r="93" spans="1:27">
      <c r="A93" s="603"/>
      <c r="B93" s="603"/>
      <c r="C93" s="603"/>
      <c r="D93" s="87" t="s">
        <v>177</v>
      </c>
      <c r="E93" s="122"/>
      <c r="F93" s="83"/>
      <c r="G93" s="83"/>
      <c r="H93" s="84"/>
      <c r="I93" s="88"/>
      <c r="J93" s="122"/>
      <c r="K93" s="88"/>
      <c r="L93" s="88"/>
      <c r="M93" s="122"/>
      <c r="N93" s="88"/>
      <c r="O93" s="88"/>
      <c r="P93" s="122"/>
      <c r="Q93" s="88"/>
      <c r="R93" s="88"/>
      <c r="S93" s="122"/>
      <c r="T93" s="88"/>
      <c r="U93" s="88"/>
      <c r="V93" s="122"/>
      <c r="W93" s="88"/>
      <c r="X93" s="88"/>
      <c r="Y93" s="80"/>
      <c r="Z93" s="80"/>
      <c r="AA93" s="570"/>
    </row>
    <row r="94" spans="1:27" ht="25.2">
      <c r="A94" s="8" t="s">
        <v>810</v>
      </c>
      <c r="B94" s="45" t="s">
        <v>808</v>
      </c>
      <c r="C94" s="8" t="s">
        <v>747</v>
      </c>
      <c r="D94" s="45" t="s">
        <v>178</v>
      </c>
      <c r="E94" s="120"/>
      <c r="F94" s="8" t="s">
        <v>179</v>
      </c>
      <c r="G94" s="8">
        <v>1</v>
      </c>
      <c r="H94" s="51">
        <v>10000</v>
      </c>
      <c r="I94" s="32">
        <f>G94*H94</f>
        <v>10000</v>
      </c>
      <c r="J94" s="120"/>
      <c r="K94" s="44">
        <v>0</v>
      </c>
      <c r="L94" s="44">
        <f>K94*H94</f>
        <v>0</v>
      </c>
      <c r="M94" s="120"/>
      <c r="N94" s="44">
        <v>0</v>
      </c>
      <c r="O94" s="44">
        <f>N94*H94</f>
        <v>0</v>
      </c>
      <c r="P94" s="120"/>
      <c r="Q94" s="44">
        <v>0</v>
      </c>
      <c r="R94" s="44">
        <f>Q94*H94</f>
        <v>0</v>
      </c>
      <c r="S94" s="120"/>
      <c r="T94" s="44">
        <v>0</v>
      </c>
      <c r="U94" s="44">
        <f>T94*H94</f>
        <v>0</v>
      </c>
      <c r="V94" s="120"/>
      <c r="W94" s="44">
        <v>0</v>
      </c>
      <c r="X94" s="44">
        <f>W94*H94</f>
        <v>0</v>
      </c>
      <c r="Y94" s="44">
        <f>SUM(R94,O94,L94,I94,U94,X94)</f>
        <v>10000</v>
      </c>
      <c r="Z94" s="44" t="s">
        <v>149</v>
      </c>
      <c r="AA94" s="44">
        <f>SUM(Y94:Z94)</f>
        <v>10000</v>
      </c>
    </row>
    <row r="95" spans="1:27" ht="25.2">
      <c r="A95" s="8" t="s">
        <v>810</v>
      </c>
      <c r="B95" s="45" t="s">
        <v>808</v>
      </c>
      <c r="C95" s="8" t="s">
        <v>747</v>
      </c>
      <c r="D95" s="45" t="s">
        <v>180</v>
      </c>
      <c r="E95" s="120"/>
      <c r="F95" s="8" t="s">
        <v>166</v>
      </c>
      <c r="G95" s="8">
        <v>0</v>
      </c>
      <c r="H95" s="51">
        <v>2000</v>
      </c>
      <c r="I95" s="32">
        <f>G95*H95</f>
        <v>0</v>
      </c>
      <c r="J95" s="120"/>
      <c r="K95" s="44">
        <v>1</v>
      </c>
      <c r="L95" s="44">
        <f>K95*H95</f>
        <v>2000</v>
      </c>
      <c r="M95" s="120"/>
      <c r="N95" s="44">
        <v>1</v>
      </c>
      <c r="O95" s="44">
        <f>N95*H95</f>
        <v>2000</v>
      </c>
      <c r="P95" s="120"/>
      <c r="Q95" s="44">
        <v>1</v>
      </c>
      <c r="R95" s="44">
        <f>Q95*H95</f>
        <v>2000</v>
      </c>
      <c r="S95" s="120"/>
      <c r="T95" s="44">
        <v>1</v>
      </c>
      <c r="U95" s="44">
        <f>T95*H95</f>
        <v>2000</v>
      </c>
      <c r="V95" s="120"/>
      <c r="W95" s="44">
        <v>1</v>
      </c>
      <c r="X95" s="44">
        <f>W95*H95</f>
        <v>2000</v>
      </c>
      <c r="Y95" s="44">
        <f>SUM(R95,O95,L95,I95,U95,X95)</f>
        <v>10000</v>
      </c>
      <c r="Z95" s="44" t="s">
        <v>149</v>
      </c>
      <c r="AA95" s="44">
        <f>SUM(Y95:Z95)</f>
        <v>10000</v>
      </c>
    </row>
    <row r="96" spans="1:27" ht="25.2">
      <c r="A96" s="8" t="s">
        <v>807</v>
      </c>
      <c r="B96" s="9">
        <v>87000</v>
      </c>
      <c r="C96" s="599" t="s">
        <v>747</v>
      </c>
      <c r="D96" s="45" t="s">
        <v>181</v>
      </c>
      <c r="E96" s="120"/>
      <c r="F96" s="8" t="s">
        <v>182</v>
      </c>
      <c r="G96" s="8">
        <v>1</v>
      </c>
      <c r="H96" s="51">
        <v>6000</v>
      </c>
      <c r="I96" s="32">
        <f>G96*H96</f>
        <v>6000</v>
      </c>
      <c r="J96" s="120"/>
      <c r="K96" s="44">
        <v>1</v>
      </c>
      <c r="L96" s="44">
        <f>K96*H96</f>
        <v>6000</v>
      </c>
      <c r="M96" s="120"/>
      <c r="N96" s="44">
        <v>1</v>
      </c>
      <c r="O96" s="44">
        <f>N96*H96</f>
        <v>6000</v>
      </c>
      <c r="P96" s="120"/>
      <c r="Q96" s="44">
        <v>1</v>
      </c>
      <c r="R96" s="44">
        <f>Q96*H96</f>
        <v>6000</v>
      </c>
      <c r="S96" s="120"/>
      <c r="T96" s="44">
        <v>1</v>
      </c>
      <c r="U96" s="44">
        <f>T96*H96</f>
        <v>6000</v>
      </c>
      <c r="V96" s="120"/>
      <c r="W96" s="44">
        <v>1</v>
      </c>
      <c r="X96" s="44">
        <f>W96*H96</f>
        <v>6000</v>
      </c>
      <c r="Y96" s="44">
        <f>SUM(R96,O96,L96,I96,U96,X96)</f>
        <v>36000</v>
      </c>
      <c r="Z96" s="44" t="s">
        <v>149</v>
      </c>
      <c r="AA96" s="44">
        <f>SUM(Y96:Z96)</f>
        <v>36000</v>
      </c>
    </row>
    <row r="97" spans="1:28">
      <c r="A97" s="603"/>
      <c r="B97" s="603"/>
      <c r="C97" s="603"/>
      <c r="D97" s="87" t="s">
        <v>183</v>
      </c>
      <c r="E97" s="122"/>
      <c r="F97" s="89"/>
      <c r="G97" s="90"/>
      <c r="H97" s="90"/>
      <c r="I97" s="90"/>
      <c r="J97" s="122"/>
      <c r="K97" s="90"/>
      <c r="L97" s="90"/>
      <c r="M97" s="122"/>
      <c r="N97" s="90"/>
      <c r="O97" s="90"/>
      <c r="P97" s="122"/>
      <c r="Q97" s="90"/>
      <c r="R97" s="90"/>
      <c r="S97" s="122"/>
      <c r="T97" s="90"/>
      <c r="U97" s="90"/>
      <c r="V97" s="122"/>
      <c r="W97" s="90"/>
      <c r="X97" s="90"/>
      <c r="Y97" s="80"/>
      <c r="Z97" s="80"/>
      <c r="AA97" s="90"/>
    </row>
    <row r="98" spans="1:28">
      <c r="A98" s="6" t="s">
        <v>809</v>
      </c>
      <c r="B98" s="9">
        <v>89400</v>
      </c>
      <c r="C98" s="591" t="s">
        <v>788</v>
      </c>
      <c r="D98" s="8" t="s">
        <v>184</v>
      </c>
      <c r="F98" s="8" t="s">
        <v>166</v>
      </c>
      <c r="G98" s="44">
        <v>1</v>
      </c>
      <c r="H98" s="44">
        <v>6500</v>
      </c>
      <c r="I98" s="44">
        <f>G98*H98</f>
        <v>6500</v>
      </c>
      <c r="J98" s="123"/>
      <c r="K98" s="44">
        <v>1</v>
      </c>
      <c r="L98" s="44">
        <f>K98*H98</f>
        <v>6500</v>
      </c>
      <c r="M98" s="123"/>
      <c r="N98" s="44">
        <v>1</v>
      </c>
      <c r="O98" s="44">
        <f>N98*H98</f>
        <v>6500</v>
      </c>
      <c r="P98" s="123"/>
      <c r="Q98" s="44">
        <v>1</v>
      </c>
      <c r="R98" s="44">
        <f>Q98*H98</f>
        <v>6500</v>
      </c>
      <c r="S98" s="123"/>
      <c r="T98" s="44">
        <v>1</v>
      </c>
      <c r="U98" s="44">
        <f>T98*H98</f>
        <v>6500</v>
      </c>
      <c r="V98" s="123"/>
      <c r="W98" s="44">
        <v>1</v>
      </c>
      <c r="X98" s="44">
        <f>W98*H98</f>
        <v>6500</v>
      </c>
      <c r="Y98" s="44">
        <f>SUM(R98,O98,L98,I98,U98,X98)</f>
        <v>39000</v>
      </c>
      <c r="Z98" s="63"/>
      <c r="AA98" s="44">
        <f>SUM(Y98:Z98)</f>
        <v>39000</v>
      </c>
      <c r="AB98" s="31" t="s">
        <v>185</v>
      </c>
    </row>
    <row r="99" spans="1:28" s="93" customFormat="1" ht="12.3">
      <c r="A99" s="604"/>
      <c r="B99" s="604"/>
      <c r="C99" s="604"/>
      <c r="D99" s="86" t="s">
        <v>186</v>
      </c>
      <c r="E99" s="124"/>
      <c r="F99" s="91"/>
      <c r="G99" s="92"/>
      <c r="H99" s="92"/>
      <c r="I99" s="92">
        <f>SUM(I88:I98)</f>
        <v>235000</v>
      </c>
      <c r="J99" s="124"/>
      <c r="K99" s="92"/>
      <c r="L99" s="92">
        <f>SUM(L88:L98)</f>
        <v>14500</v>
      </c>
      <c r="M99" s="124"/>
      <c r="N99" s="92"/>
      <c r="O99" s="92">
        <f>SUM(O88:O98)</f>
        <v>299500</v>
      </c>
      <c r="P99" s="124"/>
      <c r="Q99" s="92"/>
      <c r="R99" s="92">
        <f>SUM(R88:R98)</f>
        <v>77000</v>
      </c>
      <c r="S99" s="124"/>
      <c r="T99" s="92"/>
      <c r="U99" s="92">
        <f>SUM(U88:U98)</f>
        <v>14500</v>
      </c>
      <c r="V99" s="124"/>
      <c r="W99" s="92"/>
      <c r="X99" s="92">
        <f>SUM(X88:X98)</f>
        <v>189500</v>
      </c>
      <c r="Y99" s="92">
        <f>SUM(Y88:Y98)</f>
        <v>830000</v>
      </c>
      <c r="Z99" s="92">
        <f>SUM(Z88:Z98)</f>
        <v>0</v>
      </c>
      <c r="AA99" s="92">
        <f>SUM(AA88:AA98)</f>
        <v>830000</v>
      </c>
      <c r="AB99" s="538">
        <f>AA99/'USDA Budget Summary'!E12</f>
        <v>3.0148709417853675E-2</v>
      </c>
    </row>
    <row r="100" spans="1:28">
      <c r="E100" s="120"/>
      <c r="F100" s="49"/>
      <c r="G100" s="44"/>
      <c r="H100" s="44"/>
      <c r="I100" s="44"/>
      <c r="J100" s="120"/>
      <c r="K100" s="44"/>
      <c r="L100" s="44"/>
      <c r="M100" s="120"/>
      <c r="N100" s="44"/>
      <c r="O100" s="44"/>
      <c r="P100" s="120"/>
      <c r="Q100" s="44"/>
      <c r="R100" s="44"/>
      <c r="S100" s="120"/>
      <c r="T100" s="44"/>
      <c r="U100" s="44"/>
      <c r="V100" s="120"/>
      <c r="W100" s="44"/>
      <c r="X100" s="44"/>
      <c r="Y100" s="44"/>
      <c r="Z100" s="44"/>
      <c r="AA100" s="44"/>
    </row>
    <row r="101" spans="1:28" ht="12.9" thickBot="1">
      <c r="A101" s="596"/>
      <c r="B101" s="596"/>
      <c r="C101" s="596"/>
      <c r="D101" s="54" t="s">
        <v>187</v>
      </c>
      <c r="E101" s="121"/>
      <c r="F101" s="55"/>
      <c r="G101" s="55"/>
      <c r="H101" s="56"/>
      <c r="I101" s="57">
        <f>SUM(I83:I98)</f>
        <v>361800</v>
      </c>
      <c r="J101" s="121"/>
      <c r="K101" s="57"/>
      <c r="L101" s="57">
        <f>SUM(L83:L98)</f>
        <v>46500</v>
      </c>
      <c r="M101" s="121"/>
      <c r="N101" s="57"/>
      <c r="O101" s="57">
        <f>SUM(O83:O98)</f>
        <v>331500</v>
      </c>
      <c r="P101" s="121"/>
      <c r="Q101" s="57"/>
      <c r="R101" s="57">
        <f>SUM(R83:R98)</f>
        <v>109000</v>
      </c>
      <c r="S101" s="121"/>
      <c r="T101" s="57"/>
      <c r="U101" s="57">
        <f>SUM(U83:U98)</f>
        <v>46500</v>
      </c>
      <c r="V101" s="121"/>
      <c r="W101" s="57"/>
      <c r="X101" s="57">
        <f>SUM(X83:X98)</f>
        <v>221500</v>
      </c>
      <c r="Y101" s="57">
        <f>SUM(Y83:Y98)</f>
        <v>1116800</v>
      </c>
      <c r="Z101" s="57">
        <f>SUM(Z83:Z98)</f>
        <v>0</v>
      </c>
      <c r="AA101" s="69">
        <f>SUM(Y101:Z101)</f>
        <v>1116800</v>
      </c>
    </row>
    <row r="102" spans="1:28">
      <c r="A102" s="597"/>
      <c r="B102" s="597"/>
      <c r="C102" s="597"/>
      <c r="D102" s="81"/>
      <c r="E102" s="118"/>
      <c r="F102" s="81"/>
      <c r="G102" s="63"/>
      <c r="H102" s="63"/>
      <c r="I102" s="63"/>
      <c r="J102" s="118"/>
      <c r="K102" s="63"/>
      <c r="L102" s="63"/>
      <c r="M102" s="118"/>
      <c r="N102" s="63"/>
      <c r="O102" s="63"/>
      <c r="P102" s="118"/>
      <c r="Q102" s="63"/>
      <c r="R102" s="63"/>
      <c r="S102" s="118"/>
      <c r="T102" s="63"/>
      <c r="U102" s="63"/>
      <c r="V102" s="118"/>
      <c r="W102" s="63"/>
      <c r="X102" s="63"/>
      <c r="Y102" s="63"/>
      <c r="Z102" s="63"/>
      <c r="AA102" s="63"/>
    </row>
    <row r="103" spans="1:28">
      <c r="A103" s="598"/>
      <c r="B103" s="598"/>
      <c r="C103" s="598"/>
      <c r="D103" s="38" t="s">
        <v>33</v>
      </c>
      <c r="E103" s="119"/>
      <c r="F103" s="38"/>
      <c r="G103" s="38"/>
      <c r="H103" s="39"/>
      <c r="I103" s="40"/>
      <c r="J103" s="119"/>
      <c r="K103" s="40"/>
      <c r="L103" s="40"/>
      <c r="M103" s="119"/>
      <c r="N103" s="40"/>
      <c r="O103" s="40"/>
      <c r="P103" s="119"/>
      <c r="Q103" s="40"/>
      <c r="R103" s="40"/>
      <c r="S103" s="119"/>
      <c r="T103" s="40"/>
      <c r="U103" s="40"/>
      <c r="V103" s="119"/>
      <c r="W103" s="40"/>
      <c r="X103" s="40"/>
      <c r="Y103" s="40"/>
      <c r="Z103" s="40"/>
      <c r="AA103" s="40"/>
    </row>
    <row r="104" spans="1:28">
      <c r="A104" s="6" t="s">
        <v>811</v>
      </c>
      <c r="B104" s="9">
        <v>85200</v>
      </c>
      <c r="C104" s="591" t="s">
        <v>747</v>
      </c>
      <c r="D104" s="8" t="s">
        <v>188</v>
      </c>
      <c r="E104" s="120"/>
      <c r="F104" s="50" t="s">
        <v>173</v>
      </c>
      <c r="G104" s="44">
        <v>1</v>
      </c>
      <c r="H104" s="44">
        <v>53000</v>
      </c>
      <c r="I104" s="44">
        <f>G104*H104</f>
        <v>53000</v>
      </c>
      <c r="J104" s="120"/>
      <c r="K104" s="44">
        <v>0</v>
      </c>
      <c r="L104" s="44">
        <f>K104*H104</f>
        <v>0</v>
      </c>
      <c r="M104" s="120"/>
      <c r="N104" s="44">
        <v>0</v>
      </c>
      <c r="O104" s="44">
        <f>N104*H104</f>
        <v>0</v>
      </c>
      <c r="P104" s="120"/>
      <c r="Q104" s="44">
        <v>0</v>
      </c>
      <c r="R104" s="44">
        <f>Q104*H104</f>
        <v>0</v>
      </c>
      <c r="S104" s="120"/>
      <c r="T104" s="44">
        <v>0</v>
      </c>
      <c r="U104" s="44">
        <f>T104*K104</f>
        <v>0</v>
      </c>
      <c r="V104" s="120"/>
      <c r="W104" s="44">
        <v>0</v>
      </c>
      <c r="X104" s="44">
        <f>W104*H104</f>
        <v>0</v>
      </c>
      <c r="Y104" s="44">
        <f>SUM(R104,O104,L104,I104,U104,X104)</f>
        <v>53000</v>
      </c>
      <c r="Z104" s="44">
        <v>0</v>
      </c>
      <c r="AA104" s="44">
        <f>Y104+Z104</f>
        <v>53000</v>
      </c>
    </row>
    <row r="105" spans="1:28">
      <c r="E105" s="120"/>
      <c r="F105" s="49"/>
      <c r="G105" s="44"/>
      <c r="H105" s="44"/>
      <c r="I105" s="44"/>
      <c r="J105" s="120"/>
      <c r="K105" s="44"/>
      <c r="L105" s="44"/>
      <c r="M105" s="120"/>
      <c r="N105" s="44"/>
      <c r="O105" s="44"/>
      <c r="P105" s="120"/>
      <c r="Q105" s="44"/>
      <c r="R105" s="44"/>
      <c r="S105" s="120"/>
      <c r="T105" s="44"/>
      <c r="U105" s="44"/>
      <c r="V105" s="120"/>
      <c r="W105" s="44"/>
      <c r="X105" s="44"/>
      <c r="Y105" s="44"/>
      <c r="Z105" s="44"/>
      <c r="AA105" s="44"/>
    </row>
    <row r="106" spans="1:28" ht="12.9" thickBot="1">
      <c r="A106" s="596"/>
      <c r="B106" s="596"/>
      <c r="C106" s="596"/>
      <c r="D106" s="54" t="s">
        <v>189</v>
      </c>
      <c r="E106" s="121"/>
      <c r="F106" s="55"/>
      <c r="G106" s="55"/>
      <c r="H106" s="56"/>
      <c r="I106" s="57">
        <f>SUM(I104:I104)</f>
        <v>53000</v>
      </c>
      <c r="J106" s="121"/>
      <c r="K106" s="57"/>
      <c r="L106" s="57">
        <f>SUM(L104:L104)</f>
        <v>0</v>
      </c>
      <c r="M106" s="121"/>
      <c r="N106" s="57"/>
      <c r="O106" s="57">
        <f>SUM(O104:O104)</f>
        <v>0</v>
      </c>
      <c r="P106" s="121"/>
      <c r="Q106" s="57"/>
      <c r="R106" s="57">
        <f>SUM(R104:R104)</f>
        <v>0</v>
      </c>
      <c r="S106" s="121"/>
      <c r="T106" s="57"/>
      <c r="U106" s="57">
        <f>SUM(U104:U104)</f>
        <v>0</v>
      </c>
      <c r="V106" s="121"/>
      <c r="W106" s="57"/>
      <c r="X106" s="57">
        <f>SUM(X104:X104)</f>
        <v>0</v>
      </c>
      <c r="Y106" s="57">
        <f>SUM(Y104:Y105)</f>
        <v>53000</v>
      </c>
      <c r="Z106" s="57">
        <f>SUM(Z104:Z104)</f>
        <v>0</v>
      </c>
      <c r="AA106" s="65">
        <f>SUM(Y106:Z106)</f>
        <v>53000</v>
      </c>
    </row>
    <row r="107" spans="1:28">
      <c r="A107" s="597"/>
      <c r="B107" s="597"/>
      <c r="C107" s="597"/>
      <c r="D107" s="81"/>
      <c r="E107" s="118"/>
      <c r="F107" s="81"/>
      <c r="G107" s="63"/>
      <c r="H107" s="63"/>
      <c r="I107" s="63"/>
      <c r="J107" s="118"/>
      <c r="K107" s="63"/>
      <c r="L107" s="63"/>
      <c r="M107" s="118"/>
      <c r="N107" s="63"/>
      <c r="O107" s="63"/>
      <c r="P107" s="118"/>
      <c r="Q107" s="63"/>
      <c r="R107" s="63"/>
      <c r="S107" s="118"/>
      <c r="T107" s="63"/>
      <c r="U107" s="63"/>
      <c r="V107" s="118"/>
      <c r="W107" s="63"/>
      <c r="X107" s="63"/>
      <c r="Y107" s="63"/>
      <c r="Z107" s="63"/>
      <c r="AA107" s="63"/>
    </row>
    <row r="108" spans="1:28">
      <c r="A108" s="598"/>
      <c r="B108" s="598"/>
      <c r="C108" s="598"/>
      <c r="D108" s="38" t="s">
        <v>190</v>
      </c>
      <c r="E108" s="119"/>
      <c r="F108" s="38"/>
      <c r="G108" s="38"/>
      <c r="H108" s="39"/>
      <c r="I108" s="40"/>
      <c r="J108" s="119"/>
      <c r="K108" s="40"/>
      <c r="L108" s="40"/>
      <c r="M108" s="119"/>
      <c r="N108" s="40"/>
      <c r="O108" s="40"/>
      <c r="P108" s="119"/>
      <c r="Q108" s="40"/>
      <c r="R108" s="40"/>
      <c r="S108" s="119"/>
      <c r="T108" s="40"/>
      <c r="U108" s="40"/>
      <c r="V108" s="119"/>
      <c r="W108" s="40"/>
      <c r="X108" s="40"/>
      <c r="Y108" s="40"/>
      <c r="Z108" s="40"/>
      <c r="AA108" s="40"/>
    </row>
    <row r="109" spans="1:28">
      <c r="A109" s="8" t="s">
        <v>873</v>
      </c>
      <c r="B109" s="45">
        <v>82401</v>
      </c>
      <c r="C109" s="591" t="s">
        <v>813</v>
      </c>
      <c r="D109" s="8" t="s">
        <v>191</v>
      </c>
      <c r="E109" s="120"/>
      <c r="F109" s="50" t="s">
        <v>173</v>
      </c>
      <c r="G109" s="237">
        <v>37</v>
      </c>
      <c r="H109" s="44">
        <v>1280</v>
      </c>
      <c r="I109" s="44">
        <f t="shared" ref="I109:I119" si="127">G109*H109</f>
        <v>47360</v>
      </c>
      <c r="J109" s="120"/>
      <c r="K109" s="44">
        <v>0</v>
      </c>
      <c r="L109" s="44">
        <f t="shared" ref="L109:L114" si="128">K109*H109</f>
        <v>0</v>
      </c>
      <c r="M109" s="120"/>
      <c r="N109" s="44">
        <v>0</v>
      </c>
      <c r="O109" s="44">
        <f t="shared" ref="O109:O114" si="129">N109*H109</f>
        <v>0</v>
      </c>
      <c r="P109" s="120"/>
      <c r="Q109" s="44">
        <v>0</v>
      </c>
      <c r="R109" s="44">
        <f t="shared" ref="R109:R114" si="130">Q109*H109</f>
        <v>0</v>
      </c>
      <c r="S109" s="120"/>
      <c r="T109" s="44">
        <v>0</v>
      </c>
      <c r="U109" s="44">
        <f t="shared" ref="U109:U114" si="131">T109*K109</f>
        <v>0</v>
      </c>
      <c r="V109" s="120"/>
      <c r="W109" s="44">
        <v>0</v>
      </c>
      <c r="X109" s="44">
        <f>W109*H109</f>
        <v>0</v>
      </c>
      <c r="Y109" s="44">
        <f>SUM(R109,O109,L109,I109,U109,X109)</f>
        <v>47360</v>
      </c>
      <c r="Z109" s="44">
        <v>0</v>
      </c>
      <c r="AA109" s="44">
        <f t="shared" ref="AA109:AA119" si="132">Y109+Z109</f>
        <v>47360</v>
      </c>
    </row>
    <row r="110" spans="1:28">
      <c r="A110" s="8" t="s">
        <v>812</v>
      </c>
      <c r="B110" s="45">
        <v>82401</v>
      </c>
      <c r="C110" s="591" t="s">
        <v>813</v>
      </c>
      <c r="D110" s="8" t="s">
        <v>192</v>
      </c>
      <c r="E110" s="120"/>
      <c r="F110" s="50" t="s">
        <v>173</v>
      </c>
      <c r="G110" s="237">
        <v>2</v>
      </c>
      <c r="H110" s="44">
        <v>350</v>
      </c>
      <c r="I110" s="44">
        <f>G110*H110</f>
        <v>700</v>
      </c>
      <c r="J110" s="120"/>
      <c r="K110" s="44">
        <v>0</v>
      </c>
      <c r="L110" s="44">
        <f>K110*H110</f>
        <v>0</v>
      </c>
      <c r="M110" s="120"/>
      <c r="N110" s="44">
        <v>0</v>
      </c>
      <c r="O110" s="44">
        <f>N110*H110</f>
        <v>0</v>
      </c>
      <c r="P110" s="120"/>
      <c r="Q110" s="44">
        <v>0</v>
      </c>
      <c r="R110" s="44">
        <f>Q110*H110</f>
        <v>0</v>
      </c>
      <c r="S110" s="120"/>
      <c r="T110" s="44">
        <v>0</v>
      </c>
      <c r="U110" s="44">
        <f>T110*K110</f>
        <v>0</v>
      </c>
      <c r="V110" s="120"/>
      <c r="W110" s="44">
        <v>0</v>
      </c>
      <c r="X110" s="44">
        <f t="shared" ref="X110:X119" si="133">W110*H110</f>
        <v>0</v>
      </c>
      <c r="Y110" s="44">
        <f t="shared" ref="Y110:Y119" si="134">SUM(R110,O110,L110,I110,U110,X110)</f>
        <v>700</v>
      </c>
      <c r="Z110" s="44">
        <v>0</v>
      </c>
      <c r="AA110" s="44">
        <f t="shared" si="132"/>
        <v>700</v>
      </c>
    </row>
    <row r="111" spans="1:28">
      <c r="A111" s="8" t="s">
        <v>812</v>
      </c>
      <c r="B111" s="45">
        <v>82401</v>
      </c>
      <c r="C111" s="591" t="s">
        <v>813</v>
      </c>
      <c r="D111" s="8" t="s">
        <v>193</v>
      </c>
      <c r="E111" s="120"/>
      <c r="F111" s="50" t="s">
        <v>173</v>
      </c>
      <c r="G111" s="237">
        <v>1</v>
      </c>
      <c r="H111" s="44">
        <v>738.36500000000001</v>
      </c>
      <c r="I111" s="44">
        <f t="shared" si="127"/>
        <v>738.36500000000001</v>
      </c>
      <c r="J111" s="120"/>
      <c r="K111" s="44">
        <v>0</v>
      </c>
      <c r="L111" s="44">
        <f t="shared" si="128"/>
        <v>0</v>
      </c>
      <c r="M111" s="120"/>
      <c r="N111" s="44">
        <v>0</v>
      </c>
      <c r="O111" s="44">
        <f t="shared" si="129"/>
        <v>0</v>
      </c>
      <c r="P111" s="120"/>
      <c r="Q111" s="44">
        <v>0</v>
      </c>
      <c r="R111" s="44">
        <f t="shared" si="130"/>
        <v>0</v>
      </c>
      <c r="S111" s="120"/>
      <c r="T111" s="44">
        <v>0</v>
      </c>
      <c r="U111" s="44">
        <f t="shared" si="131"/>
        <v>0</v>
      </c>
      <c r="V111" s="120"/>
      <c r="W111" s="44">
        <v>0</v>
      </c>
      <c r="X111" s="44">
        <f t="shared" si="133"/>
        <v>0</v>
      </c>
      <c r="Y111" s="44">
        <f t="shared" si="134"/>
        <v>738.36500000000001</v>
      </c>
      <c r="Z111" s="44">
        <v>0</v>
      </c>
      <c r="AA111" s="44">
        <f>Y111+Z111</f>
        <v>738.36500000000001</v>
      </c>
    </row>
    <row r="112" spans="1:28">
      <c r="A112" s="8" t="s">
        <v>812</v>
      </c>
      <c r="B112" s="45">
        <v>82401</v>
      </c>
      <c r="C112" s="591" t="s">
        <v>813</v>
      </c>
      <c r="D112" s="8" t="s">
        <v>194</v>
      </c>
      <c r="E112" s="120"/>
      <c r="F112" s="50" t="s">
        <v>173</v>
      </c>
      <c r="G112" s="237">
        <v>39</v>
      </c>
      <c r="H112" s="44">
        <v>150</v>
      </c>
      <c r="I112" s="44">
        <f t="shared" si="127"/>
        <v>5850</v>
      </c>
      <c r="J112" s="120"/>
      <c r="K112" s="44">
        <v>0</v>
      </c>
      <c r="L112" s="44">
        <f t="shared" si="128"/>
        <v>0</v>
      </c>
      <c r="M112" s="120"/>
      <c r="N112" s="44">
        <v>0</v>
      </c>
      <c r="O112" s="44">
        <f t="shared" si="129"/>
        <v>0</v>
      </c>
      <c r="P112" s="120"/>
      <c r="Q112" s="44">
        <v>0</v>
      </c>
      <c r="R112" s="44">
        <f t="shared" si="130"/>
        <v>0</v>
      </c>
      <c r="S112" s="120"/>
      <c r="T112" s="44">
        <v>0</v>
      </c>
      <c r="U112" s="44">
        <f t="shared" si="131"/>
        <v>0</v>
      </c>
      <c r="V112" s="120"/>
      <c r="W112" s="44">
        <v>0</v>
      </c>
      <c r="X112" s="44">
        <f t="shared" si="133"/>
        <v>0</v>
      </c>
      <c r="Y112" s="44">
        <f t="shared" si="134"/>
        <v>5850</v>
      </c>
      <c r="Z112" s="44">
        <v>0</v>
      </c>
      <c r="AA112" s="44">
        <f t="shared" si="132"/>
        <v>5850</v>
      </c>
    </row>
    <row r="113" spans="1:28">
      <c r="A113" s="8" t="s">
        <v>812</v>
      </c>
      <c r="B113" s="45">
        <v>82401</v>
      </c>
      <c r="C113" s="591" t="s">
        <v>813</v>
      </c>
      <c r="D113" s="8" t="s">
        <v>195</v>
      </c>
      <c r="E113" s="120"/>
      <c r="F113" s="50" t="s">
        <v>173</v>
      </c>
      <c r="G113" s="237">
        <v>39</v>
      </c>
      <c r="H113" s="44">
        <v>50</v>
      </c>
      <c r="I113" s="44">
        <f t="shared" si="127"/>
        <v>1950</v>
      </c>
      <c r="J113" s="120"/>
      <c r="K113" s="44">
        <v>0</v>
      </c>
      <c r="L113" s="44">
        <f t="shared" si="128"/>
        <v>0</v>
      </c>
      <c r="M113" s="120"/>
      <c r="N113" s="44">
        <v>0</v>
      </c>
      <c r="O113" s="44">
        <f t="shared" si="129"/>
        <v>0</v>
      </c>
      <c r="P113" s="120"/>
      <c r="Q113" s="44">
        <v>0</v>
      </c>
      <c r="R113" s="44">
        <f t="shared" si="130"/>
        <v>0</v>
      </c>
      <c r="S113" s="120"/>
      <c r="T113" s="44">
        <v>0</v>
      </c>
      <c r="U113" s="44">
        <f t="shared" si="131"/>
        <v>0</v>
      </c>
      <c r="V113" s="120"/>
      <c r="W113" s="44">
        <v>0</v>
      </c>
      <c r="X113" s="44">
        <f t="shared" si="133"/>
        <v>0</v>
      </c>
      <c r="Y113" s="44">
        <f t="shared" si="134"/>
        <v>1950</v>
      </c>
      <c r="Z113" s="44">
        <v>0</v>
      </c>
      <c r="AA113" s="44">
        <f t="shared" si="132"/>
        <v>1950</v>
      </c>
      <c r="AB113" s="222"/>
    </row>
    <row r="114" spans="1:28">
      <c r="A114" s="8" t="s">
        <v>812</v>
      </c>
      <c r="B114" s="45">
        <v>82401</v>
      </c>
      <c r="C114" s="591" t="s">
        <v>813</v>
      </c>
      <c r="D114" s="8" t="s">
        <v>196</v>
      </c>
      <c r="E114" s="120"/>
      <c r="F114" s="50" t="s">
        <v>173</v>
      </c>
      <c r="G114" s="237">
        <v>2</v>
      </c>
      <c r="H114" s="44">
        <v>250</v>
      </c>
      <c r="I114" s="44">
        <f t="shared" si="127"/>
        <v>500</v>
      </c>
      <c r="J114" s="120"/>
      <c r="K114" s="44">
        <v>0</v>
      </c>
      <c r="L114" s="44">
        <f t="shared" si="128"/>
        <v>0</v>
      </c>
      <c r="M114" s="120"/>
      <c r="N114" s="44">
        <v>0</v>
      </c>
      <c r="O114" s="44">
        <f t="shared" si="129"/>
        <v>0</v>
      </c>
      <c r="P114" s="120"/>
      <c r="Q114" s="44">
        <v>0</v>
      </c>
      <c r="R114" s="44">
        <f t="shared" si="130"/>
        <v>0</v>
      </c>
      <c r="S114" s="120"/>
      <c r="T114" s="44">
        <v>0</v>
      </c>
      <c r="U114" s="44">
        <f t="shared" si="131"/>
        <v>0</v>
      </c>
      <c r="V114" s="120"/>
      <c r="W114" s="44">
        <v>0</v>
      </c>
      <c r="X114" s="44">
        <f t="shared" si="133"/>
        <v>0</v>
      </c>
      <c r="Y114" s="44">
        <f t="shared" si="134"/>
        <v>500</v>
      </c>
      <c r="Z114" s="44">
        <v>0</v>
      </c>
      <c r="AA114" s="44">
        <f t="shared" si="132"/>
        <v>500</v>
      </c>
    </row>
    <row r="115" spans="1:28">
      <c r="A115" s="8" t="s">
        <v>812</v>
      </c>
      <c r="B115" s="45">
        <v>82401</v>
      </c>
      <c r="C115" s="591" t="s">
        <v>813</v>
      </c>
      <c r="D115" s="8" t="s">
        <v>197</v>
      </c>
      <c r="E115" s="120"/>
      <c r="F115" s="50" t="s">
        <v>173</v>
      </c>
      <c r="G115" s="237">
        <f>3</f>
        <v>3</v>
      </c>
      <c r="H115" s="44">
        <v>100</v>
      </c>
      <c r="I115" s="44">
        <f t="shared" ref="I115:I117" si="135">G115*H115</f>
        <v>300</v>
      </c>
      <c r="J115" s="120"/>
      <c r="K115" s="44">
        <v>0</v>
      </c>
      <c r="L115" s="44">
        <f t="shared" ref="L115:L117" si="136">K115*H115</f>
        <v>0</v>
      </c>
      <c r="M115" s="120"/>
      <c r="N115" s="44">
        <v>0</v>
      </c>
      <c r="O115" s="44">
        <f t="shared" ref="O115:O117" si="137">N115*H115</f>
        <v>0</v>
      </c>
      <c r="P115" s="120"/>
      <c r="Q115" s="44">
        <v>0</v>
      </c>
      <c r="R115" s="44">
        <f t="shared" ref="R115:R117" si="138">Q115*H115</f>
        <v>0</v>
      </c>
      <c r="S115" s="120"/>
      <c r="T115" s="44">
        <v>0</v>
      </c>
      <c r="U115" s="44">
        <f t="shared" ref="U115:U117" si="139">T115*K115</f>
        <v>0</v>
      </c>
      <c r="V115" s="120"/>
      <c r="W115" s="44">
        <v>0</v>
      </c>
      <c r="X115" s="44">
        <f t="shared" si="133"/>
        <v>0</v>
      </c>
      <c r="Y115" s="44">
        <f t="shared" si="134"/>
        <v>300</v>
      </c>
      <c r="Z115" s="44">
        <v>0</v>
      </c>
      <c r="AA115" s="44">
        <f t="shared" si="132"/>
        <v>300</v>
      </c>
    </row>
    <row r="116" spans="1:28">
      <c r="A116" s="8" t="s">
        <v>812</v>
      </c>
      <c r="B116" s="45">
        <v>82401</v>
      </c>
      <c r="C116" s="591" t="s">
        <v>813</v>
      </c>
      <c r="D116" s="8" t="s">
        <v>198</v>
      </c>
      <c r="E116" s="120"/>
      <c r="F116" s="50" t="s">
        <v>173</v>
      </c>
      <c r="G116" s="237">
        <v>5</v>
      </c>
      <c r="H116" s="44">
        <v>250</v>
      </c>
      <c r="I116" s="44">
        <f t="shared" si="135"/>
        <v>1250</v>
      </c>
      <c r="J116" s="120"/>
      <c r="K116" s="44">
        <v>0</v>
      </c>
      <c r="L116" s="44">
        <f t="shared" si="136"/>
        <v>0</v>
      </c>
      <c r="M116" s="120"/>
      <c r="N116" s="44">
        <v>0</v>
      </c>
      <c r="O116" s="44">
        <f t="shared" si="137"/>
        <v>0</v>
      </c>
      <c r="P116" s="120"/>
      <c r="Q116" s="44">
        <v>0</v>
      </c>
      <c r="R116" s="44">
        <f t="shared" si="138"/>
        <v>0</v>
      </c>
      <c r="S116" s="120"/>
      <c r="T116" s="44">
        <v>0</v>
      </c>
      <c r="U116" s="44">
        <f t="shared" si="139"/>
        <v>0</v>
      </c>
      <c r="V116" s="120"/>
      <c r="W116" s="44">
        <v>0</v>
      </c>
      <c r="X116" s="44">
        <f t="shared" si="133"/>
        <v>0</v>
      </c>
      <c r="Y116" s="44">
        <f t="shared" si="134"/>
        <v>1250</v>
      </c>
      <c r="Z116" s="44">
        <v>0</v>
      </c>
      <c r="AA116" s="44">
        <f t="shared" ref="AA116:AA118" si="140">Y116+Z116</f>
        <v>1250</v>
      </c>
    </row>
    <row r="117" spans="1:28">
      <c r="A117" s="8" t="s">
        <v>812</v>
      </c>
      <c r="B117" s="45">
        <v>82401</v>
      </c>
      <c r="C117" s="591" t="s">
        <v>813</v>
      </c>
      <c r="D117" s="8" t="s">
        <v>199</v>
      </c>
      <c r="E117" s="120"/>
      <c r="F117" s="50" t="s">
        <v>173</v>
      </c>
      <c r="G117" s="237">
        <v>2</v>
      </c>
      <c r="H117" s="44">
        <v>225</v>
      </c>
      <c r="I117" s="44">
        <f t="shared" si="135"/>
        <v>450</v>
      </c>
      <c r="J117" s="120"/>
      <c r="K117" s="44">
        <v>0</v>
      </c>
      <c r="L117" s="44">
        <f t="shared" si="136"/>
        <v>0</v>
      </c>
      <c r="M117" s="120"/>
      <c r="N117" s="44">
        <v>0</v>
      </c>
      <c r="O117" s="44">
        <f t="shared" si="137"/>
        <v>0</v>
      </c>
      <c r="P117" s="120"/>
      <c r="Q117" s="44">
        <v>0</v>
      </c>
      <c r="R117" s="44">
        <f t="shared" si="138"/>
        <v>0</v>
      </c>
      <c r="S117" s="120"/>
      <c r="T117" s="44">
        <v>0</v>
      </c>
      <c r="U117" s="44">
        <f t="shared" si="139"/>
        <v>0</v>
      </c>
      <c r="V117" s="120"/>
      <c r="W117" s="44">
        <v>0</v>
      </c>
      <c r="X117" s="44">
        <f t="shared" si="133"/>
        <v>0</v>
      </c>
      <c r="Y117" s="44">
        <f t="shared" si="134"/>
        <v>450</v>
      </c>
      <c r="Z117" s="44">
        <v>0</v>
      </c>
      <c r="AA117" s="44">
        <f t="shared" si="140"/>
        <v>450</v>
      </c>
    </row>
    <row r="118" spans="1:28">
      <c r="A118" s="8" t="s">
        <v>812</v>
      </c>
      <c r="B118" s="45">
        <v>82401</v>
      </c>
      <c r="C118" s="591" t="s">
        <v>813</v>
      </c>
      <c r="D118" s="8" t="s">
        <v>200</v>
      </c>
      <c r="E118" s="120"/>
      <c r="F118" s="50" t="s">
        <v>173</v>
      </c>
      <c r="G118" s="237">
        <v>2</v>
      </c>
      <c r="H118" s="44">
        <v>700</v>
      </c>
      <c r="I118" s="44">
        <f t="shared" ref="I118" si="141">G118*H118</f>
        <v>1400</v>
      </c>
      <c r="J118" s="120"/>
      <c r="K118" s="44">
        <v>0</v>
      </c>
      <c r="L118" s="44">
        <f t="shared" ref="L118" si="142">K118*H118</f>
        <v>0</v>
      </c>
      <c r="M118" s="120"/>
      <c r="N118" s="44">
        <v>0</v>
      </c>
      <c r="O118" s="44">
        <f t="shared" ref="O118" si="143">N118*H118</f>
        <v>0</v>
      </c>
      <c r="P118" s="120"/>
      <c r="Q118" s="44">
        <v>0</v>
      </c>
      <c r="R118" s="44">
        <f t="shared" ref="R118" si="144">Q118*H118</f>
        <v>0</v>
      </c>
      <c r="S118" s="120"/>
      <c r="T118" s="44">
        <v>0</v>
      </c>
      <c r="U118" s="44">
        <f t="shared" ref="U118" si="145">T118*K118</f>
        <v>0</v>
      </c>
      <c r="V118" s="120"/>
      <c r="W118" s="44">
        <v>0</v>
      </c>
      <c r="X118" s="44">
        <f t="shared" si="133"/>
        <v>0</v>
      </c>
      <c r="Y118" s="44">
        <f t="shared" si="134"/>
        <v>1400</v>
      </c>
      <c r="Z118" s="44">
        <v>0</v>
      </c>
      <c r="AA118" s="44">
        <f t="shared" si="140"/>
        <v>1400</v>
      </c>
    </row>
    <row r="119" spans="1:28">
      <c r="A119" s="8" t="s">
        <v>812</v>
      </c>
      <c r="B119" s="45">
        <v>82401</v>
      </c>
      <c r="C119" s="591" t="s">
        <v>813</v>
      </c>
      <c r="D119" s="8" t="s">
        <v>190</v>
      </c>
      <c r="F119" s="49" t="s">
        <v>100</v>
      </c>
      <c r="G119" s="237">
        <v>9</v>
      </c>
      <c r="H119" s="44">
        <v>300</v>
      </c>
      <c r="I119" s="44">
        <f t="shared" si="127"/>
        <v>2700</v>
      </c>
      <c r="J119" s="123"/>
      <c r="K119" s="44">
        <v>12</v>
      </c>
      <c r="L119" s="44">
        <f>K119*H119*$E$6</f>
        <v>3780</v>
      </c>
      <c r="M119" s="123"/>
      <c r="N119" s="44">
        <v>12</v>
      </c>
      <c r="O119" s="44">
        <f t="shared" ref="O119" si="146">N119*H119*$E$6*$E$6</f>
        <v>3969</v>
      </c>
      <c r="P119" s="123"/>
      <c r="Q119" s="44">
        <v>12</v>
      </c>
      <c r="R119" s="44">
        <f t="shared" ref="R119" si="147">Q119*H119*$E$6*$E$6*$E$6</f>
        <v>4167.45</v>
      </c>
      <c r="S119" s="123"/>
      <c r="T119" s="44">
        <v>12</v>
      </c>
      <c r="U119" s="44">
        <f t="shared" ref="U119" si="148">T119*H119*$E$6*$E$6*$E$6*$E$6</f>
        <v>4375.8225000000002</v>
      </c>
      <c r="V119" s="123"/>
      <c r="W119" s="44">
        <v>9</v>
      </c>
      <c r="X119" s="44">
        <f t="shared" si="133"/>
        <v>2700</v>
      </c>
      <c r="Y119" s="44">
        <f t="shared" si="134"/>
        <v>21692.272499999999</v>
      </c>
      <c r="Z119" s="44">
        <v>0</v>
      </c>
      <c r="AA119" s="44">
        <f t="shared" si="132"/>
        <v>21692.272499999999</v>
      </c>
    </row>
    <row r="120" spans="1:28">
      <c r="A120" s="8"/>
      <c r="B120" s="45"/>
      <c r="E120" s="120"/>
      <c r="F120" s="49"/>
      <c r="J120" s="120"/>
      <c r="M120" s="120"/>
      <c r="P120" s="120"/>
      <c r="S120" s="120"/>
      <c r="V120" s="120"/>
      <c r="AA120" s="222"/>
    </row>
    <row r="121" spans="1:28" ht="12.9" thickBot="1">
      <c r="A121" s="596"/>
      <c r="B121" s="596"/>
      <c r="C121" s="596"/>
      <c r="D121" s="54" t="s">
        <v>201</v>
      </c>
      <c r="E121" s="121"/>
      <c r="F121" s="54"/>
      <c r="G121" s="54"/>
      <c r="H121" s="67"/>
      <c r="I121" s="68">
        <f>SUM(I109:I120)</f>
        <v>63198.364999999998</v>
      </c>
      <c r="J121" s="121"/>
      <c r="K121" s="68"/>
      <c r="L121" s="68">
        <f>SUM(L109:L120)</f>
        <v>3780</v>
      </c>
      <c r="M121" s="121"/>
      <c r="N121" s="68"/>
      <c r="O121" s="68">
        <f>SUM(O109:O120)</f>
        <v>3969</v>
      </c>
      <c r="P121" s="121"/>
      <c r="Q121" s="68"/>
      <c r="R121" s="68">
        <f>SUM(R109:R120)</f>
        <v>4167.45</v>
      </c>
      <c r="S121" s="121"/>
      <c r="T121" s="68"/>
      <c r="U121" s="68">
        <f>SUM(U109:U120)</f>
        <v>4375.8225000000002</v>
      </c>
      <c r="V121" s="121"/>
      <c r="W121" s="68"/>
      <c r="X121" s="68">
        <f>SUM(X109:X120)</f>
        <v>2700</v>
      </c>
      <c r="Y121" s="68">
        <f>SUM(Y109:Y120)</f>
        <v>82190.637499999997</v>
      </c>
      <c r="Z121" s="68">
        <f>SUM(Z109:Z120)</f>
        <v>0</v>
      </c>
      <c r="AA121" s="571">
        <f>SUM(AA109:AA120)</f>
        <v>82190.637499999997</v>
      </c>
    </row>
    <row r="122" spans="1:28">
      <c r="A122" s="597"/>
      <c r="B122" s="597"/>
      <c r="C122" s="597"/>
      <c r="D122" s="81"/>
      <c r="E122" s="118"/>
      <c r="F122" s="81"/>
      <c r="G122" s="63"/>
      <c r="H122" s="63"/>
      <c r="I122" s="63"/>
      <c r="J122" s="118"/>
      <c r="K122" s="63"/>
      <c r="L122" s="63"/>
      <c r="M122" s="118"/>
      <c r="N122" s="63"/>
      <c r="O122" s="63"/>
      <c r="P122" s="118"/>
      <c r="Q122" s="63"/>
      <c r="R122" s="63"/>
      <c r="S122" s="118"/>
      <c r="T122" s="63"/>
      <c r="U122" s="63"/>
      <c r="V122" s="118"/>
      <c r="W122" s="63"/>
      <c r="X122" s="63"/>
      <c r="Y122" s="63"/>
      <c r="Z122" s="63"/>
      <c r="AA122" s="63"/>
    </row>
    <row r="123" spans="1:28">
      <c r="A123" s="598"/>
      <c r="B123" s="598"/>
      <c r="C123" s="598"/>
      <c r="D123" s="38" t="s">
        <v>35</v>
      </c>
      <c r="E123" s="119"/>
      <c r="F123" s="38"/>
      <c r="G123" s="38"/>
      <c r="H123" s="39"/>
      <c r="I123" s="40"/>
      <c r="J123" s="119"/>
      <c r="K123" s="40"/>
      <c r="L123" s="40"/>
      <c r="M123" s="119"/>
      <c r="N123" s="40"/>
      <c r="O123" s="40"/>
      <c r="P123" s="119"/>
      <c r="Q123" s="40"/>
      <c r="R123" s="40"/>
      <c r="S123" s="119"/>
      <c r="T123" s="40"/>
      <c r="U123" s="40"/>
      <c r="V123" s="119"/>
      <c r="W123" s="40"/>
      <c r="X123" s="40"/>
      <c r="Y123" s="40"/>
      <c r="Z123" s="40"/>
      <c r="AA123" s="40"/>
    </row>
    <row r="124" spans="1:28">
      <c r="A124" s="603"/>
      <c r="B124" s="603"/>
      <c r="C124" s="603"/>
      <c r="D124" s="87" t="s">
        <v>202</v>
      </c>
      <c r="E124" s="129"/>
      <c r="F124" s="87"/>
      <c r="G124" s="87"/>
      <c r="H124" s="87"/>
      <c r="I124" s="87"/>
      <c r="J124" s="129"/>
      <c r="K124" s="87"/>
      <c r="L124" s="87"/>
      <c r="M124" s="129"/>
      <c r="N124" s="87"/>
      <c r="O124" s="87"/>
      <c r="P124" s="129"/>
      <c r="Q124" s="87"/>
      <c r="R124" s="87"/>
      <c r="S124" s="129"/>
      <c r="T124" s="87"/>
      <c r="U124" s="87"/>
      <c r="V124" s="129"/>
      <c r="W124" s="87"/>
      <c r="X124" s="87"/>
      <c r="Y124" s="87"/>
      <c r="Z124" s="87"/>
      <c r="AA124" s="87"/>
    </row>
    <row r="125" spans="1:28">
      <c r="A125" s="591" t="s">
        <v>814</v>
      </c>
      <c r="B125" s="9">
        <v>82350</v>
      </c>
      <c r="C125" s="591" t="s">
        <v>747</v>
      </c>
      <c r="D125" s="8" t="s">
        <v>203</v>
      </c>
      <c r="F125" s="49" t="s">
        <v>100</v>
      </c>
      <c r="G125" s="44">
        <v>9</v>
      </c>
      <c r="H125" s="44">
        <v>300</v>
      </c>
      <c r="I125" s="44">
        <f t="shared" ref="I125:I127" si="149">G125*H125</f>
        <v>2700</v>
      </c>
      <c r="J125" s="123"/>
      <c r="K125" s="44">
        <v>12</v>
      </c>
      <c r="L125" s="44">
        <f t="shared" ref="L125" si="150">K125*H125*$E$6</f>
        <v>3780</v>
      </c>
      <c r="M125" s="123"/>
      <c r="N125" s="44">
        <v>12</v>
      </c>
      <c r="O125" s="44">
        <f t="shared" ref="O125" si="151">N125*H125*$E$6*$E$6</f>
        <v>3969</v>
      </c>
      <c r="P125" s="123"/>
      <c r="Q125" s="44">
        <v>12</v>
      </c>
      <c r="R125" s="44">
        <f t="shared" ref="R125:R127" si="152">Q125*H125*$E$6*$E$6*$E$6</f>
        <v>4167.45</v>
      </c>
      <c r="S125" s="123"/>
      <c r="T125" s="44">
        <v>12</v>
      </c>
      <c r="U125" s="44">
        <f t="shared" ref="U125:U127" si="153">T125*H125*$E$6*$E$6*$E$6*$E$6</f>
        <v>4375.8225000000002</v>
      </c>
      <c r="V125" s="123"/>
      <c r="W125" s="44">
        <v>9</v>
      </c>
      <c r="X125" s="44">
        <f>W125*H125*$E$6*$E$6*$E$6*$E$6*$E$6</f>
        <v>3445.9602187500004</v>
      </c>
      <c r="Y125" s="44">
        <f>SUM(R125,O125,L125,I125,U125,X125)</f>
        <v>22438.232718749998</v>
      </c>
      <c r="Z125" s="44">
        <v>0</v>
      </c>
      <c r="AA125" s="44">
        <f t="shared" ref="AA125:AA127" si="154">Y125+Z125</f>
        <v>22438.232718749998</v>
      </c>
    </row>
    <row r="126" spans="1:28">
      <c r="A126" s="6" t="s">
        <v>875</v>
      </c>
      <c r="B126" s="9">
        <v>85180</v>
      </c>
      <c r="C126" s="591" t="s">
        <v>747</v>
      </c>
      <c r="D126" s="8" t="s">
        <v>204</v>
      </c>
      <c r="E126" s="120"/>
      <c r="F126" s="49" t="s">
        <v>100</v>
      </c>
      <c r="G126" s="44">
        <v>9</v>
      </c>
      <c r="H126" s="44">
        <v>2500</v>
      </c>
      <c r="I126" s="44">
        <f t="shared" si="149"/>
        <v>22500</v>
      </c>
      <c r="J126" s="120"/>
      <c r="K126" s="44">
        <v>12</v>
      </c>
      <c r="L126" s="44">
        <f>K126*H126*$E$6</f>
        <v>31500</v>
      </c>
      <c r="M126" s="120"/>
      <c r="N126" s="44">
        <v>12</v>
      </c>
      <c r="O126" s="44">
        <f>N126*H126*$E$6*$E$6</f>
        <v>33075</v>
      </c>
      <c r="P126" s="120"/>
      <c r="Q126" s="44">
        <v>12</v>
      </c>
      <c r="R126" s="44">
        <f t="shared" si="152"/>
        <v>34728.75</v>
      </c>
      <c r="S126" s="120"/>
      <c r="T126" s="44">
        <v>12</v>
      </c>
      <c r="U126" s="44">
        <f t="shared" si="153"/>
        <v>36465.1875</v>
      </c>
      <c r="V126" s="120"/>
      <c r="W126" s="44">
        <v>9</v>
      </c>
      <c r="X126" s="44">
        <f>W126*H126*$E$6*$E$6*$E$6*$E$6*$E$6</f>
        <v>28716.335156250003</v>
      </c>
      <c r="Y126" s="44">
        <f>SUM(R126,O126,L126,I126,U126,X126)</f>
        <v>186985.27265624999</v>
      </c>
      <c r="Z126" s="44">
        <v>0</v>
      </c>
      <c r="AA126" s="44">
        <f t="shared" si="154"/>
        <v>186985.27265624999</v>
      </c>
    </row>
    <row r="127" spans="1:28">
      <c r="A127" s="6" t="s">
        <v>874</v>
      </c>
      <c r="B127" s="9">
        <v>85180</v>
      </c>
      <c r="C127" s="591" t="s">
        <v>747</v>
      </c>
      <c r="D127" s="8" t="s">
        <v>205</v>
      </c>
      <c r="F127" s="49" t="s">
        <v>100</v>
      </c>
      <c r="G127" s="44">
        <v>9</v>
      </c>
      <c r="H127" s="44">
        <f>350</f>
        <v>350</v>
      </c>
      <c r="I127" s="44">
        <f t="shared" si="149"/>
        <v>3150</v>
      </c>
      <c r="J127" s="123"/>
      <c r="K127" s="44">
        <v>12</v>
      </c>
      <c r="L127" s="44">
        <f t="shared" ref="L127" si="155">K127*H127*$E$6</f>
        <v>4410</v>
      </c>
      <c r="M127" s="123"/>
      <c r="N127" s="44">
        <v>12</v>
      </c>
      <c r="O127" s="44">
        <f t="shared" ref="O127" si="156">N127*H127*$E$6*$E$6</f>
        <v>4630.5</v>
      </c>
      <c r="P127" s="123"/>
      <c r="Q127" s="44">
        <v>12</v>
      </c>
      <c r="R127" s="44">
        <f t="shared" si="152"/>
        <v>4862.0250000000005</v>
      </c>
      <c r="S127" s="123"/>
      <c r="T127" s="44">
        <v>12</v>
      </c>
      <c r="U127" s="44">
        <f t="shared" si="153"/>
        <v>5105.1262500000012</v>
      </c>
      <c r="V127" s="123"/>
      <c r="W127" s="44">
        <v>9</v>
      </c>
      <c r="X127" s="44">
        <f>W127*H127*$E$6*$E$6*$E$6*$E$6*$E$6</f>
        <v>4020.2869218750006</v>
      </c>
      <c r="Y127" s="44">
        <f>SUM(R127,O127,L127,I127,U127,X127)</f>
        <v>26177.938171875005</v>
      </c>
      <c r="Z127" s="44">
        <v>0</v>
      </c>
      <c r="AA127" s="44">
        <f t="shared" si="154"/>
        <v>26177.938171875005</v>
      </c>
    </row>
    <row r="128" spans="1:28">
      <c r="A128" s="6" t="s">
        <v>875</v>
      </c>
      <c r="B128" s="9">
        <v>85180</v>
      </c>
      <c r="C128" s="591" t="s">
        <v>747</v>
      </c>
      <c r="D128" s="8" t="s">
        <v>206</v>
      </c>
      <c r="F128" s="49" t="s">
        <v>100</v>
      </c>
      <c r="G128" s="44">
        <v>9</v>
      </c>
      <c r="H128" s="44">
        <v>50</v>
      </c>
      <c r="I128" s="44">
        <f t="shared" ref="I128:I129" si="157">G128*H128</f>
        <v>450</v>
      </c>
      <c r="J128" s="123"/>
      <c r="K128" s="44">
        <v>12</v>
      </c>
      <c r="L128" s="44">
        <f t="shared" ref="L128:L129" si="158">K128*H128*$E$6</f>
        <v>630</v>
      </c>
      <c r="M128" s="123"/>
      <c r="N128" s="44">
        <v>12</v>
      </c>
      <c r="O128" s="44">
        <f t="shared" ref="O128:O129" si="159">N128*H128*$E$6*$E$6</f>
        <v>661.5</v>
      </c>
      <c r="P128" s="123"/>
      <c r="Q128" s="44">
        <v>12</v>
      </c>
      <c r="R128" s="44">
        <f t="shared" ref="R128:R129" si="160">Q128*H128*$E$6*$E$6*$E$6</f>
        <v>694.57500000000005</v>
      </c>
      <c r="S128" s="123"/>
      <c r="T128" s="44">
        <v>12</v>
      </c>
      <c r="U128" s="44">
        <f t="shared" ref="U128:U129" si="161">T128*H128*$E$6*$E$6*$E$6*$E$6</f>
        <v>729.30375000000004</v>
      </c>
      <c r="V128" s="123"/>
      <c r="W128" s="44">
        <v>9</v>
      </c>
      <c r="X128" s="44">
        <f>W128*H128*$E$6*$E$6*$E$6*$E$6*$E$6</f>
        <v>574.32670312500011</v>
      </c>
      <c r="Y128" s="44">
        <f>SUM(R128,O128,L128,I128,U128,X128)</f>
        <v>3739.7054531250001</v>
      </c>
      <c r="Z128" s="44">
        <v>0</v>
      </c>
      <c r="AA128" s="44">
        <f t="shared" ref="AA128:AA129" si="162">Y128+Z128</f>
        <v>3739.7054531250001</v>
      </c>
    </row>
    <row r="129" spans="1:27">
      <c r="A129" s="6" t="s">
        <v>875</v>
      </c>
      <c r="B129" s="591">
        <v>86110</v>
      </c>
      <c r="C129" s="591" t="s">
        <v>747</v>
      </c>
      <c r="D129" s="8" t="s">
        <v>207</v>
      </c>
      <c r="F129" s="49" t="s">
        <v>100</v>
      </c>
      <c r="G129" s="44">
        <v>9</v>
      </c>
      <c r="H129" s="44">
        <f>600</f>
        <v>600</v>
      </c>
      <c r="I129" s="44">
        <f t="shared" si="157"/>
        <v>5400</v>
      </c>
      <c r="J129" s="123"/>
      <c r="K129" s="44">
        <v>12</v>
      </c>
      <c r="L129" s="44">
        <f t="shared" si="158"/>
        <v>7560</v>
      </c>
      <c r="M129" s="123"/>
      <c r="N129" s="44">
        <v>12</v>
      </c>
      <c r="O129" s="44">
        <f t="shared" si="159"/>
        <v>7938</v>
      </c>
      <c r="P129" s="123"/>
      <c r="Q129" s="44">
        <v>12</v>
      </c>
      <c r="R129" s="44">
        <f t="shared" si="160"/>
        <v>8334.9</v>
      </c>
      <c r="S129" s="123"/>
      <c r="T129" s="44">
        <v>12</v>
      </c>
      <c r="U129" s="44">
        <f t="shared" si="161"/>
        <v>8751.6450000000004</v>
      </c>
      <c r="V129" s="123"/>
      <c r="W129" s="44">
        <v>9</v>
      </c>
      <c r="X129" s="44">
        <f>W129*H129*$E$6*$E$6*$E$6*$E$6*$E$6</f>
        <v>6891.9204375000008</v>
      </c>
      <c r="Y129" s="44">
        <f>SUM(R129,O129,L129,I129,U129,X129)</f>
        <v>44876.465437499995</v>
      </c>
      <c r="Z129" s="44">
        <v>0</v>
      </c>
      <c r="AA129" s="44">
        <f t="shared" si="162"/>
        <v>44876.465437499995</v>
      </c>
    </row>
    <row r="130" spans="1:27">
      <c r="A130" s="603"/>
      <c r="B130" s="603"/>
      <c r="C130" s="603"/>
      <c r="D130" s="87" t="s">
        <v>208</v>
      </c>
      <c r="E130" s="129"/>
      <c r="F130" s="87"/>
      <c r="G130" s="87"/>
      <c r="H130" s="87"/>
      <c r="I130" s="87"/>
      <c r="J130" s="129"/>
      <c r="K130" s="87"/>
      <c r="L130" s="87"/>
      <c r="M130" s="129"/>
      <c r="N130" s="87"/>
      <c r="O130" s="87"/>
      <c r="P130" s="129"/>
      <c r="Q130" s="87"/>
      <c r="R130" s="87"/>
      <c r="S130" s="129"/>
      <c r="T130" s="87"/>
      <c r="U130" s="87"/>
      <c r="V130" s="129"/>
      <c r="W130" s="87"/>
      <c r="X130" s="87"/>
      <c r="Y130" s="87"/>
      <c r="Z130" s="87"/>
      <c r="AA130" s="572"/>
    </row>
    <row r="131" spans="1:27">
      <c r="A131" s="591" t="s">
        <v>815</v>
      </c>
      <c r="B131" s="9">
        <v>82350</v>
      </c>
      <c r="C131" s="591" t="s">
        <v>747</v>
      </c>
      <c r="D131" s="8" t="s">
        <v>209</v>
      </c>
      <c r="F131" s="49" t="s">
        <v>100</v>
      </c>
      <c r="G131" s="44">
        <v>9</v>
      </c>
      <c r="H131" s="44">
        <v>255</v>
      </c>
      <c r="I131" s="44">
        <f t="shared" ref="I131" si="163">G131*H131</f>
        <v>2295</v>
      </c>
      <c r="J131" s="123"/>
      <c r="K131" s="44">
        <v>12</v>
      </c>
      <c r="L131" s="44">
        <f t="shared" ref="L131" si="164">K131*H131*$E$6</f>
        <v>3213</v>
      </c>
      <c r="M131" s="123"/>
      <c r="N131" s="44">
        <v>12</v>
      </c>
      <c r="O131" s="44">
        <f t="shared" ref="O131" si="165">N131*H131*$E$6*$E$6</f>
        <v>3373.65</v>
      </c>
      <c r="P131" s="123"/>
      <c r="Q131" s="44">
        <v>12</v>
      </c>
      <c r="R131" s="44">
        <f t="shared" ref="R131" si="166">Q131*H131*$E$6*$E$6*$E$6</f>
        <v>3542.3325000000004</v>
      </c>
      <c r="S131" s="123"/>
      <c r="T131" s="44">
        <v>12</v>
      </c>
      <c r="U131" s="44">
        <f t="shared" ref="U131" si="167">T131*H131*$E$6*$E$6*$E$6*$E$6</f>
        <v>3719.4491250000005</v>
      </c>
      <c r="V131" s="123"/>
      <c r="W131" s="44">
        <v>9</v>
      </c>
      <c r="X131" s="44">
        <f>W131*H131*$E$6*$E$6*$E$6*$E$6*$E$6</f>
        <v>2929.0661859375004</v>
      </c>
      <c r="Y131" s="44">
        <f>SUM(R131,O131,L131,I131,U131,X131)</f>
        <v>19072.497810937501</v>
      </c>
      <c r="Z131" s="44">
        <v>0</v>
      </c>
      <c r="AA131" s="44">
        <f t="shared" ref="AA131" si="168">Y131+Z131</f>
        <v>19072.497810937501</v>
      </c>
    </row>
    <row r="132" spans="1:27" ht="14.25" customHeight="1">
      <c r="A132" s="603"/>
      <c r="B132" s="603"/>
      <c r="C132" s="603"/>
      <c r="D132" s="87" t="s">
        <v>210</v>
      </c>
      <c r="E132" s="129"/>
      <c r="F132" s="87"/>
      <c r="G132" s="87"/>
      <c r="H132" s="87"/>
      <c r="I132" s="87"/>
      <c r="J132" s="129"/>
      <c r="K132" s="87"/>
      <c r="L132" s="87"/>
      <c r="M132" s="129"/>
      <c r="N132" s="87"/>
      <c r="O132" s="87"/>
      <c r="P132" s="129"/>
      <c r="Q132" s="87"/>
      <c r="R132" s="87"/>
      <c r="S132" s="129"/>
      <c r="T132" s="87"/>
      <c r="U132" s="87"/>
      <c r="V132" s="129"/>
      <c r="W132" s="87"/>
      <c r="X132" s="87"/>
      <c r="Y132" s="87"/>
      <c r="Z132" s="87"/>
      <c r="AA132" s="572"/>
    </row>
    <row r="133" spans="1:27" ht="15" customHeight="1">
      <c r="A133" s="591" t="s">
        <v>816</v>
      </c>
      <c r="B133" s="9">
        <v>82350</v>
      </c>
      <c r="C133" s="591" t="s">
        <v>747</v>
      </c>
      <c r="D133" s="8" t="s">
        <v>209</v>
      </c>
      <c r="F133" s="49" t="s">
        <v>100</v>
      </c>
      <c r="G133" s="44">
        <v>9</v>
      </c>
      <c r="H133" s="44">
        <v>255</v>
      </c>
      <c r="I133" s="44">
        <f t="shared" ref="I133" si="169">G133*H133</f>
        <v>2295</v>
      </c>
      <c r="J133" s="123"/>
      <c r="K133" s="44">
        <v>12</v>
      </c>
      <c r="L133" s="44">
        <f t="shared" ref="L133" si="170">K133*H133*$E$6</f>
        <v>3213</v>
      </c>
      <c r="M133" s="123"/>
      <c r="N133" s="44">
        <v>12</v>
      </c>
      <c r="O133" s="44">
        <f t="shared" ref="O133" si="171">N133*H133*$E$6*$E$6</f>
        <v>3373.65</v>
      </c>
      <c r="P133" s="123"/>
      <c r="Q133" s="44">
        <v>12</v>
      </c>
      <c r="R133" s="44">
        <f t="shared" ref="R133" si="172">Q133*H133*$E$6*$E$6*$E$6</f>
        <v>3542.3325000000004</v>
      </c>
      <c r="S133" s="123"/>
      <c r="T133" s="44">
        <v>12</v>
      </c>
      <c r="U133" s="44">
        <f t="shared" ref="U133" si="173">T133*H133*$E$6*$E$6*$E$6*$E$6</f>
        <v>3719.4491250000005</v>
      </c>
      <c r="V133" s="123"/>
      <c r="W133" s="44">
        <v>9</v>
      </c>
      <c r="X133" s="44">
        <f>W133*H133*$E$6*$E$6*$E$6*$E$6*$E$6</f>
        <v>2929.0661859375004</v>
      </c>
      <c r="Y133" s="44">
        <f>SUM(R133,O133,L133,I133,U133,X133)</f>
        <v>19072.497810937501</v>
      </c>
      <c r="Z133" s="44">
        <v>0</v>
      </c>
      <c r="AA133" s="44">
        <f t="shared" ref="AA133" si="174">Y133+Z133</f>
        <v>19072.497810937501</v>
      </c>
    </row>
    <row r="134" spans="1:27">
      <c r="A134" s="603"/>
      <c r="B134" s="603"/>
      <c r="C134" s="603"/>
      <c r="D134" s="87" t="s">
        <v>211</v>
      </c>
      <c r="E134" s="129"/>
      <c r="F134" s="87"/>
      <c r="G134" s="87"/>
      <c r="H134" s="87"/>
      <c r="I134" s="87"/>
      <c r="J134" s="129"/>
      <c r="K134" s="87"/>
      <c r="L134" s="87"/>
      <c r="M134" s="129"/>
      <c r="N134" s="87"/>
      <c r="O134" s="87"/>
      <c r="P134" s="129"/>
      <c r="Q134" s="87"/>
      <c r="R134" s="87"/>
      <c r="S134" s="129"/>
      <c r="T134" s="87"/>
      <c r="U134" s="87"/>
      <c r="V134" s="129"/>
      <c r="W134" s="87"/>
      <c r="X134" s="87"/>
      <c r="Y134" s="87"/>
      <c r="Z134" s="87"/>
      <c r="AA134" s="572"/>
    </row>
    <row r="135" spans="1:27">
      <c r="A135" s="8" t="s">
        <v>817</v>
      </c>
      <c r="B135" s="45">
        <v>90900</v>
      </c>
      <c r="C135" s="591" t="s">
        <v>747</v>
      </c>
      <c r="D135" s="8" t="s">
        <v>212</v>
      </c>
      <c r="E135" s="120"/>
      <c r="F135" s="49" t="s">
        <v>100</v>
      </c>
      <c r="G135" s="44">
        <v>9</v>
      </c>
      <c r="H135" s="44">
        <v>125</v>
      </c>
      <c r="I135" s="44">
        <f t="shared" ref="I135:I140" si="175">G135*H135</f>
        <v>1125</v>
      </c>
      <c r="J135" s="120"/>
      <c r="K135" s="44">
        <v>12</v>
      </c>
      <c r="L135" s="44">
        <f t="shared" ref="L135" si="176">K135*H135*$E$6</f>
        <v>1575</v>
      </c>
      <c r="M135" s="120"/>
      <c r="N135" s="44">
        <v>12</v>
      </c>
      <c r="O135" s="44">
        <f t="shared" ref="O135" si="177">N135*H135*$E$6*$E$6</f>
        <v>1653.75</v>
      </c>
      <c r="P135" s="120"/>
      <c r="Q135" s="44">
        <v>12</v>
      </c>
      <c r="R135" s="44">
        <f t="shared" ref="R135" si="178">Q135*H135*$E$6*$E$6*$E$6</f>
        <v>1736.4375</v>
      </c>
      <c r="S135" s="120"/>
      <c r="T135" s="44">
        <v>12</v>
      </c>
      <c r="U135" s="44">
        <f t="shared" ref="U135" si="179">T135*H135*$E$6*$E$6*$E$6*$E$6</f>
        <v>1823.2593750000001</v>
      </c>
      <c r="V135" s="120"/>
      <c r="W135" s="44">
        <v>9</v>
      </c>
      <c r="X135" s="44">
        <f>W135*H135*$E$6*$E$6*$E$6*$E$6*$E$6</f>
        <v>1435.8167578125001</v>
      </c>
      <c r="Y135" s="44">
        <f>SUM(R135,O135,L135,I135,U135,X135)</f>
        <v>9349.2636328124991</v>
      </c>
      <c r="Z135" s="44">
        <v>0</v>
      </c>
      <c r="AA135" s="44">
        <f t="shared" ref="AA135:AA140" si="180">Y135+Z135</f>
        <v>9349.2636328124991</v>
      </c>
    </row>
    <row r="136" spans="1:27">
      <c r="A136" s="591" t="s">
        <v>823</v>
      </c>
      <c r="B136" s="9">
        <v>82350</v>
      </c>
      <c r="C136" s="591" t="s">
        <v>747</v>
      </c>
      <c r="D136" s="8" t="s">
        <v>213</v>
      </c>
      <c r="F136" s="49" t="s">
        <v>100</v>
      </c>
      <c r="G136" s="44">
        <v>9</v>
      </c>
      <c r="H136" s="44">
        <v>10</v>
      </c>
      <c r="I136" s="44">
        <f t="shared" si="175"/>
        <v>90</v>
      </c>
      <c r="J136" s="123"/>
      <c r="K136" s="44">
        <v>12</v>
      </c>
      <c r="L136" s="44">
        <f>K136*H136*$E$6</f>
        <v>126</v>
      </c>
      <c r="M136" s="123"/>
      <c r="N136" s="44">
        <v>12</v>
      </c>
      <c r="O136" s="44">
        <f>N136*H136*$E$6*$E$6</f>
        <v>132.30000000000001</v>
      </c>
      <c r="P136" s="123"/>
      <c r="Q136" s="44">
        <v>12</v>
      </c>
      <c r="R136" s="44">
        <f>Q136*H136*$E$6*$E$6*$E$6</f>
        <v>138.91500000000002</v>
      </c>
      <c r="S136" s="123"/>
      <c r="T136" s="44">
        <v>12</v>
      </c>
      <c r="U136" s="44">
        <f>T136*H136*$E$6*$E$6*$E$6*$E$6</f>
        <v>145.86075000000002</v>
      </c>
      <c r="V136" s="123"/>
      <c r="W136" s="44">
        <v>9</v>
      </c>
      <c r="X136" s="44">
        <f t="shared" ref="X136:X141" si="181">W136*H136*$E$6*$E$6*$E$6*$E$6*$E$6</f>
        <v>114.86534062500003</v>
      </c>
      <c r="Y136" s="44">
        <f t="shared" ref="Y136:Y141" si="182">SUM(R136,O136,L136,I136,U136,X136)</f>
        <v>747.94109062500013</v>
      </c>
      <c r="Z136" s="44">
        <v>0</v>
      </c>
      <c r="AA136" s="44">
        <f t="shared" si="180"/>
        <v>747.94109062500013</v>
      </c>
    </row>
    <row r="137" spans="1:27">
      <c r="A137" s="6" t="s">
        <v>822</v>
      </c>
      <c r="B137" s="9">
        <v>90450</v>
      </c>
      <c r="C137" s="591" t="s">
        <v>747</v>
      </c>
      <c r="D137" s="8" t="s">
        <v>214</v>
      </c>
      <c r="F137" s="49" t="s">
        <v>166</v>
      </c>
      <c r="G137" s="44">
        <v>1</v>
      </c>
      <c r="H137" s="241">
        <v>400</v>
      </c>
      <c r="I137" s="44">
        <f t="shared" si="175"/>
        <v>400</v>
      </c>
      <c r="J137" s="123"/>
      <c r="K137" s="44">
        <v>1</v>
      </c>
      <c r="L137" s="44">
        <f>K137*H137*$E$6</f>
        <v>420</v>
      </c>
      <c r="M137" s="123"/>
      <c r="N137" s="44">
        <v>1</v>
      </c>
      <c r="O137" s="44">
        <f t="shared" ref="O137:O140" si="183">N137*H137*$E$6*$E$6</f>
        <v>441</v>
      </c>
      <c r="P137" s="123"/>
      <c r="Q137" s="44">
        <v>1</v>
      </c>
      <c r="R137" s="44">
        <f t="shared" ref="R137:R140" si="184">Q137*H137*$E$6*$E$6*$E$6</f>
        <v>463.05</v>
      </c>
      <c r="S137" s="123"/>
      <c r="T137" s="44">
        <v>1</v>
      </c>
      <c r="U137" s="44">
        <f t="shared" ref="U137:U140" si="185">T137*H137*$E$6*$E$6*$E$6*$E$6</f>
        <v>486.20250000000004</v>
      </c>
      <c r="V137" s="123"/>
      <c r="W137" s="44">
        <v>1</v>
      </c>
      <c r="X137" s="44">
        <f t="shared" si="181"/>
        <v>510.51262500000007</v>
      </c>
      <c r="Y137" s="44">
        <f t="shared" si="182"/>
        <v>2720.7651249999999</v>
      </c>
      <c r="Z137" s="44">
        <v>0</v>
      </c>
      <c r="AA137" s="44">
        <f t="shared" si="180"/>
        <v>2720.7651249999999</v>
      </c>
    </row>
    <row r="138" spans="1:27">
      <c r="A138" s="6" t="s">
        <v>821</v>
      </c>
      <c r="B138" s="9">
        <v>87010</v>
      </c>
      <c r="C138" s="591" t="s">
        <v>747</v>
      </c>
      <c r="D138" s="8" t="s">
        <v>215</v>
      </c>
      <c r="E138" s="120"/>
      <c r="F138" s="49" t="s">
        <v>100</v>
      </c>
      <c r="G138" s="44">
        <v>9</v>
      </c>
      <c r="H138" s="44">
        <f>15*25</f>
        <v>375</v>
      </c>
      <c r="I138" s="44">
        <f t="shared" si="175"/>
        <v>3375</v>
      </c>
      <c r="J138" s="120"/>
      <c r="K138" s="44">
        <v>12</v>
      </c>
      <c r="L138" s="44">
        <f t="shared" ref="L138" si="186">K138*H138*$E$6</f>
        <v>4725</v>
      </c>
      <c r="M138" s="120"/>
      <c r="N138" s="44">
        <v>12</v>
      </c>
      <c r="O138" s="44">
        <f t="shared" si="183"/>
        <v>4961.25</v>
      </c>
      <c r="P138" s="120"/>
      <c r="Q138" s="44">
        <v>12</v>
      </c>
      <c r="R138" s="44">
        <f t="shared" si="184"/>
        <v>5209.3125</v>
      </c>
      <c r="S138" s="120"/>
      <c r="T138" s="44">
        <v>12</v>
      </c>
      <c r="U138" s="44">
        <f t="shared" si="185"/>
        <v>5469.7781249999998</v>
      </c>
      <c r="V138" s="120"/>
      <c r="W138" s="44">
        <v>9</v>
      </c>
      <c r="X138" s="44">
        <f t="shared" si="181"/>
        <v>4307.450273437501</v>
      </c>
      <c r="Y138" s="44">
        <f t="shared" si="182"/>
        <v>28047.790898437503</v>
      </c>
      <c r="Z138" s="44">
        <v>0</v>
      </c>
      <c r="AA138" s="44">
        <f t="shared" si="180"/>
        <v>28047.790898437503</v>
      </c>
    </row>
    <row r="139" spans="1:27">
      <c r="A139" s="591" t="s">
        <v>795</v>
      </c>
      <c r="B139" s="591" t="s">
        <v>824</v>
      </c>
      <c r="C139" s="591" t="s">
        <v>747</v>
      </c>
      <c r="D139" s="8" t="s">
        <v>216</v>
      </c>
      <c r="E139" s="120"/>
      <c r="F139" s="49" t="s">
        <v>100</v>
      </c>
      <c r="G139" s="44">
        <v>9</v>
      </c>
      <c r="H139" s="44">
        <v>400</v>
      </c>
      <c r="I139" s="44">
        <f t="shared" si="175"/>
        <v>3600</v>
      </c>
      <c r="J139" s="120"/>
      <c r="K139" s="44">
        <v>12</v>
      </c>
      <c r="L139" s="44">
        <f>K139*H139*$E$6</f>
        <v>5040</v>
      </c>
      <c r="M139" s="120"/>
      <c r="N139" s="44">
        <v>12</v>
      </c>
      <c r="O139" s="44">
        <f t="shared" si="183"/>
        <v>5292</v>
      </c>
      <c r="P139" s="120"/>
      <c r="Q139" s="44">
        <v>12</v>
      </c>
      <c r="R139" s="44">
        <f t="shared" si="184"/>
        <v>5556.6</v>
      </c>
      <c r="S139" s="120"/>
      <c r="T139" s="44">
        <v>12</v>
      </c>
      <c r="U139" s="44">
        <f t="shared" si="185"/>
        <v>5834.43</v>
      </c>
      <c r="V139" s="120"/>
      <c r="W139" s="44">
        <v>9</v>
      </c>
      <c r="X139" s="44">
        <f t="shared" si="181"/>
        <v>4594.6136250000009</v>
      </c>
      <c r="Y139" s="44">
        <f t="shared" si="182"/>
        <v>29917.643625000001</v>
      </c>
      <c r="Z139" s="44">
        <v>0</v>
      </c>
      <c r="AA139" s="44">
        <f t="shared" si="180"/>
        <v>29917.643625000001</v>
      </c>
    </row>
    <row r="140" spans="1:27" ht="25.2">
      <c r="A140" s="6" t="s">
        <v>820</v>
      </c>
      <c r="B140" s="9">
        <v>89400</v>
      </c>
      <c r="C140" s="591" t="s">
        <v>747</v>
      </c>
      <c r="D140" s="8" t="s">
        <v>217</v>
      </c>
      <c r="E140" s="120"/>
      <c r="F140" s="49" t="s">
        <v>100</v>
      </c>
      <c r="G140" s="44">
        <v>9</v>
      </c>
      <c r="H140" s="44">
        <f>(500)+(44*6)+(44*28)</f>
        <v>1996</v>
      </c>
      <c r="I140" s="44">
        <f t="shared" si="175"/>
        <v>17964</v>
      </c>
      <c r="J140" s="120"/>
      <c r="K140" s="44">
        <v>12</v>
      </c>
      <c r="L140" s="44">
        <f t="shared" ref="L140" si="187">K140*H140*$E$6</f>
        <v>25149.600000000002</v>
      </c>
      <c r="M140" s="120"/>
      <c r="N140" s="44">
        <v>12</v>
      </c>
      <c r="O140" s="44">
        <f t="shared" si="183"/>
        <v>26407.08</v>
      </c>
      <c r="P140" s="120"/>
      <c r="Q140" s="44">
        <v>12</v>
      </c>
      <c r="R140" s="44">
        <f t="shared" si="184"/>
        <v>27727.434000000005</v>
      </c>
      <c r="S140" s="120"/>
      <c r="T140" s="44">
        <v>12</v>
      </c>
      <c r="U140" s="44">
        <f t="shared" si="185"/>
        <v>29113.805700000004</v>
      </c>
      <c r="V140" s="120"/>
      <c r="W140" s="44">
        <v>9</v>
      </c>
      <c r="X140" s="44">
        <f t="shared" si="181"/>
        <v>22927.121988750005</v>
      </c>
      <c r="Y140" s="44">
        <f t="shared" si="182"/>
        <v>149289.04168875003</v>
      </c>
      <c r="Z140" s="44">
        <v>0</v>
      </c>
      <c r="AA140" s="44">
        <f t="shared" si="180"/>
        <v>149289.04168875003</v>
      </c>
    </row>
    <row r="141" spans="1:27">
      <c r="A141" s="591" t="s">
        <v>818</v>
      </c>
      <c r="B141" s="591" t="s">
        <v>819</v>
      </c>
      <c r="C141" s="591" t="s">
        <v>747</v>
      </c>
      <c r="D141" s="8" t="s">
        <v>218</v>
      </c>
      <c r="E141" s="120"/>
      <c r="F141" s="49" t="s">
        <v>173</v>
      </c>
      <c r="G141" s="44">
        <v>4</v>
      </c>
      <c r="H141" s="44">
        <v>1500</v>
      </c>
      <c r="I141" s="44">
        <f>G141*H141</f>
        <v>6000</v>
      </c>
      <c r="J141" s="120"/>
      <c r="K141" s="44">
        <v>4</v>
      </c>
      <c r="L141" s="44">
        <f t="shared" ref="L141" si="188">K141*H141</f>
        <v>6000</v>
      </c>
      <c r="M141" s="123"/>
      <c r="N141" s="44">
        <v>4</v>
      </c>
      <c r="O141" s="44">
        <f t="shared" ref="O141" si="189">N141*H141</f>
        <v>6000</v>
      </c>
      <c r="P141" s="123"/>
      <c r="Q141" s="44">
        <v>4</v>
      </c>
      <c r="R141" s="44">
        <f t="shared" ref="R141" si="190">Q141*H141</f>
        <v>6000</v>
      </c>
      <c r="S141" s="123"/>
      <c r="T141" s="44">
        <v>4</v>
      </c>
      <c r="U141" s="44">
        <f>T141*H141</f>
        <v>6000</v>
      </c>
      <c r="V141" s="123"/>
      <c r="W141" s="44">
        <v>4</v>
      </c>
      <c r="X141" s="44">
        <f t="shared" si="181"/>
        <v>7657.6893750000008</v>
      </c>
      <c r="Y141" s="44">
        <f t="shared" si="182"/>
        <v>37657.689375000002</v>
      </c>
      <c r="Z141" s="44">
        <v>0</v>
      </c>
      <c r="AA141" s="44">
        <f>Y141+Z141</f>
        <v>37657.689375000002</v>
      </c>
    </row>
    <row r="142" spans="1:27">
      <c r="A142" s="603"/>
      <c r="B142" s="603"/>
      <c r="C142" s="603"/>
      <c r="D142" s="87" t="s">
        <v>219</v>
      </c>
      <c r="E142" s="129"/>
      <c r="F142" s="87"/>
      <c r="G142" s="87"/>
      <c r="H142" s="87"/>
      <c r="I142" s="87"/>
      <c r="J142" s="129"/>
      <c r="K142" s="87"/>
      <c r="L142" s="87"/>
      <c r="M142" s="129"/>
      <c r="N142" s="87"/>
      <c r="O142" s="87"/>
      <c r="P142" s="129"/>
      <c r="Q142" s="87"/>
      <c r="R142" s="87"/>
      <c r="S142" s="129"/>
      <c r="T142" s="87"/>
      <c r="U142" s="87"/>
      <c r="V142" s="129"/>
      <c r="W142" s="87"/>
      <c r="X142" s="87"/>
      <c r="Y142" s="87"/>
      <c r="Z142" s="87"/>
      <c r="AA142" s="572"/>
    </row>
    <row r="143" spans="1:27">
      <c r="A143" s="8" t="s">
        <v>825</v>
      </c>
      <c r="B143" s="9">
        <v>85105</v>
      </c>
      <c r="C143" s="591" t="s">
        <v>747</v>
      </c>
      <c r="D143" s="8" t="s">
        <v>220</v>
      </c>
      <c r="E143" s="120"/>
      <c r="F143" s="49" t="s">
        <v>166</v>
      </c>
      <c r="G143" s="44">
        <v>1</v>
      </c>
      <c r="H143" s="44">
        <v>1500</v>
      </c>
      <c r="I143" s="44">
        <f t="shared" ref="I143" si="191">G143*H143</f>
        <v>1500</v>
      </c>
      <c r="J143" s="120"/>
      <c r="K143" s="44">
        <v>1</v>
      </c>
      <c r="L143" s="44">
        <f t="shared" ref="L143:L144" si="192">K143*H143*$E$6</f>
        <v>1575</v>
      </c>
      <c r="M143" s="120"/>
      <c r="N143" s="44">
        <v>1</v>
      </c>
      <c r="O143" s="44">
        <f t="shared" ref="O143:O144" si="193">N143*H143*$E$6*$E$6</f>
        <v>1653.75</v>
      </c>
      <c r="P143" s="120"/>
      <c r="Q143" s="44">
        <v>1</v>
      </c>
      <c r="R143" s="44">
        <f t="shared" ref="R143:R144" si="194">Q143*H143*$E$6*$E$6*$E$6</f>
        <v>1736.4375</v>
      </c>
      <c r="S143" s="120"/>
      <c r="T143" s="44">
        <v>1</v>
      </c>
      <c r="U143" s="44">
        <f t="shared" ref="U143:U144" si="195">T143*H143*$E$6*$E$6*$E$6*$E$6</f>
        <v>1823.2593750000001</v>
      </c>
      <c r="V143" s="120"/>
      <c r="W143" s="44">
        <v>1</v>
      </c>
      <c r="X143" s="44">
        <f t="shared" ref="X143:X144" si="196">W143*H143*$E$6*$E$6*$E$6*$E$6*$E$6</f>
        <v>1914.4223437500002</v>
      </c>
      <c r="Y143" s="44">
        <f t="shared" ref="Y143:Y144" si="197">SUM(R143,O143,L143,I143,U143,X143)</f>
        <v>10202.86921875</v>
      </c>
      <c r="Z143" s="44">
        <v>0</v>
      </c>
      <c r="AA143" s="44">
        <f>Y143+Z143</f>
        <v>10202.86921875</v>
      </c>
    </row>
    <row r="144" spans="1:27">
      <c r="A144" s="8" t="s">
        <v>826</v>
      </c>
      <c r="B144" s="9">
        <v>85105</v>
      </c>
      <c r="C144" s="591" t="s">
        <v>747</v>
      </c>
      <c r="D144" s="8" t="s">
        <v>221</v>
      </c>
      <c r="E144" s="120"/>
      <c r="F144" s="49" t="s">
        <v>166</v>
      </c>
      <c r="G144" s="44">
        <v>1</v>
      </c>
      <c r="H144" s="44">
        <f>820*3</f>
        <v>2460</v>
      </c>
      <c r="I144" s="44">
        <f>G144*H144</f>
        <v>2460</v>
      </c>
      <c r="J144" s="120"/>
      <c r="K144" s="44">
        <v>1</v>
      </c>
      <c r="L144" s="44">
        <f t="shared" si="192"/>
        <v>2583</v>
      </c>
      <c r="M144" s="120"/>
      <c r="N144" s="44">
        <v>1</v>
      </c>
      <c r="O144" s="44">
        <f t="shared" si="193"/>
        <v>2712.15</v>
      </c>
      <c r="P144" s="120"/>
      <c r="Q144" s="44">
        <v>1</v>
      </c>
      <c r="R144" s="44">
        <f t="shared" si="194"/>
        <v>2847.7575000000002</v>
      </c>
      <c r="S144" s="120"/>
      <c r="T144" s="44">
        <v>1</v>
      </c>
      <c r="U144" s="44">
        <f t="shared" si="195"/>
        <v>2990.1453750000005</v>
      </c>
      <c r="V144" s="120"/>
      <c r="W144" s="44">
        <v>1</v>
      </c>
      <c r="X144" s="44">
        <f t="shared" si="196"/>
        <v>3139.6526437500006</v>
      </c>
      <c r="Y144" s="44">
        <f t="shared" si="197"/>
        <v>16732.705518750001</v>
      </c>
      <c r="Z144" s="44">
        <v>0</v>
      </c>
      <c r="AA144" s="44">
        <f>Y144+Z144</f>
        <v>16732.705518750001</v>
      </c>
    </row>
    <row r="145" spans="1:28">
      <c r="A145" s="603"/>
      <c r="B145" s="603"/>
      <c r="C145" s="603"/>
      <c r="D145" s="87" t="s">
        <v>222</v>
      </c>
      <c r="E145" s="129"/>
      <c r="F145" s="87"/>
      <c r="G145" s="87"/>
      <c r="H145" s="87"/>
      <c r="I145" s="87"/>
      <c r="J145" s="129"/>
      <c r="K145" s="87"/>
      <c r="L145" s="87"/>
      <c r="M145" s="129"/>
      <c r="N145" s="87"/>
      <c r="O145" s="87"/>
      <c r="P145" s="129"/>
      <c r="Q145" s="87"/>
      <c r="R145" s="87"/>
      <c r="S145" s="129"/>
      <c r="T145" s="87"/>
      <c r="U145" s="87"/>
      <c r="V145" s="129"/>
      <c r="W145" s="87"/>
      <c r="X145" s="87"/>
      <c r="Y145" s="87"/>
      <c r="Z145" s="87"/>
      <c r="AA145" s="572"/>
    </row>
    <row r="146" spans="1:28">
      <c r="A146" s="591" t="s">
        <v>827</v>
      </c>
      <c r="B146" s="45">
        <v>82105</v>
      </c>
      <c r="C146" s="591" t="s">
        <v>747</v>
      </c>
      <c r="D146" s="8" t="s">
        <v>223</v>
      </c>
      <c r="E146" s="120"/>
      <c r="F146" s="49" t="s">
        <v>224</v>
      </c>
      <c r="G146" s="44">
        <v>3</v>
      </c>
      <c r="H146" s="44">
        <f>1150</f>
        <v>1150</v>
      </c>
      <c r="I146" s="44">
        <f>G146*H146</f>
        <v>3450</v>
      </c>
      <c r="J146" s="120"/>
      <c r="K146" s="44">
        <f>G146</f>
        <v>3</v>
      </c>
      <c r="L146" s="44">
        <f>K146*H146*$E$6</f>
        <v>3622.5</v>
      </c>
      <c r="M146" s="120"/>
      <c r="N146" s="44">
        <f>G146</f>
        <v>3</v>
      </c>
      <c r="O146" s="44">
        <f>N146*H146*$E$6*$E$6</f>
        <v>3803.625</v>
      </c>
      <c r="P146" s="120"/>
      <c r="Q146" s="44">
        <f>G146</f>
        <v>3</v>
      </c>
      <c r="R146" s="44">
        <f>Q146*H146*$E$6*$E$6*$E$6</f>
        <v>3993.8062500000001</v>
      </c>
      <c r="S146" s="120"/>
      <c r="T146" s="44">
        <f>G146</f>
        <v>3</v>
      </c>
      <c r="U146" s="44">
        <f>T146*H146*$E$6*$E$6*$E$6*$E$6</f>
        <v>4193.4965625000004</v>
      </c>
      <c r="V146" s="120"/>
      <c r="W146" s="44">
        <f>G146</f>
        <v>3</v>
      </c>
      <c r="X146" s="44">
        <f t="shared" ref="X146:X147" si="198">W146*H146*$E$6*$E$6*$E$6*$E$6*$E$6</f>
        <v>4403.1713906250006</v>
      </c>
      <c r="Y146" s="44">
        <f t="shared" ref="Y146:Y147" si="199">SUM(R146,O146,L146,I146,U146,X146)</f>
        <v>23466.599203124999</v>
      </c>
      <c r="Z146" s="44">
        <v>0</v>
      </c>
      <c r="AA146" s="44">
        <f>Y146+Z146</f>
        <v>23466.599203124999</v>
      </c>
    </row>
    <row r="147" spans="1:28">
      <c r="A147" s="591" t="s">
        <v>828</v>
      </c>
      <c r="B147" s="45">
        <v>89500</v>
      </c>
      <c r="C147" s="591" t="s">
        <v>747</v>
      </c>
      <c r="D147" s="8" t="s">
        <v>225</v>
      </c>
      <c r="E147" s="120"/>
      <c r="F147" s="49" t="s">
        <v>224</v>
      </c>
      <c r="G147" s="44">
        <v>3</v>
      </c>
      <c r="H147" s="44">
        <f>800</f>
        <v>800</v>
      </c>
      <c r="I147" s="44">
        <f>G147*H147</f>
        <v>2400</v>
      </c>
      <c r="J147" s="120"/>
      <c r="K147" s="44">
        <f>G147</f>
        <v>3</v>
      </c>
      <c r="L147" s="44">
        <f>K147*H147*$E$6</f>
        <v>2520</v>
      </c>
      <c r="M147" s="120"/>
      <c r="N147" s="44">
        <f>G147</f>
        <v>3</v>
      </c>
      <c r="O147" s="44">
        <f>N147*H147*$E$6*$E$6</f>
        <v>2646</v>
      </c>
      <c r="P147" s="120"/>
      <c r="Q147" s="44">
        <f>G147</f>
        <v>3</v>
      </c>
      <c r="R147" s="44">
        <f>Q147*H147*$E$6*$E$6*$E$6</f>
        <v>2778.3</v>
      </c>
      <c r="S147" s="120"/>
      <c r="T147" s="44">
        <f>G147</f>
        <v>3</v>
      </c>
      <c r="U147" s="44">
        <f>T147*H147*$E$6*$E$6*$E$6*$E$6</f>
        <v>2917.2150000000001</v>
      </c>
      <c r="V147" s="120"/>
      <c r="W147" s="44">
        <f>G147</f>
        <v>3</v>
      </c>
      <c r="X147" s="44">
        <f t="shared" si="198"/>
        <v>3063.0757500000004</v>
      </c>
      <c r="Y147" s="44">
        <f t="shared" si="199"/>
        <v>16324.590749999999</v>
      </c>
      <c r="Z147" s="44">
        <v>0</v>
      </c>
      <c r="AA147" s="44">
        <f>Y147+Z147</f>
        <v>16324.590749999999</v>
      </c>
    </row>
    <row r="148" spans="1:28" ht="12.9" thickBot="1">
      <c r="A148" s="596"/>
      <c r="B148" s="596"/>
      <c r="C148" s="596"/>
      <c r="D148" s="54" t="s">
        <v>226</v>
      </c>
      <c r="E148" s="121"/>
      <c r="F148" s="54"/>
      <c r="G148" s="54"/>
      <c r="H148" s="67"/>
      <c r="I148" s="68">
        <f>SUM(I124:I147)</f>
        <v>81154</v>
      </c>
      <c r="J148" s="121"/>
      <c r="K148" s="68"/>
      <c r="L148" s="68">
        <f>SUM(L124:L147)</f>
        <v>107642.1</v>
      </c>
      <c r="M148" s="121"/>
      <c r="N148" s="68"/>
      <c r="O148" s="68">
        <f>SUM(O124:O147)</f>
        <v>112724.205</v>
      </c>
      <c r="P148" s="121"/>
      <c r="Q148" s="68"/>
      <c r="R148" s="68">
        <f>SUM(R124:R147)</f>
        <v>118060.41525000003</v>
      </c>
      <c r="S148" s="121"/>
      <c r="T148" s="68"/>
      <c r="U148" s="68">
        <f>SUM(U124:U147)</f>
        <v>123663.43601249999</v>
      </c>
      <c r="V148" s="121"/>
      <c r="W148" s="68"/>
      <c r="X148" s="68">
        <f>SUM(X124:X147)</f>
        <v>103575.353923125</v>
      </c>
      <c r="Y148" s="68">
        <f>SUM(Y124:Y147)</f>
        <v>646819.51018562505</v>
      </c>
      <c r="Z148" s="68">
        <f>SUM(Z124:Z147)</f>
        <v>0</v>
      </c>
      <c r="AA148" s="571">
        <f>SUM(AA124:AA147)</f>
        <v>646819.51018562505</v>
      </c>
    </row>
    <row r="149" spans="1:28">
      <c r="A149" s="597"/>
      <c r="B149" s="597"/>
      <c r="C149" s="597"/>
      <c r="D149" s="81"/>
      <c r="E149" s="118"/>
      <c r="F149" s="81"/>
      <c r="G149" s="63"/>
      <c r="H149" s="63"/>
      <c r="I149" s="63"/>
      <c r="J149" s="118"/>
      <c r="K149" s="63"/>
      <c r="L149" s="63"/>
      <c r="M149" s="118"/>
      <c r="N149" s="63"/>
      <c r="O149" s="63"/>
      <c r="P149" s="118"/>
      <c r="Q149" s="63"/>
      <c r="R149" s="63"/>
      <c r="S149" s="118"/>
      <c r="T149" s="63"/>
      <c r="U149" s="63"/>
      <c r="V149" s="118"/>
      <c r="W149" s="63"/>
      <c r="X149" s="63"/>
      <c r="Y149" s="63"/>
      <c r="Z149" s="63"/>
      <c r="AA149" s="63"/>
    </row>
    <row r="150" spans="1:28">
      <c r="A150" s="605"/>
      <c r="B150" s="605"/>
      <c r="C150" s="605"/>
      <c r="D150" s="94" t="str">
        <f>'USDA Budget Summary'!A27</f>
        <v>Activity 1: Provide School Meals</v>
      </c>
      <c r="E150" s="125"/>
      <c r="F150" s="38"/>
      <c r="G150" s="38"/>
      <c r="H150" s="39"/>
      <c r="I150" s="95"/>
      <c r="J150" s="125"/>
      <c r="K150" s="95"/>
      <c r="L150" s="95"/>
      <c r="M150" s="125"/>
      <c r="N150" s="95"/>
      <c r="O150" s="95"/>
      <c r="P150" s="125"/>
      <c r="Q150" s="95"/>
      <c r="R150" s="95"/>
      <c r="S150" s="125"/>
      <c r="T150" s="95"/>
      <c r="U150" s="95"/>
      <c r="V150" s="125"/>
      <c r="W150" s="95"/>
      <c r="X150" s="95"/>
      <c r="Y150" s="95"/>
      <c r="Z150" s="96"/>
      <c r="AA150" s="95"/>
    </row>
    <row r="151" spans="1:28">
      <c r="A151" s="606"/>
      <c r="B151" s="606"/>
      <c r="C151" s="606"/>
      <c r="D151" s="97" t="s">
        <v>227</v>
      </c>
      <c r="E151" s="126"/>
      <c r="F151" s="98"/>
      <c r="G151" s="99"/>
      <c r="H151" s="99"/>
      <c r="I151" s="99"/>
      <c r="J151" s="126"/>
      <c r="K151" s="99"/>
      <c r="L151" s="99"/>
      <c r="M151" s="126"/>
      <c r="N151" s="99"/>
      <c r="O151" s="99"/>
      <c r="P151" s="126"/>
      <c r="Q151" s="99"/>
      <c r="R151" s="99"/>
      <c r="S151" s="126"/>
      <c r="T151" s="99"/>
      <c r="U151" s="99"/>
      <c r="V151" s="126"/>
      <c r="W151" s="99"/>
      <c r="X151" s="99"/>
      <c r="Y151" s="99"/>
      <c r="Z151" s="99"/>
      <c r="AA151" s="99"/>
    </row>
    <row r="152" spans="1:28">
      <c r="A152" s="607"/>
      <c r="B152" s="607"/>
      <c r="C152" s="607"/>
      <c r="D152" s="41" t="s">
        <v>228</v>
      </c>
      <c r="E152" s="127"/>
      <c r="F152" s="46"/>
      <c r="G152" s="47"/>
      <c r="H152" s="47"/>
      <c r="I152" s="47"/>
      <c r="J152" s="127"/>
      <c r="K152" s="47"/>
      <c r="L152" s="47"/>
      <c r="M152" s="127"/>
      <c r="N152" s="47"/>
      <c r="O152" s="47"/>
      <c r="P152" s="127"/>
      <c r="Q152" s="47"/>
      <c r="R152" s="47"/>
      <c r="S152" s="127"/>
      <c r="T152" s="47"/>
      <c r="U152" s="47"/>
      <c r="V152" s="127"/>
      <c r="W152" s="47"/>
      <c r="X152" s="47"/>
      <c r="Y152" s="47"/>
      <c r="Z152" s="47"/>
      <c r="AA152" s="47"/>
    </row>
    <row r="153" spans="1:28" hidden="1">
      <c r="A153" s="595" t="s">
        <v>831</v>
      </c>
      <c r="B153" s="595">
        <v>70000</v>
      </c>
      <c r="C153" s="595" t="s">
        <v>747</v>
      </c>
      <c r="D153" s="8" t="str">
        <f t="shared" ref="D153:D186" si="200">D12</f>
        <v xml:space="preserve">Key Personnel: Chief of Party - Roger Sanchez O’Neill </v>
      </c>
      <c r="E153" s="115">
        <f>'LOE Breakdown by Year'!E11</f>
        <v>0</v>
      </c>
      <c r="F153" s="50" t="s">
        <v>100</v>
      </c>
      <c r="G153" s="44">
        <f t="shared" ref="G153:H172" si="201">G12</f>
        <v>11</v>
      </c>
      <c r="H153" s="44">
        <f t="shared" si="201"/>
        <v>9583.3333333333339</v>
      </c>
      <c r="I153" s="44">
        <f>G153*H153*E153</f>
        <v>0</v>
      </c>
      <c r="J153" s="115">
        <f>'LOE Breakdown by Year'!E57</f>
        <v>0</v>
      </c>
      <c r="K153" s="44">
        <f t="shared" ref="K153:K186" si="202">K12</f>
        <v>12</v>
      </c>
      <c r="L153" s="44">
        <f>K153*H153*$E$7*$J153</f>
        <v>0</v>
      </c>
      <c r="M153" s="115">
        <f>'LOE Breakdown by Year'!E103</f>
        <v>0</v>
      </c>
      <c r="N153" s="44">
        <f t="shared" ref="N153:N186" si="203">N12</f>
        <v>12</v>
      </c>
      <c r="O153" s="44">
        <f>N153*H153*$M153*$E$7*$E$7</f>
        <v>0</v>
      </c>
      <c r="P153" s="115">
        <f>'LOE Breakdown by Year'!E149</f>
        <v>0</v>
      </c>
      <c r="Q153" s="44">
        <f t="shared" ref="Q153:Q186" si="204">Q12</f>
        <v>12</v>
      </c>
      <c r="R153" s="44">
        <f>Q153*H153*$P153*$E$7*$E$7*$E$7</f>
        <v>0</v>
      </c>
      <c r="S153" s="115">
        <f>'LOE Breakdown by Year'!E195</f>
        <v>0</v>
      </c>
      <c r="T153" s="44">
        <f t="shared" ref="T153:T186" si="205">T12</f>
        <v>12</v>
      </c>
      <c r="U153" s="44">
        <f>T153*H153*$S153*$E$7*$E$7*$E$7*$E$7</f>
        <v>0</v>
      </c>
      <c r="V153" s="115">
        <f>'LOE Breakdown by Year'!E241</f>
        <v>0</v>
      </c>
      <c r="W153" s="44">
        <f t="shared" ref="W153:W186" si="206">W12</f>
        <v>12</v>
      </c>
      <c r="X153" s="44">
        <f>W153*H153*$V153*$E$7*$E$7*$E$7*$E$7*$E$7</f>
        <v>0</v>
      </c>
      <c r="Y153" s="44">
        <f>SUM(R153,O153,L153,I153,U153,X153)</f>
        <v>0</v>
      </c>
      <c r="Z153" s="44">
        <v>0</v>
      </c>
      <c r="AA153" s="44">
        <f t="shared" ref="AA153" si="207">SUM(Y153:Z153)</f>
        <v>0</v>
      </c>
    </row>
    <row r="154" spans="1:28" hidden="1">
      <c r="A154" s="595" t="s">
        <v>832</v>
      </c>
      <c r="B154" s="595">
        <v>70000</v>
      </c>
      <c r="C154" s="595" t="s">
        <v>747</v>
      </c>
      <c r="D154" s="8" t="str">
        <f t="shared" si="200"/>
        <v>Key Personnel: Deputy Chief of Party - David Medina Mayo</v>
      </c>
      <c r="E154" s="115">
        <f>'LOE Breakdown by Year'!E12</f>
        <v>0</v>
      </c>
      <c r="F154" s="50" t="s">
        <v>100</v>
      </c>
      <c r="G154" s="44">
        <f t="shared" si="201"/>
        <v>11</v>
      </c>
      <c r="H154" s="44">
        <f t="shared" si="201"/>
        <v>6500</v>
      </c>
      <c r="I154" s="44">
        <f t="shared" ref="I154:I186" si="208">G154*H154*E154</f>
        <v>0</v>
      </c>
      <c r="J154" s="115">
        <f>'LOE Breakdown by Year'!E58</f>
        <v>0</v>
      </c>
      <c r="K154" s="44">
        <f t="shared" si="202"/>
        <v>12</v>
      </c>
      <c r="L154" s="44">
        <f t="shared" ref="L154:L186" si="209">K154*H154*$E$7*$J154</f>
        <v>0</v>
      </c>
      <c r="M154" s="115">
        <f>'LOE Breakdown by Year'!E104</f>
        <v>0</v>
      </c>
      <c r="N154" s="44">
        <f t="shared" si="203"/>
        <v>12</v>
      </c>
      <c r="O154" s="44">
        <f t="shared" ref="O154:O186" si="210">N154*H154*$M154*$E$7*$E$7</f>
        <v>0</v>
      </c>
      <c r="P154" s="115">
        <f>'LOE Breakdown by Year'!E150</f>
        <v>0</v>
      </c>
      <c r="Q154" s="44">
        <f t="shared" si="204"/>
        <v>12</v>
      </c>
      <c r="R154" s="44">
        <f t="shared" ref="R154:R186" si="211">Q154*H154*$P154*$E$7*$E$7*$E$7</f>
        <v>0</v>
      </c>
      <c r="S154" s="115">
        <f>'LOE Breakdown by Year'!E196</f>
        <v>0</v>
      </c>
      <c r="T154" s="44">
        <f t="shared" si="205"/>
        <v>12</v>
      </c>
      <c r="U154" s="44">
        <f t="shared" ref="U154:U186" si="212">T154*H154*$S154*$E$7*$E$7*$E$7*$E$7</f>
        <v>0</v>
      </c>
      <c r="V154" s="115">
        <f>'LOE Breakdown by Year'!E242</f>
        <v>0</v>
      </c>
      <c r="W154" s="44">
        <f t="shared" si="206"/>
        <v>12</v>
      </c>
      <c r="X154" s="44">
        <f t="shared" ref="X154:X186" si="213">W154*H154*$V154*$E$7*$E$7*$E$7*$E$7*$E$7</f>
        <v>0</v>
      </c>
      <c r="Y154" s="44">
        <f t="shared" ref="Y154:Y186" si="214">SUM(R154,O154,L154,I154,U154,X154)</f>
        <v>0</v>
      </c>
      <c r="Z154" s="44">
        <v>0</v>
      </c>
      <c r="AA154" s="44">
        <f t="shared" ref="AA154:AA186" si="215">SUM(Y154:Z154)</f>
        <v>0</v>
      </c>
    </row>
    <row r="155" spans="1:28" hidden="1">
      <c r="A155" s="595" t="s">
        <v>833</v>
      </c>
      <c r="B155" s="595">
        <v>70000</v>
      </c>
      <c r="C155" s="595" t="s">
        <v>747</v>
      </c>
      <c r="D155" s="8" t="str">
        <f t="shared" si="200"/>
        <v>Policy &amp; Sustainability Specialist</v>
      </c>
      <c r="E155" s="115">
        <f>'LOE Breakdown by Year'!E13</f>
        <v>0</v>
      </c>
      <c r="F155" s="50" t="s">
        <v>100</v>
      </c>
      <c r="G155" s="44">
        <f t="shared" si="201"/>
        <v>0</v>
      </c>
      <c r="H155" s="44">
        <f t="shared" si="201"/>
        <v>1500</v>
      </c>
      <c r="I155" s="44">
        <f t="shared" si="208"/>
        <v>0</v>
      </c>
      <c r="J155" s="115">
        <f>'LOE Breakdown by Year'!E59</f>
        <v>0</v>
      </c>
      <c r="K155" s="44">
        <f t="shared" si="202"/>
        <v>0</v>
      </c>
      <c r="L155" s="44">
        <f t="shared" si="209"/>
        <v>0</v>
      </c>
      <c r="M155" s="115">
        <f>'LOE Breakdown by Year'!E105</f>
        <v>0</v>
      </c>
      <c r="N155" s="44">
        <f t="shared" si="203"/>
        <v>7</v>
      </c>
      <c r="O155" s="44">
        <f t="shared" si="210"/>
        <v>0</v>
      </c>
      <c r="P155" s="115">
        <f>'LOE Breakdown by Year'!E151</f>
        <v>0</v>
      </c>
      <c r="Q155" s="44">
        <f t="shared" si="204"/>
        <v>12</v>
      </c>
      <c r="R155" s="44">
        <f t="shared" si="211"/>
        <v>0</v>
      </c>
      <c r="S155" s="115">
        <f>'LOE Breakdown by Year'!E197</f>
        <v>0</v>
      </c>
      <c r="T155" s="44">
        <f t="shared" si="205"/>
        <v>12</v>
      </c>
      <c r="U155" s="44">
        <f t="shared" si="212"/>
        <v>0</v>
      </c>
      <c r="V155" s="115">
        <f>'LOE Breakdown by Year'!E243</f>
        <v>0</v>
      </c>
      <c r="W155" s="44">
        <f t="shared" si="206"/>
        <v>6</v>
      </c>
      <c r="X155" s="44">
        <f t="shared" si="213"/>
        <v>0</v>
      </c>
      <c r="Y155" s="44">
        <f t="shared" si="214"/>
        <v>0</v>
      </c>
      <c r="Z155" s="44">
        <v>0</v>
      </c>
      <c r="AA155" s="44">
        <f t="shared" si="215"/>
        <v>0</v>
      </c>
    </row>
    <row r="156" spans="1:28" hidden="1">
      <c r="A156" s="595" t="s">
        <v>834</v>
      </c>
      <c r="B156" s="595">
        <v>70000</v>
      </c>
      <c r="C156" s="595" t="s">
        <v>747</v>
      </c>
      <c r="D156" s="8" t="str">
        <f t="shared" si="200"/>
        <v xml:space="preserve">Education Director </v>
      </c>
      <c r="E156" s="115">
        <f>'LOE Breakdown by Year'!E14</f>
        <v>0</v>
      </c>
      <c r="F156" s="50" t="s">
        <v>100</v>
      </c>
      <c r="G156" s="44">
        <f t="shared" si="201"/>
        <v>9</v>
      </c>
      <c r="H156" s="44">
        <f t="shared" si="201"/>
        <v>4583.333333333333</v>
      </c>
      <c r="I156" s="44">
        <f t="shared" si="208"/>
        <v>0</v>
      </c>
      <c r="J156" s="115">
        <f>'LOE Breakdown by Year'!E60</f>
        <v>0</v>
      </c>
      <c r="K156" s="44">
        <f t="shared" si="202"/>
        <v>12</v>
      </c>
      <c r="L156" s="44">
        <f t="shared" si="209"/>
        <v>0</v>
      </c>
      <c r="M156" s="115">
        <f>'LOE Breakdown by Year'!E106</f>
        <v>0</v>
      </c>
      <c r="N156" s="44">
        <f t="shared" si="203"/>
        <v>12</v>
      </c>
      <c r="O156" s="44">
        <f t="shared" si="210"/>
        <v>0</v>
      </c>
      <c r="P156" s="115">
        <f>'LOE Breakdown by Year'!E152</f>
        <v>0</v>
      </c>
      <c r="Q156" s="44">
        <f t="shared" si="204"/>
        <v>12</v>
      </c>
      <c r="R156" s="44">
        <f t="shared" si="211"/>
        <v>0</v>
      </c>
      <c r="S156" s="115">
        <f>'LOE Breakdown by Year'!E198</f>
        <v>0</v>
      </c>
      <c r="T156" s="44">
        <f t="shared" si="205"/>
        <v>12</v>
      </c>
      <c r="U156" s="44">
        <f t="shared" si="212"/>
        <v>0</v>
      </c>
      <c r="V156" s="115">
        <f>'LOE Breakdown by Year'!E244</f>
        <v>0</v>
      </c>
      <c r="W156" s="44">
        <f t="shared" si="206"/>
        <v>8</v>
      </c>
      <c r="X156" s="44">
        <f t="shared" si="213"/>
        <v>0</v>
      </c>
      <c r="Y156" s="44">
        <f t="shared" si="214"/>
        <v>0</v>
      </c>
      <c r="Z156" s="44">
        <v>0</v>
      </c>
      <c r="AA156" s="44">
        <f t="shared" si="215"/>
        <v>0</v>
      </c>
    </row>
    <row r="157" spans="1:28" hidden="1">
      <c r="A157" s="595" t="s">
        <v>835</v>
      </c>
      <c r="B157" s="595">
        <v>70000</v>
      </c>
      <c r="C157" s="595" t="s">
        <v>747</v>
      </c>
      <c r="D157" s="8" t="str">
        <f t="shared" si="200"/>
        <v>Education Specialist</v>
      </c>
      <c r="E157" s="115">
        <f>'LOE Breakdown by Year'!E15</f>
        <v>0</v>
      </c>
      <c r="F157" s="50" t="s">
        <v>100</v>
      </c>
      <c r="G157" s="44">
        <f t="shared" si="201"/>
        <v>8</v>
      </c>
      <c r="H157" s="44">
        <f t="shared" si="201"/>
        <v>2500</v>
      </c>
      <c r="I157" s="44">
        <f t="shared" si="208"/>
        <v>0</v>
      </c>
      <c r="J157" s="115">
        <f>'LOE Breakdown by Year'!E61</f>
        <v>0</v>
      </c>
      <c r="K157" s="44">
        <f t="shared" si="202"/>
        <v>12</v>
      </c>
      <c r="L157" s="44">
        <f t="shared" si="209"/>
        <v>0</v>
      </c>
      <c r="M157" s="115">
        <f>'LOE Breakdown by Year'!E107</f>
        <v>0</v>
      </c>
      <c r="N157" s="44">
        <f t="shared" si="203"/>
        <v>12</v>
      </c>
      <c r="O157" s="44">
        <f t="shared" si="210"/>
        <v>0</v>
      </c>
      <c r="P157" s="115">
        <f>'LOE Breakdown by Year'!E153</f>
        <v>0</v>
      </c>
      <c r="Q157" s="44">
        <f t="shared" si="204"/>
        <v>12</v>
      </c>
      <c r="R157" s="44">
        <f t="shared" si="211"/>
        <v>0</v>
      </c>
      <c r="S157" s="115">
        <f>'LOE Breakdown by Year'!E199</f>
        <v>0</v>
      </c>
      <c r="T157" s="44">
        <f t="shared" si="205"/>
        <v>12</v>
      </c>
      <c r="U157" s="44">
        <f t="shared" si="212"/>
        <v>0</v>
      </c>
      <c r="V157" s="115">
        <f>'LOE Breakdown by Year'!E245</f>
        <v>0</v>
      </c>
      <c r="W157" s="44">
        <f t="shared" si="206"/>
        <v>3</v>
      </c>
      <c r="X157" s="44">
        <f t="shared" si="213"/>
        <v>0</v>
      </c>
      <c r="Y157" s="44">
        <f t="shared" si="214"/>
        <v>0</v>
      </c>
      <c r="Z157" s="44">
        <v>0</v>
      </c>
      <c r="AA157" s="44">
        <f t="shared" si="215"/>
        <v>0</v>
      </c>
    </row>
    <row r="158" spans="1:28" hidden="1">
      <c r="A158" s="595" t="s">
        <v>836</v>
      </c>
      <c r="B158" s="595">
        <v>70000</v>
      </c>
      <c r="C158" s="595" t="s">
        <v>747</v>
      </c>
      <c r="D158" s="8" t="str">
        <f t="shared" si="200"/>
        <v>Education Officer</v>
      </c>
      <c r="E158" s="115">
        <f>'LOE Breakdown by Year'!E16</f>
        <v>0</v>
      </c>
      <c r="F158" s="50" t="s">
        <v>100</v>
      </c>
      <c r="G158" s="44">
        <f t="shared" si="201"/>
        <v>6</v>
      </c>
      <c r="H158" s="44">
        <f t="shared" si="201"/>
        <v>1000</v>
      </c>
      <c r="I158" s="44">
        <f t="shared" si="208"/>
        <v>0</v>
      </c>
      <c r="J158" s="115">
        <f>'LOE Breakdown by Year'!E62</f>
        <v>0</v>
      </c>
      <c r="K158" s="44">
        <f t="shared" si="202"/>
        <v>12</v>
      </c>
      <c r="L158" s="44">
        <f t="shared" si="209"/>
        <v>0</v>
      </c>
      <c r="M158" s="115">
        <f>'LOE Breakdown by Year'!E108</f>
        <v>0</v>
      </c>
      <c r="N158" s="44">
        <f t="shared" si="203"/>
        <v>12</v>
      </c>
      <c r="O158" s="44">
        <f t="shared" si="210"/>
        <v>0</v>
      </c>
      <c r="P158" s="115">
        <f>'LOE Breakdown by Year'!E154</f>
        <v>0</v>
      </c>
      <c r="Q158" s="44">
        <f t="shared" si="204"/>
        <v>12</v>
      </c>
      <c r="R158" s="44">
        <f t="shared" si="211"/>
        <v>0</v>
      </c>
      <c r="S158" s="115">
        <f>'LOE Breakdown by Year'!E200</f>
        <v>0</v>
      </c>
      <c r="T158" s="44">
        <f t="shared" si="205"/>
        <v>12</v>
      </c>
      <c r="U158" s="44">
        <f t="shared" si="212"/>
        <v>0</v>
      </c>
      <c r="V158" s="115">
        <f>'LOE Breakdown by Year'!E246</f>
        <v>0</v>
      </c>
      <c r="W158" s="44">
        <f t="shared" si="206"/>
        <v>3</v>
      </c>
      <c r="X158" s="44">
        <f t="shared" si="213"/>
        <v>0</v>
      </c>
      <c r="Y158" s="44">
        <f t="shared" si="214"/>
        <v>0</v>
      </c>
      <c r="Z158" s="44">
        <v>0</v>
      </c>
      <c r="AA158" s="44">
        <f t="shared" si="215"/>
        <v>0</v>
      </c>
    </row>
    <row r="159" spans="1:28">
      <c r="A159" s="595" t="s">
        <v>846</v>
      </c>
      <c r="B159" s="595">
        <v>70000</v>
      </c>
      <c r="C159" s="595" t="s">
        <v>747</v>
      </c>
      <c r="D159" s="8" t="str">
        <f t="shared" si="200"/>
        <v>Nutrition and Health Specialist</v>
      </c>
      <c r="E159" s="115">
        <f>'LOE Breakdown by Year'!E17</f>
        <v>0.25</v>
      </c>
      <c r="F159" s="50" t="s">
        <v>100</v>
      </c>
      <c r="G159" s="44">
        <f t="shared" si="201"/>
        <v>9</v>
      </c>
      <c r="H159" s="44">
        <f t="shared" si="201"/>
        <v>1500</v>
      </c>
      <c r="I159" s="44">
        <f t="shared" si="208"/>
        <v>3375</v>
      </c>
      <c r="J159" s="115">
        <f>'LOE Breakdown by Year'!E63</f>
        <v>0.25</v>
      </c>
      <c r="K159" s="44">
        <f t="shared" si="202"/>
        <v>12</v>
      </c>
      <c r="L159" s="44">
        <f t="shared" si="209"/>
        <v>4725</v>
      </c>
      <c r="M159" s="115">
        <f>'LOE Breakdown by Year'!E109</f>
        <v>0.25</v>
      </c>
      <c r="N159" s="44">
        <f t="shared" si="203"/>
        <v>12</v>
      </c>
      <c r="O159" s="44">
        <f t="shared" si="210"/>
        <v>4961.25</v>
      </c>
      <c r="P159" s="115">
        <f>'LOE Breakdown by Year'!E155</f>
        <v>0.25</v>
      </c>
      <c r="Q159" s="44">
        <f t="shared" si="204"/>
        <v>12</v>
      </c>
      <c r="R159" s="44">
        <f t="shared" si="211"/>
        <v>5209.3125</v>
      </c>
      <c r="S159" s="115">
        <f>'LOE Breakdown by Year'!E201</f>
        <v>0.25</v>
      </c>
      <c r="T159" s="44">
        <f t="shared" si="205"/>
        <v>12</v>
      </c>
      <c r="U159" s="44">
        <f t="shared" si="212"/>
        <v>5469.7781249999998</v>
      </c>
      <c r="V159" s="115">
        <f>'LOE Breakdown by Year'!E247</f>
        <v>0.25</v>
      </c>
      <c r="W159" s="44">
        <f t="shared" si="206"/>
        <v>6</v>
      </c>
      <c r="X159" s="44">
        <f t="shared" si="213"/>
        <v>2871.6335156250002</v>
      </c>
      <c r="Y159" s="44">
        <f t="shared" si="214"/>
        <v>26611.974140625</v>
      </c>
      <c r="Z159" s="44">
        <v>0</v>
      </c>
      <c r="AA159" s="44">
        <f t="shared" si="215"/>
        <v>26611.974140625</v>
      </c>
    </row>
    <row r="160" spans="1:28">
      <c r="A160" s="595" t="s">
        <v>837</v>
      </c>
      <c r="B160" s="595">
        <v>70000</v>
      </c>
      <c r="C160" s="595" t="s">
        <v>747</v>
      </c>
      <c r="D160" s="8" t="str">
        <f t="shared" si="200"/>
        <v>Nutrition Officer - (2 Individuals)</v>
      </c>
      <c r="E160" s="115">
        <f>'LOE Breakdown by Year'!E18</f>
        <v>0.85</v>
      </c>
      <c r="F160" s="50" t="s">
        <v>100</v>
      </c>
      <c r="G160" s="44">
        <f t="shared" si="201"/>
        <v>6</v>
      </c>
      <c r="H160" s="44">
        <f t="shared" si="201"/>
        <v>1000</v>
      </c>
      <c r="I160" s="44">
        <f t="shared" si="208"/>
        <v>5100</v>
      </c>
      <c r="J160" s="115">
        <f>'LOE Breakdown by Year'!E64</f>
        <v>0.85</v>
      </c>
      <c r="K160" s="44">
        <f t="shared" si="202"/>
        <v>24</v>
      </c>
      <c r="L160" s="44">
        <f t="shared" si="209"/>
        <v>21420</v>
      </c>
      <c r="M160" s="115">
        <f>'LOE Breakdown by Year'!E110</f>
        <v>0.85</v>
      </c>
      <c r="N160" s="44">
        <f t="shared" si="203"/>
        <v>24</v>
      </c>
      <c r="O160" s="44">
        <f t="shared" si="210"/>
        <v>22491</v>
      </c>
      <c r="P160" s="115">
        <f>'LOE Breakdown by Year'!E156</f>
        <v>0.85</v>
      </c>
      <c r="Q160" s="44">
        <f t="shared" si="204"/>
        <v>24</v>
      </c>
      <c r="R160" s="44">
        <f t="shared" si="211"/>
        <v>23615.55</v>
      </c>
      <c r="S160" s="115">
        <f>'LOE Breakdown by Year'!E202</f>
        <v>0.85</v>
      </c>
      <c r="T160" s="44">
        <f t="shared" si="205"/>
        <v>24</v>
      </c>
      <c r="U160" s="44">
        <f t="shared" si="212"/>
        <v>24796.327499999999</v>
      </c>
      <c r="V160" s="115">
        <f>'LOE Breakdown by Year'!E248</f>
        <v>0.85</v>
      </c>
      <c r="W160" s="44">
        <f t="shared" si="206"/>
        <v>6</v>
      </c>
      <c r="X160" s="44">
        <f t="shared" si="213"/>
        <v>6509.0359687500004</v>
      </c>
      <c r="Y160" s="44">
        <f t="shared" si="214"/>
        <v>103931.91346875</v>
      </c>
      <c r="Z160" s="44">
        <v>0</v>
      </c>
      <c r="AA160" s="44">
        <f t="shared" si="215"/>
        <v>103931.91346875</v>
      </c>
      <c r="AB160" s="569"/>
    </row>
    <row r="161" spans="1:28">
      <c r="A161" s="595" t="s">
        <v>838</v>
      </c>
      <c r="B161" s="595">
        <v>70000</v>
      </c>
      <c r="C161" s="595" t="s">
        <v>747</v>
      </c>
      <c r="D161" s="8" t="str">
        <f t="shared" si="200"/>
        <v>School Feeding Specialist</v>
      </c>
      <c r="E161" s="115">
        <f>'LOE Breakdown by Year'!E19</f>
        <v>0.4</v>
      </c>
      <c r="F161" s="50" t="s">
        <v>100</v>
      </c>
      <c r="G161" s="44">
        <f t="shared" si="201"/>
        <v>9</v>
      </c>
      <c r="H161" s="44">
        <f t="shared" si="201"/>
        <v>1500</v>
      </c>
      <c r="I161" s="44">
        <f t="shared" si="208"/>
        <v>5400</v>
      </c>
      <c r="J161" s="115">
        <f>'LOE Breakdown by Year'!E65</f>
        <v>0.4</v>
      </c>
      <c r="K161" s="44">
        <f t="shared" si="202"/>
        <v>12</v>
      </c>
      <c r="L161" s="44">
        <f t="shared" si="209"/>
        <v>7560</v>
      </c>
      <c r="M161" s="115">
        <f>'LOE Breakdown by Year'!E111</f>
        <v>0.4</v>
      </c>
      <c r="N161" s="44">
        <f t="shared" si="203"/>
        <v>12</v>
      </c>
      <c r="O161" s="44">
        <f t="shared" si="210"/>
        <v>7938</v>
      </c>
      <c r="P161" s="115">
        <f>'LOE Breakdown by Year'!E157</f>
        <v>0.4</v>
      </c>
      <c r="Q161" s="44">
        <f t="shared" si="204"/>
        <v>12</v>
      </c>
      <c r="R161" s="44">
        <f t="shared" si="211"/>
        <v>8334.9</v>
      </c>
      <c r="S161" s="115">
        <f>'LOE Breakdown by Year'!E203</f>
        <v>0.4</v>
      </c>
      <c r="T161" s="44">
        <f t="shared" si="205"/>
        <v>6</v>
      </c>
      <c r="U161" s="44">
        <f t="shared" si="212"/>
        <v>4375.8225000000002</v>
      </c>
      <c r="V161" s="115">
        <f>'LOE Breakdown by Year'!E249</f>
        <v>0.4</v>
      </c>
      <c r="W161" s="44">
        <f t="shared" si="206"/>
        <v>6</v>
      </c>
      <c r="X161" s="44">
        <f t="shared" si="213"/>
        <v>4594.6136250000009</v>
      </c>
      <c r="Y161" s="44">
        <f t="shared" si="214"/>
        <v>38203.336125000002</v>
      </c>
      <c r="Z161" s="44">
        <v>0</v>
      </c>
      <c r="AA161" s="44">
        <f t="shared" si="215"/>
        <v>38203.336125000002</v>
      </c>
    </row>
    <row r="162" spans="1:28">
      <c r="A162" s="595" t="s">
        <v>839</v>
      </c>
      <c r="B162" s="595">
        <v>70000</v>
      </c>
      <c r="C162" s="595" t="s">
        <v>747</v>
      </c>
      <c r="D162" s="8" t="str">
        <f t="shared" si="200"/>
        <v>Food Aid Monitors - (2 Individuals)</v>
      </c>
      <c r="E162" s="115">
        <f>'LOE Breakdown by Year'!E20</f>
        <v>0.85</v>
      </c>
      <c r="F162" s="50" t="s">
        <v>100</v>
      </c>
      <c r="G162" s="44">
        <f t="shared" si="201"/>
        <v>6</v>
      </c>
      <c r="H162" s="44">
        <f t="shared" si="201"/>
        <v>1000</v>
      </c>
      <c r="I162" s="44">
        <f t="shared" si="208"/>
        <v>5100</v>
      </c>
      <c r="J162" s="115">
        <f>'LOE Breakdown by Year'!E66</f>
        <v>0.85</v>
      </c>
      <c r="K162" s="44">
        <f t="shared" si="202"/>
        <v>24</v>
      </c>
      <c r="L162" s="44">
        <f t="shared" si="209"/>
        <v>21420</v>
      </c>
      <c r="M162" s="115">
        <f>'LOE Breakdown by Year'!E112</f>
        <v>0.85</v>
      </c>
      <c r="N162" s="44">
        <f t="shared" si="203"/>
        <v>24</v>
      </c>
      <c r="O162" s="44">
        <f t="shared" si="210"/>
        <v>22491</v>
      </c>
      <c r="P162" s="115">
        <f>'LOE Breakdown by Year'!E158</f>
        <v>0.85</v>
      </c>
      <c r="Q162" s="44">
        <f t="shared" si="204"/>
        <v>24</v>
      </c>
      <c r="R162" s="44">
        <f t="shared" si="211"/>
        <v>23615.55</v>
      </c>
      <c r="S162" s="115">
        <f>'LOE Breakdown by Year'!E204</f>
        <v>0.85</v>
      </c>
      <c r="T162" s="44">
        <f t="shared" si="205"/>
        <v>24</v>
      </c>
      <c r="U162" s="44">
        <f t="shared" si="212"/>
        <v>24796.327499999999</v>
      </c>
      <c r="V162" s="115">
        <f>'LOE Breakdown by Year'!E250</f>
        <v>0.85</v>
      </c>
      <c r="W162" s="44">
        <f t="shared" si="206"/>
        <v>12</v>
      </c>
      <c r="X162" s="44">
        <f t="shared" si="213"/>
        <v>13018.071937500001</v>
      </c>
      <c r="Y162" s="44">
        <f t="shared" si="214"/>
        <v>110440.94943750001</v>
      </c>
      <c r="Z162" s="44">
        <v>0</v>
      </c>
      <c r="AA162" s="44">
        <f t="shared" si="215"/>
        <v>110440.94943750001</v>
      </c>
      <c r="AB162" s="569"/>
    </row>
    <row r="163" spans="1:28" hidden="1">
      <c r="A163" s="595" t="s">
        <v>840</v>
      </c>
      <c r="B163" s="595">
        <v>70000</v>
      </c>
      <c r="C163" s="595" t="s">
        <v>747</v>
      </c>
      <c r="D163" s="8" t="str">
        <f t="shared" si="200"/>
        <v>WASH Officer</v>
      </c>
      <c r="E163" s="115">
        <f>'LOE Breakdown by Year'!E21</f>
        <v>0</v>
      </c>
      <c r="F163" s="50" t="s">
        <v>100</v>
      </c>
      <c r="G163" s="44">
        <f t="shared" si="201"/>
        <v>6</v>
      </c>
      <c r="H163" s="44">
        <f t="shared" si="201"/>
        <v>1000</v>
      </c>
      <c r="I163" s="44">
        <f t="shared" si="208"/>
        <v>0</v>
      </c>
      <c r="J163" s="115">
        <f>'LOE Breakdown by Year'!E67</f>
        <v>0</v>
      </c>
      <c r="K163" s="44">
        <f t="shared" si="202"/>
        <v>12</v>
      </c>
      <c r="L163" s="44">
        <f t="shared" si="209"/>
        <v>0</v>
      </c>
      <c r="M163" s="115">
        <f>'LOE Breakdown by Year'!E113</f>
        <v>0</v>
      </c>
      <c r="N163" s="44">
        <f t="shared" si="203"/>
        <v>12</v>
      </c>
      <c r="O163" s="44">
        <f t="shared" si="210"/>
        <v>0</v>
      </c>
      <c r="P163" s="115">
        <f>'LOE Breakdown by Year'!E159</f>
        <v>0</v>
      </c>
      <c r="Q163" s="44">
        <f t="shared" si="204"/>
        <v>12</v>
      </c>
      <c r="R163" s="44">
        <f t="shared" si="211"/>
        <v>0</v>
      </c>
      <c r="S163" s="115">
        <f>'LOE Breakdown by Year'!E205</f>
        <v>0</v>
      </c>
      <c r="T163" s="44">
        <f t="shared" si="205"/>
        <v>12</v>
      </c>
      <c r="U163" s="44">
        <f t="shared" si="212"/>
        <v>0</v>
      </c>
      <c r="V163" s="115">
        <f>'LOE Breakdown by Year'!E251</f>
        <v>0</v>
      </c>
      <c r="W163" s="44">
        <f t="shared" si="206"/>
        <v>3</v>
      </c>
      <c r="X163" s="44">
        <f t="shared" si="213"/>
        <v>0</v>
      </c>
      <c r="Y163" s="44">
        <f t="shared" si="214"/>
        <v>0</v>
      </c>
      <c r="Z163" s="44">
        <v>0</v>
      </c>
      <c r="AA163" s="44">
        <f t="shared" si="215"/>
        <v>0</v>
      </c>
    </row>
    <row r="164" spans="1:28" hidden="1">
      <c r="A164" s="595" t="s">
        <v>841</v>
      </c>
      <c r="B164" s="595">
        <v>70000</v>
      </c>
      <c r="C164" s="595" t="s">
        <v>747</v>
      </c>
      <c r="D164" s="8" t="str">
        <f t="shared" si="200"/>
        <v>Communications Specialist</v>
      </c>
      <c r="E164" s="115">
        <f>'LOE Breakdown by Year'!E22</f>
        <v>0</v>
      </c>
      <c r="F164" s="50" t="s">
        <v>100</v>
      </c>
      <c r="G164" s="44">
        <f t="shared" si="201"/>
        <v>8</v>
      </c>
      <c r="H164" s="44">
        <f t="shared" si="201"/>
        <v>1500</v>
      </c>
      <c r="I164" s="44">
        <f t="shared" si="208"/>
        <v>0</v>
      </c>
      <c r="J164" s="115">
        <f>'LOE Breakdown by Year'!E68</f>
        <v>0</v>
      </c>
      <c r="K164" s="44">
        <f t="shared" si="202"/>
        <v>12</v>
      </c>
      <c r="L164" s="44">
        <f t="shared" si="209"/>
        <v>0</v>
      </c>
      <c r="M164" s="115">
        <f>'LOE Breakdown by Year'!E114</f>
        <v>0</v>
      </c>
      <c r="N164" s="44">
        <f t="shared" si="203"/>
        <v>12</v>
      </c>
      <c r="O164" s="44">
        <f t="shared" si="210"/>
        <v>0</v>
      </c>
      <c r="P164" s="115">
        <f>'LOE Breakdown by Year'!E160</f>
        <v>0</v>
      </c>
      <c r="Q164" s="44">
        <f t="shared" si="204"/>
        <v>12</v>
      </c>
      <c r="R164" s="44">
        <f t="shared" si="211"/>
        <v>0</v>
      </c>
      <c r="S164" s="115">
        <f>'LOE Breakdown by Year'!E206</f>
        <v>0</v>
      </c>
      <c r="T164" s="44">
        <f t="shared" si="205"/>
        <v>12</v>
      </c>
      <c r="U164" s="44">
        <f t="shared" si="212"/>
        <v>0</v>
      </c>
      <c r="V164" s="115">
        <f>'LOE Breakdown by Year'!E252</f>
        <v>0</v>
      </c>
      <c r="W164" s="44">
        <f t="shared" si="206"/>
        <v>8</v>
      </c>
      <c r="X164" s="44">
        <f t="shared" si="213"/>
        <v>0</v>
      </c>
      <c r="Y164" s="44">
        <f t="shared" si="214"/>
        <v>0</v>
      </c>
      <c r="Z164" s="44">
        <v>0</v>
      </c>
      <c r="AA164" s="44">
        <f t="shared" si="215"/>
        <v>0</v>
      </c>
    </row>
    <row r="165" spans="1:28" hidden="1">
      <c r="A165" s="595" t="s">
        <v>842</v>
      </c>
      <c r="B165" s="595">
        <v>70000</v>
      </c>
      <c r="C165" s="595" t="s">
        <v>747</v>
      </c>
      <c r="D165" s="8" t="str">
        <f t="shared" si="200"/>
        <v>Communications Officer</v>
      </c>
      <c r="E165" s="115">
        <f>'LOE Breakdown by Year'!E23</f>
        <v>0</v>
      </c>
      <c r="F165" s="50" t="s">
        <v>100</v>
      </c>
      <c r="G165" s="44">
        <f t="shared" si="201"/>
        <v>0</v>
      </c>
      <c r="H165" s="44">
        <f t="shared" si="201"/>
        <v>1000</v>
      </c>
      <c r="I165" s="44">
        <f t="shared" si="208"/>
        <v>0</v>
      </c>
      <c r="J165" s="115">
        <f>'LOE Breakdown by Year'!E69</f>
        <v>0</v>
      </c>
      <c r="K165" s="44">
        <f t="shared" si="202"/>
        <v>12</v>
      </c>
      <c r="L165" s="44">
        <f t="shared" si="209"/>
        <v>0</v>
      </c>
      <c r="M165" s="115">
        <f>'LOE Breakdown by Year'!E115</f>
        <v>0</v>
      </c>
      <c r="N165" s="44">
        <f t="shared" si="203"/>
        <v>12</v>
      </c>
      <c r="O165" s="44">
        <f t="shared" si="210"/>
        <v>0</v>
      </c>
      <c r="P165" s="115">
        <f>'LOE Breakdown by Year'!E161</f>
        <v>0</v>
      </c>
      <c r="Q165" s="44">
        <f t="shared" si="204"/>
        <v>12</v>
      </c>
      <c r="R165" s="44">
        <f t="shared" si="211"/>
        <v>0</v>
      </c>
      <c r="S165" s="115">
        <f>'LOE Breakdown by Year'!E207</f>
        <v>0</v>
      </c>
      <c r="T165" s="44">
        <f t="shared" si="205"/>
        <v>12</v>
      </c>
      <c r="U165" s="44">
        <f t="shared" si="212"/>
        <v>0</v>
      </c>
      <c r="V165" s="115">
        <f>'LOE Breakdown by Year'!E253</f>
        <v>0</v>
      </c>
      <c r="W165" s="44">
        <f t="shared" si="206"/>
        <v>0</v>
      </c>
      <c r="X165" s="44">
        <f t="shared" si="213"/>
        <v>0</v>
      </c>
      <c r="Y165" s="44">
        <f t="shared" si="214"/>
        <v>0</v>
      </c>
      <c r="Z165" s="44">
        <v>0</v>
      </c>
      <c r="AA165" s="44">
        <f t="shared" si="215"/>
        <v>0</v>
      </c>
    </row>
    <row r="166" spans="1:28">
      <c r="A166" s="595" t="s">
        <v>843</v>
      </c>
      <c r="B166" s="595">
        <v>70000</v>
      </c>
      <c r="C166" s="595" t="s">
        <v>747</v>
      </c>
      <c r="D166" s="8" t="str">
        <f t="shared" si="200"/>
        <v>Education &amp; Community Engagement Specialist</v>
      </c>
      <c r="E166" s="115">
        <f>'LOE Breakdown by Year'!E24</f>
        <v>0.1</v>
      </c>
      <c r="F166" s="50" t="s">
        <v>100</v>
      </c>
      <c r="G166" s="44">
        <f t="shared" si="201"/>
        <v>6</v>
      </c>
      <c r="H166" s="44">
        <f t="shared" si="201"/>
        <v>1500</v>
      </c>
      <c r="I166" s="44">
        <f t="shared" si="208"/>
        <v>900</v>
      </c>
      <c r="J166" s="115">
        <f>'LOE Breakdown by Year'!E70</f>
        <v>0.1</v>
      </c>
      <c r="K166" s="44">
        <f t="shared" si="202"/>
        <v>12</v>
      </c>
      <c r="L166" s="44">
        <f t="shared" si="209"/>
        <v>1890</v>
      </c>
      <c r="M166" s="115">
        <f>'LOE Breakdown by Year'!E116</f>
        <v>0.1</v>
      </c>
      <c r="N166" s="44">
        <f t="shared" si="203"/>
        <v>12</v>
      </c>
      <c r="O166" s="44">
        <f t="shared" si="210"/>
        <v>1984.5</v>
      </c>
      <c r="P166" s="115">
        <f>'LOE Breakdown by Year'!E162</f>
        <v>0.1</v>
      </c>
      <c r="Q166" s="44">
        <f t="shared" si="204"/>
        <v>12</v>
      </c>
      <c r="R166" s="44">
        <f t="shared" si="211"/>
        <v>2083.7249999999999</v>
      </c>
      <c r="S166" s="115">
        <f>'LOE Breakdown by Year'!E208</f>
        <v>0.1</v>
      </c>
      <c r="T166" s="44">
        <f t="shared" si="205"/>
        <v>12</v>
      </c>
      <c r="U166" s="44">
        <f t="shared" si="212"/>
        <v>2187.9112500000001</v>
      </c>
      <c r="V166" s="115">
        <f>'LOE Breakdown by Year'!E254</f>
        <v>0.1</v>
      </c>
      <c r="W166" s="44">
        <f t="shared" si="206"/>
        <v>8</v>
      </c>
      <c r="X166" s="44">
        <f t="shared" si="213"/>
        <v>1531.5378750000002</v>
      </c>
      <c r="Y166" s="44">
        <f t="shared" si="214"/>
        <v>10577.674125</v>
      </c>
      <c r="Z166" s="44">
        <v>0</v>
      </c>
      <c r="AA166" s="44">
        <f t="shared" si="215"/>
        <v>10577.674125</v>
      </c>
    </row>
    <row r="167" spans="1:28">
      <c r="A167" s="595" t="s">
        <v>844</v>
      </c>
      <c r="B167" s="595">
        <v>70000</v>
      </c>
      <c r="C167" s="595" t="s">
        <v>747</v>
      </c>
      <c r="D167" s="8" t="str">
        <f t="shared" si="200"/>
        <v>Education &amp; Community Engagement Officer</v>
      </c>
      <c r="E167" s="115">
        <f>'LOE Breakdown by Year'!E25</f>
        <v>0.1</v>
      </c>
      <c r="F167" s="50" t="s">
        <v>100</v>
      </c>
      <c r="G167" s="44">
        <f t="shared" si="201"/>
        <v>3</v>
      </c>
      <c r="H167" s="44">
        <f t="shared" si="201"/>
        <v>1000</v>
      </c>
      <c r="I167" s="44">
        <f t="shared" si="208"/>
        <v>300</v>
      </c>
      <c r="J167" s="115">
        <f>'LOE Breakdown by Year'!E71</f>
        <v>0.1</v>
      </c>
      <c r="K167" s="44">
        <f t="shared" si="202"/>
        <v>12</v>
      </c>
      <c r="L167" s="44">
        <f t="shared" si="209"/>
        <v>1260</v>
      </c>
      <c r="M167" s="115">
        <f>'LOE Breakdown by Year'!E117</f>
        <v>0.1</v>
      </c>
      <c r="N167" s="44">
        <f t="shared" si="203"/>
        <v>12</v>
      </c>
      <c r="O167" s="44">
        <f t="shared" si="210"/>
        <v>1323</v>
      </c>
      <c r="P167" s="115">
        <f>'LOE Breakdown by Year'!E163</f>
        <v>0.1</v>
      </c>
      <c r="Q167" s="44">
        <f t="shared" si="204"/>
        <v>12</v>
      </c>
      <c r="R167" s="44">
        <f t="shared" si="211"/>
        <v>1389.15</v>
      </c>
      <c r="S167" s="115">
        <f>'LOE Breakdown by Year'!E209</f>
        <v>0.1</v>
      </c>
      <c r="T167" s="44">
        <f t="shared" si="205"/>
        <v>12</v>
      </c>
      <c r="U167" s="44">
        <f t="shared" si="212"/>
        <v>1458.6075000000001</v>
      </c>
      <c r="V167" s="115">
        <f>'LOE Breakdown by Year'!E255</f>
        <v>0.1</v>
      </c>
      <c r="W167" s="44">
        <f t="shared" si="206"/>
        <v>0</v>
      </c>
      <c r="X167" s="44">
        <f t="shared" si="213"/>
        <v>0</v>
      </c>
      <c r="Y167" s="44">
        <f t="shared" si="214"/>
        <v>5730.7574999999997</v>
      </c>
      <c r="Z167" s="44">
        <v>0</v>
      </c>
      <c r="AA167" s="44">
        <f t="shared" si="215"/>
        <v>5730.7574999999997</v>
      </c>
    </row>
    <row r="168" spans="1:28" hidden="1">
      <c r="A168" s="595" t="s">
        <v>845</v>
      </c>
      <c r="B168" s="595">
        <v>70000</v>
      </c>
      <c r="C168" s="595" t="s">
        <v>747</v>
      </c>
      <c r="D168" s="8" t="str">
        <f t="shared" si="200"/>
        <v>Private Sector Specialist</v>
      </c>
      <c r="E168" s="115">
        <f>'LOE Breakdown by Year'!E26</f>
        <v>0</v>
      </c>
      <c r="F168" s="50" t="s">
        <v>100</v>
      </c>
      <c r="G168" s="44">
        <f t="shared" si="201"/>
        <v>9</v>
      </c>
      <c r="H168" s="44">
        <f t="shared" si="201"/>
        <v>2000</v>
      </c>
      <c r="I168" s="44">
        <f t="shared" si="208"/>
        <v>0</v>
      </c>
      <c r="J168" s="115">
        <f>'LOE Breakdown by Year'!E72</f>
        <v>0</v>
      </c>
      <c r="K168" s="44">
        <f t="shared" si="202"/>
        <v>12</v>
      </c>
      <c r="L168" s="44">
        <f t="shared" si="209"/>
        <v>0</v>
      </c>
      <c r="M168" s="115">
        <f>'LOE Breakdown by Year'!E118</f>
        <v>0</v>
      </c>
      <c r="N168" s="44">
        <f t="shared" si="203"/>
        <v>12</v>
      </c>
      <c r="O168" s="44">
        <f t="shared" si="210"/>
        <v>0</v>
      </c>
      <c r="P168" s="115">
        <f>'LOE Breakdown by Year'!E164</f>
        <v>0</v>
      </c>
      <c r="Q168" s="44">
        <f t="shared" si="204"/>
        <v>12</v>
      </c>
      <c r="R168" s="44">
        <f t="shared" si="211"/>
        <v>0</v>
      </c>
      <c r="S168" s="115">
        <f>'LOE Breakdown by Year'!E210</f>
        <v>0</v>
      </c>
      <c r="T168" s="44">
        <f t="shared" si="205"/>
        <v>12</v>
      </c>
      <c r="U168" s="44">
        <f t="shared" si="212"/>
        <v>0</v>
      </c>
      <c r="V168" s="115">
        <f>'LOE Breakdown by Year'!E256</f>
        <v>0</v>
      </c>
      <c r="W168" s="44">
        <f t="shared" si="206"/>
        <v>6</v>
      </c>
      <c r="X168" s="44">
        <f t="shared" si="213"/>
        <v>0</v>
      </c>
      <c r="Y168" s="44">
        <f t="shared" si="214"/>
        <v>0</v>
      </c>
      <c r="Z168" s="44">
        <v>0</v>
      </c>
      <c r="AA168" s="44">
        <f t="shared" si="215"/>
        <v>0</v>
      </c>
    </row>
    <row r="169" spans="1:28" hidden="1">
      <c r="A169" s="595" t="s">
        <v>847</v>
      </c>
      <c r="B169" s="595">
        <v>70000</v>
      </c>
      <c r="C169" s="595" t="s">
        <v>747</v>
      </c>
      <c r="D169" s="8" t="str">
        <f t="shared" si="200"/>
        <v xml:space="preserve">Key Personnel: M&amp;E Director </v>
      </c>
      <c r="E169" s="115">
        <f>'LOE Breakdown by Year'!E27</f>
        <v>0</v>
      </c>
      <c r="F169" s="50" t="s">
        <v>100</v>
      </c>
      <c r="G169" s="44">
        <f t="shared" si="201"/>
        <v>11</v>
      </c>
      <c r="H169" s="44">
        <f t="shared" si="201"/>
        <v>4583.333333333333</v>
      </c>
      <c r="I169" s="44">
        <f t="shared" si="208"/>
        <v>0</v>
      </c>
      <c r="J169" s="115">
        <f>'LOE Breakdown by Year'!E73</f>
        <v>0</v>
      </c>
      <c r="K169" s="44">
        <f t="shared" si="202"/>
        <v>12</v>
      </c>
      <c r="L169" s="44">
        <f t="shared" si="209"/>
        <v>0</v>
      </c>
      <c r="M169" s="115">
        <f>'LOE Breakdown by Year'!E119</f>
        <v>0</v>
      </c>
      <c r="N169" s="44">
        <f t="shared" si="203"/>
        <v>12</v>
      </c>
      <c r="O169" s="44">
        <f t="shared" si="210"/>
        <v>0</v>
      </c>
      <c r="P169" s="115">
        <f>'LOE Breakdown by Year'!E165</f>
        <v>0</v>
      </c>
      <c r="Q169" s="44">
        <f t="shared" si="204"/>
        <v>12</v>
      </c>
      <c r="R169" s="44">
        <f t="shared" si="211"/>
        <v>0</v>
      </c>
      <c r="S169" s="115">
        <f>'LOE Breakdown by Year'!E211</f>
        <v>0</v>
      </c>
      <c r="T169" s="44">
        <f t="shared" si="205"/>
        <v>12</v>
      </c>
      <c r="U169" s="44">
        <f t="shared" si="212"/>
        <v>0</v>
      </c>
      <c r="V169" s="115">
        <f>'LOE Breakdown by Year'!E257</f>
        <v>0</v>
      </c>
      <c r="W169" s="44">
        <f t="shared" si="206"/>
        <v>12</v>
      </c>
      <c r="X169" s="44">
        <f t="shared" si="213"/>
        <v>0</v>
      </c>
      <c r="Y169" s="44">
        <f t="shared" si="214"/>
        <v>0</v>
      </c>
      <c r="Z169" s="44">
        <v>0</v>
      </c>
      <c r="AA169" s="44">
        <f t="shared" si="215"/>
        <v>0</v>
      </c>
    </row>
    <row r="170" spans="1:28" hidden="1">
      <c r="A170" s="595" t="s">
        <v>848</v>
      </c>
      <c r="B170" s="595">
        <v>70000</v>
      </c>
      <c r="C170" s="595" t="s">
        <v>747</v>
      </c>
      <c r="D170" s="8" t="str">
        <f t="shared" si="200"/>
        <v>M&amp;E Specialist</v>
      </c>
      <c r="E170" s="115">
        <f>'LOE Breakdown by Year'!E28</f>
        <v>0</v>
      </c>
      <c r="F170" s="50" t="s">
        <v>100</v>
      </c>
      <c r="G170" s="44">
        <f t="shared" si="201"/>
        <v>6</v>
      </c>
      <c r="H170" s="44">
        <f t="shared" si="201"/>
        <v>2000</v>
      </c>
      <c r="I170" s="44">
        <f t="shared" si="208"/>
        <v>0</v>
      </c>
      <c r="J170" s="115">
        <f>'LOE Breakdown by Year'!E74</f>
        <v>0</v>
      </c>
      <c r="K170" s="44">
        <f t="shared" si="202"/>
        <v>12</v>
      </c>
      <c r="L170" s="44">
        <f t="shared" si="209"/>
        <v>0</v>
      </c>
      <c r="M170" s="115">
        <f>'LOE Breakdown by Year'!E120</f>
        <v>0</v>
      </c>
      <c r="N170" s="44">
        <f t="shared" si="203"/>
        <v>12</v>
      </c>
      <c r="O170" s="44">
        <f t="shared" si="210"/>
        <v>0</v>
      </c>
      <c r="P170" s="115">
        <f>'LOE Breakdown by Year'!E166</f>
        <v>0</v>
      </c>
      <c r="Q170" s="44">
        <f t="shared" si="204"/>
        <v>12</v>
      </c>
      <c r="R170" s="44">
        <f t="shared" si="211"/>
        <v>0</v>
      </c>
      <c r="S170" s="115">
        <f>'LOE Breakdown by Year'!E212</f>
        <v>0</v>
      </c>
      <c r="T170" s="44">
        <f t="shared" si="205"/>
        <v>12</v>
      </c>
      <c r="U170" s="44">
        <f t="shared" si="212"/>
        <v>0</v>
      </c>
      <c r="V170" s="115">
        <f>'LOE Breakdown by Year'!E258</f>
        <v>0</v>
      </c>
      <c r="W170" s="44">
        <f t="shared" si="206"/>
        <v>11</v>
      </c>
      <c r="X170" s="44">
        <f t="shared" si="213"/>
        <v>0</v>
      </c>
      <c r="Y170" s="44">
        <f t="shared" si="214"/>
        <v>0</v>
      </c>
      <c r="Z170" s="44">
        <v>0</v>
      </c>
      <c r="AA170" s="44">
        <f t="shared" si="215"/>
        <v>0</v>
      </c>
    </row>
    <row r="171" spans="1:28" hidden="1">
      <c r="A171" s="595" t="s">
        <v>849</v>
      </c>
      <c r="B171" s="595">
        <v>70000</v>
      </c>
      <c r="C171" s="595" t="s">
        <v>747</v>
      </c>
      <c r="D171" s="8" t="str">
        <f t="shared" si="200"/>
        <v>M&amp;E Officer</v>
      </c>
      <c r="E171" s="115">
        <f>'LOE Breakdown by Year'!E29</f>
        <v>0</v>
      </c>
      <c r="F171" s="50" t="s">
        <v>100</v>
      </c>
      <c r="G171" s="44">
        <f t="shared" si="201"/>
        <v>2</v>
      </c>
      <c r="H171" s="44">
        <f t="shared" si="201"/>
        <v>1250</v>
      </c>
      <c r="I171" s="44">
        <f t="shared" si="208"/>
        <v>0</v>
      </c>
      <c r="J171" s="115">
        <f>'LOE Breakdown by Year'!E75</f>
        <v>0</v>
      </c>
      <c r="K171" s="44">
        <f t="shared" si="202"/>
        <v>12</v>
      </c>
      <c r="L171" s="44">
        <f t="shared" si="209"/>
        <v>0</v>
      </c>
      <c r="M171" s="115">
        <f>'LOE Breakdown by Year'!E121</f>
        <v>0</v>
      </c>
      <c r="N171" s="44">
        <f t="shared" si="203"/>
        <v>12</v>
      </c>
      <c r="O171" s="44">
        <f t="shared" si="210"/>
        <v>0</v>
      </c>
      <c r="P171" s="115">
        <f>'LOE Breakdown by Year'!E167</f>
        <v>0</v>
      </c>
      <c r="Q171" s="44">
        <f t="shared" si="204"/>
        <v>12</v>
      </c>
      <c r="R171" s="44">
        <f t="shared" si="211"/>
        <v>0</v>
      </c>
      <c r="S171" s="115">
        <f>'LOE Breakdown by Year'!E213</f>
        <v>0</v>
      </c>
      <c r="T171" s="44">
        <f t="shared" si="205"/>
        <v>12</v>
      </c>
      <c r="U171" s="44">
        <f t="shared" si="212"/>
        <v>0</v>
      </c>
      <c r="V171" s="115">
        <f>'LOE Breakdown by Year'!E259</f>
        <v>0</v>
      </c>
      <c r="W171" s="44">
        <f t="shared" si="206"/>
        <v>3</v>
      </c>
      <c r="X171" s="44">
        <f t="shared" si="213"/>
        <v>0</v>
      </c>
      <c r="Y171" s="44">
        <f t="shared" si="214"/>
        <v>0</v>
      </c>
      <c r="Z171" s="44">
        <v>0</v>
      </c>
      <c r="AA171" s="44">
        <f t="shared" si="215"/>
        <v>0</v>
      </c>
    </row>
    <row r="172" spans="1:28" hidden="1">
      <c r="A172" s="595" t="s">
        <v>850</v>
      </c>
      <c r="B172" s="595">
        <v>70000</v>
      </c>
      <c r="C172" s="595" t="s">
        <v>747</v>
      </c>
      <c r="D172" s="8" t="str">
        <f t="shared" si="200"/>
        <v>Supply Chain Manager</v>
      </c>
      <c r="E172" s="115">
        <f>'LOE Breakdown by Year'!E30</f>
        <v>0</v>
      </c>
      <c r="F172" s="50" t="s">
        <v>100</v>
      </c>
      <c r="G172" s="44">
        <f t="shared" si="201"/>
        <v>11</v>
      </c>
      <c r="H172" s="44">
        <f t="shared" si="201"/>
        <v>5000</v>
      </c>
      <c r="I172" s="44">
        <f t="shared" si="208"/>
        <v>0</v>
      </c>
      <c r="J172" s="115">
        <f>'LOE Breakdown by Year'!E76</f>
        <v>0</v>
      </c>
      <c r="K172" s="44">
        <f t="shared" si="202"/>
        <v>12</v>
      </c>
      <c r="L172" s="44">
        <f t="shared" si="209"/>
        <v>0</v>
      </c>
      <c r="M172" s="115">
        <f>'LOE Breakdown by Year'!E122</f>
        <v>0</v>
      </c>
      <c r="N172" s="44">
        <f t="shared" si="203"/>
        <v>12</v>
      </c>
      <c r="O172" s="44">
        <f t="shared" si="210"/>
        <v>0</v>
      </c>
      <c r="P172" s="115">
        <f>'LOE Breakdown by Year'!E168</f>
        <v>0</v>
      </c>
      <c r="Q172" s="44">
        <f t="shared" si="204"/>
        <v>12</v>
      </c>
      <c r="R172" s="44">
        <f t="shared" si="211"/>
        <v>0</v>
      </c>
      <c r="S172" s="115">
        <f>'LOE Breakdown by Year'!E214</f>
        <v>0</v>
      </c>
      <c r="T172" s="44">
        <f t="shared" si="205"/>
        <v>12</v>
      </c>
      <c r="U172" s="44">
        <f t="shared" si="212"/>
        <v>0</v>
      </c>
      <c r="V172" s="115">
        <f>'LOE Breakdown by Year'!E260</f>
        <v>0</v>
      </c>
      <c r="W172" s="44">
        <f t="shared" si="206"/>
        <v>8</v>
      </c>
      <c r="X172" s="44">
        <f t="shared" si="213"/>
        <v>0</v>
      </c>
      <c r="Y172" s="44">
        <f t="shared" si="214"/>
        <v>0</v>
      </c>
      <c r="Z172" s="44">
        <v>0</v>
      </c>
      <c r="AA172" s="44">
        <f t="shared" si="215"/>
        <v>0</v>
      </c>
    </row>
    <row r="173" spans="1:28" hidden="1">
      <c r="A173" s="595" t="s">
        <v>851</v>
      </c>
      <c r="B173" s="595">
        <v>70000</v>
      </c>
      <c r="C173" s="595" t="s">
        <v>747</v>
      </c>
      <c r="D173" s="8" t="str">
        <f t="shared" si="200"/>
        <v>In-Country Logistics Specialist</v>
      </c>
      <c r="E173" s="115">
        <f>'LOE Breakdown by Year'!E31</f>
        <v>0</v>
      </c>
      <c r="F173" s="50" t="s">
        <v>100</v>
      </c>
      <c r="G173" s="44">
        <f t="shared" ref="G173:H186" si="216">G32</f>
        <v>9</v>
      </c>
      <c r="H173" s="44">
        <f t="shared" si="216"/>
        <v>2000</v>
      </c>
      <c r="I173" s="44">
        <f t="shared" si="208"/>
        <v>0</v>
      </c>
      <c r="J173" s="115">
        <f>'LOE Breakdown by Year'!E77</f>
        <v>0</v>
      </c>
      <c r="K173" s="44">
        <f t="shared" si="202"/>
        <v>12</v>
      </c>
      <c r="L173" s="44">
        <f t="shared" si="209"/>
        <v>0</v>
      </c>
      <c r="M173" s="115">
        <f>'LOE Breakdown by Year'!E123</f>
        <v>0</v>
      </c>
      <c r="N173" s="44">
        <f t="shared" si="203"/>
        <v>12</v>
      </c>
      <c r="O173" s="44">
        <f t="shared" si="210"/>
        <v>0</v>
      </c>
      <c r="P173" s="115">
        <f>'LOE Breakdown by Year'!E169</f>
        <v>0</v>
      </c>
      <c r="Q173" s="44">
        <f t="shared" si="204"/>
        <v>12</v>
      </c>
      <c r="R173" s="44">
        <f t="shared" si="211"/>
        <v>0</v>
      </c>
      <c r="S173" s="115">
        <f>'LOE Breakdown by Year'!E215</f>
        <v>0</v>
      </c>
      <c r="T173" s="44">
        <f t="shared" si="205"/>
        <v>12</v>
      </c>
      <c r="U173" s="44">
        <f t="shared" si="212"/>
        <v>0</v>
      </c>
      <c r="V173" s="115">
        <f>'LOE Breakdown by Year'!E261</f>
        <v>0</v>
      </c>
      <c r="W173" s="44">
        <f t="shared" si="206"/>
        <v>8</v>
      </c>
      <c r="X173" s="44">
        <f t="shared" si="213"/>
        <v>0</v>
      </c>
      <c r="Y173" s="44">
        <f t="shared" si="214"/>
        <v>0</v>
      </c>
      <c r="Z173" s="44">
        <v>0</v>
      </c>
      <c r="AA173" s="44">
        <f t="shared" si="215"/>
        <v>0</v>
      </c>
    </row>
    <row r="174" spans="1:28" hidden="1">
      <c r="A174" s="595" t="s">
        <v>852</v>
      </c>
      <c r="B174" s="595">
        <v>70000</v>
      </c>
      <c r="C174" s="595" t="s">
        <v>747</v>
      </c>
      <c r="D174" s="8" t="str">
        <f t="shared" si="200"/>
        <v>US Commodity Logistics Specialist</v>
      </c>
      <c r="E174" s="115">
        <f>'LOE Breakdown by Year'!E32</f>
        <v>0</v>
      </c>
      <c r="F174" s="50" t="s">
        <v>100</v>
      </c>
      <c r="G174" s="44">
        <f t="shared" si="216"/>
        <v>9</v>
      </c>
      <c r="H174" s="44">
        <f t="shared" si="216"/>
        <v>2000</v>
      </c>
      <c r="I174" s="44">
        <f t="shared" si="208"/>
        <v>0</v>
      </c>
      <c r="J174" s="115">
        <f>'LOE Breakdown by Year'!E78</f>
        <v>0</v>
      </c>
      <c r="K174" s="44">
        <f t="shared" si="202"/>
        <v>12</v>
      </c>
      <c r="L174" s="44">
        <f t="shared" si="209"/>
        <v>0</v>
      </c>
      <c r="M174" s="115">
        <f>'LOE Breakdown by Year'!E124</f>
        <v>0</v>
      </c>
      <c r="N174" s="44">
        <f t="shared" si="203"/>
        <v>12</v>
      </c>
      <c r="O174" s="44">
        <f t="shared" si="210"/>
        <v>0</v>
      </c>
      <c r="P174" s="115">
        <f>'LOE Breakdown by Year'!E170</f>
        <v>0</v>
      </c>
      <c r="Q174" s="44">
        <f t="shared" si="204"/>
        <v>12</v>
      </c>
      <c r="R174" s="44">
        <f t="shared" si="211"/>
        <v>0</v>
      </c>
      <c r="S174" s="115">
        <f>'LOE Breakdown by Year'!E216</f>
        <v>0</v>
      </c>
      <c r="T174" s="44">
        <f t="shared" si="205"/>
        <v>12</v>
      </c>
      <c r="U174" s="44">
        <f t="shared" si="212"/>
        <v>0</v>
      </c>
      <c r="V174" s="115">
        <f>'LOE Breakdown by Year'!E262</f>
        <v>0</v>
      </c>
      <c r="W174" s="44">
        <f t="shared" si="206"/>
        <v>8</v>
      </c>
      <c r="X174" s="44">
        <f t="shared" si="213"/>
        <v>0</v>
      </c>
      <c r="Y174" s="44">
        <f t="shared" si="214"/>
        <v>0</v>
      </c>
      <c r="Z174" s="44">
        <v>0</v>
      </c>
      <c r="AA174" s="44">
        <f t="shared" si="215"/>
        <v>0</v>
      </c>
    </row>
    <row r="175" spans="1:28" hidden="1">
      <c r="A175" s="595" t="s">
        <v>853</v>
      </c>
      <c r="B175" s="595">
        <v>70000</v>
      </c>
      <c r="C175" s="595" t="s">
        <v>747</v>
      </c>
      <c r="D175" s="8" t="str">
        <f t="shared" si="200"/>
        <v>Warehouse Manager</v>
      </c>
      <c r="E175" s="115">
        <f>'LOE Breakdown by Year'!E33</f>
        <v>0</v>
      </c>
      <c r="F175" s="50" t="s">
        <v>100</v>
      </c>
      <c r="G175" s="44">
        <f t="shared" si="216"/>
        <v>8</v>
      </c>
      <c r="H175" s="44">
        <f t="shared" si="216"/>
        <v>1250</v>
      </c>
      <c r="I175" s="44">
        <f t="shared" si="208"/>
        <v>0</v>
      </c>
      <c r="J175" s="115">
        <f>'LOE Breakdown by Year'!E79</f>
        <v>0</v>
      </c>
      <c r="K175" s="44">
        <f t="shared" si="202"/>
        <v>12</v>
      </c>
      <c r="L175" s="44">
        <f t="shared" si="209"/>
        <v>0</v>
      </c>
      <c r="M175" s="115">
        <f>'LOE Breakdown by Year'!E125</f>
        <v>0</v>
      </c>
      <c r="N175" s="44">
        <f t="shared" si="203"/>
        <v>12</v>
      </c>
      <c r="O175" s="44">
        <f t="shared" si="210"/>
        <v>0</v>
      </c>
      <c r="P175" s="115">
        <f>'LOE Breakdown by Year'!E171</f>
        <v>0</v>
      </c>
      <c r="Q175" s="44">
        <f t="shared" si="204"/>
        <v>12</v>
      </c>
      <c r="R175" s="44">
        <f t="shared" si="211"/>
        <v>0</v>
      </c>
      <c r="S175" s="115">
        <f>'LOE Breakdown by Year'!E217</f>
        <v>0</v>
      </c>
      <c r="T175" s="44">
        <f t="shared" si="205"/>
        <v>12</v>
      </c>
      <c r="U175" s="44">
        <f t="shared" si="212"/>
        <v>0</v>
      </c>
      <c r="V175" s="115">
        <f>'LOE Breakdown by Year'!E263</f>
        <v>0</v>
      </c>
      <c r="W175" s="44">
        <f t="shared" si="206"/>
        <v>8</v>
      </c>
      <c r="X175" s="44">
        <f t="shared" si="213"/>
        <v>0</v>
      </c>
      <c r="Y175" s="44">
        <f t="shared" si="214"/>
        <v>0</v>
      </c>
      <c r="Z175" s="44">
        <v>0</v>
      </c>
      <c r="AA175" s="44">
        <f t="shared" si="215"/>
        <v>0</v>
      </c>
    </row>
    <row r="176" spans="1:28" hidden="1">
      <c r="A176" s="595" t="s">
        <v>854</v>
      </c>
      <c r="B176" s="595">
        <v>70000</v>
      </c>
      <c r="C176" s="595" t="s">
        <v>747</v>
      </c>
      <c r="D176" s="8" t="str">
        <f t="shared" si="200"/>
        <v>Warehouse Officer - (2 Individuals)</v>
      </c>
      <c r="E176" s="115">
        <f>'LOE Breakdown by Year'!E34</f>
        <v>0</v>
      </c>
      <c r="F176" s="50" t="s">
        <v>100</v>
      </c>
      <c r="G176" s="44">
        <f t="shared" si="216"/>
        <v>8</v>
      </c>
      <c r="H176" s="44">
        <f t="shared" si="216"/>
        <v>1000</v>
      </c>
      <c r="I176" s="44">
        <f t="shared" si="208"/>
        <v>0</v>
      </c>
      <c r="J176" s="115">
        <f>'LOE Breakdown by Year'!E80</f>
        <v>0</v>
      </c>
      <c r="K176" s="44">
        <f t="shared" si="202"/>
        <v>24</v>
      </c>
      <c r="L176" s="44">
        <f t="shared" si="209"/>
        <v>0</v>
      </c>
      <c r="M176" s="115">
        <f>'LOE Breakdown by Year'!E126</f>
        <v>0</v>
      </c>
      <c r="N176" s="44">
        <f t="shared" si="203"/>
        <v>24</v>
      </c>
      <c r="O176" s="44">
        <f t="shared" si="210"/>
        <v>0</v>
      </c>
      <c r="P176" s="115">
        <f>'LOE Breakdown by Year'!E172</f>
        <v>0</v>
      </c>
      <c r="Q176" s="44">
        <f t="shared" si="204"/>
        <v>24</v>
      </c>
      <c r="R176" s="44">
        <f t="shared" si="211"/>
        <v>0</v>
      </c>
      <c r="S176" s="115">
        <f>'LOE Breakdown by Year'!E218</f>
        <v>0</v>
      </c>
      <c r="T176" s="44">
        <f t="shared" si="205"/>
        <v>24</v>
      </c>
      <c r="U176" s="44">
        <f t="shared" si="212"/>
        <v>0</v>
      </c>
      <c r="V176" s="115">
        <f>'LOE Breakdown by Year'!E264</f>
        <v>0</v>
      </c>
      <c r="W176" s="44">
        <f t="shared" si="206"/>
        <v>8</v>
      </c>
      <c r="X176" s="44">
        <f t="shared" si="213"/>
        <v>0</v>
      </c>
      <c r="Y176" s="44">
        <f t="shared" si="214"/>
        <v>0</v>
      </c>
      <c r="Z176" s="44">
        <v>0</v>
      </c>
      <c r="AA176" s="44">
        <f t="shared" si="215"/>
        <v>0</v>
      </c>
    </row>
    <row r="177" spans="1:27" hidden="1">
      <c r="A177" s="595" t="s">
        <v>855</v>
      </c>
      <c r="B177" s="595">
        <v>70000</v>
      </c>
      <c r="C177" s="595" t="s">
        <v>747</v>
      </c>
      <c r="D177" s="8" t="str">
        <f t="shared" si="200"/>
        <v xml:space="preserve">LRP Technical Specialist </v>
      </c>
      <c r="E177" s="115">
        <f>'LOE Breakdown by Year'!E35</f>
        <v>0</v>
      </c>
      <c r="F177" s="50" t="s">
        <v>100</v>
      </c>
      <c r="G177" s="44">
        <f t="shared" si="216"/>
        <v>8</v>
      </c>
      <c r="H177" s="44">
        <f t="shared" si="216"/>
        <v>1500</v>
      </c>
      <c r="I177" s="44">
        <f t="shared" si="208"/>
        <v>0</v>
      </c>
      <c r="J177" s="115">
        <f>'LOE Breakdown by Year'!E81</f>
        <v>0</v>
      </c>
      <c r="K177" s="44">
        <f t="shared" si="202"/>
        <v>12</v>
      </c>
      <c r="L177" s="44">
        <f t="shared" si="209"/>
        <v>0</v>
      </c>
      <c r="M177" s="115">
        <f>'LOE Breakdown by Year'!E127</f>
        <v>0</v>
      </c>
      <c r="N177" s="44">
        <f t="shared" si="203"/>
        <v>12</v>
      </c>
      <c r="O177" s="44">
        <f t="shared" si="210"/>
        <v>0</v>
      </c>
      <c r="P177" s="115">
        <f>'LOE Breakdown by Year'!E173</f>
        <v>0</v>
      </c>
      <c r="Q177" s="44">
        <f t="shared" si="204"/>
        <v>12</v>
      </c>
      <c r="R177" s="44">
        <f t="shared" si="211"/>
        <v>0</v>
      </c>
      <c r="S177" s="115">
        <f>'LOE Breakdown by Year'!E219</f>
        <v>0</v>
      </c>
      <c r="T177" s="44">
        <f t="shared" si="205"/>
        <v>12</v>
      </c>
      <c r="U177" s="44">
        <f t="shared" si="212"/>
        <v>0</v>
      </c>
      <c r="V177" s="115">
        <f>'LOE Breakdown by Year'!E265</f>
        <v>0</v>
      </c>
      <c r="W177" s="44">
        <f t="shared" si="206"/>
        <v>0</v>
      </c>
      <c r="X177" s="44">
        <f t="shared" si="213"/>
        <v>0</v>
      </c>
      <c r="Y177" s="44">
        <f t="shared" si="214"/>
        <v>0</v>
      </c>
      <c r="Z177" s="44">
        <v>0</v>
      </c>
      <c r="AA177" s="44">
        <f t="shared" si="215"/>
        <v>0</v>
      </c>
    </row>
    <row r="178" spans="1:27" hidden="1">
      <c r="A178" s="595" t="s">
        <v>856</v>
      </c>
      <c r="B178" s="595">
        <v>70000</v>
      </c>
      <c r="C178" s="595" t="s">
        <v>747</v>
      </c>
      <c r="D178" s="8" t="str">
        <f t="shared" si="200"/>
        <v>Finance &amp; Administration Director</v>
      </c>
      <c r="E178" s="115">
        <f>'LOE Breakdown by Year'!E36</f>
        <v>0</v>
      </c>
      <c r="F178" s="50" t="s">
        <v>100</v>
      </c>
      <c r="G178" s="44">
        <f t="shared" si="216"/>
        <v>9</v>
      </c>
      <c r="H178" s="44">
        <f t="shared" si="216"/>
        <v>5000</v>
      </c>
      <c r="I178" s="44">
        <f t="shared" si="208"/>
        <v>0</v>
      </c>
      <c r="J178" s="115">
        <f>'LOE Breakdown by Year'!E82</f>
        <v>0</v>
      </c>
      <c r="K178" s="44">
        <f t="shared" si="202"/>
        <v>12</v>
      </c>
      <c r="L178" s="44">
        <f t="shared" si="209"/>
        <v>0</v>
      </c>
      <c r="M178" s="115">
        <f>'LOE Breakdown by Year'!E128</f>
        <v>0</v>
      </c>
      <c r="N178" s="44">
        <f t="shared" si="203"/>
        <v>12</v>
      </c>
      <c r="O178" s="44">
        <f t="shared" si="210"/>
        <v>0</v>
      </c>
      <c r="P178" s="115">
        <f>'LOE Breakdown by Year'!E174</f>
        <v>0</v>
      </c>
      <c r="Q178" s="44">
        <f t="shared" si="204"/>
        <v>12</v>
      </c>
      <c r="R178" s="44">
        <f t="shared" si="211"/>
        <v>0</v>
      </c>
      <c r="S178" s="115">
        <f>'LOE Breakdown by Year'!E220</f>
        <v>0</v>
      </c>
      <c r="T178" s="44">
        <f t="shared" si="205"/>
        <v>12</v>
      </c>
      <c r="U178" s="44">
        <f t="shared" si="212"/>
        <v>0</v>
      </c>
      <c r="V178" s="115">
        <f>'LOE Breakdown by Year'!E266</f>
        <v>0</v>
      </c>
      <c r="W178" s="44">
        <f t="shared" si="206"/>
        <v>12</v>
      </c>
      <c r="X178" s="44">
        <f t="shared" si="213"/>
        <v>0</v>
      </c>
      <c r="Y178" s="44">
        <f t="shared" si="214"/>
        <v>0</v>
      </c>
      <c r="Z178" s="44">
        <v>0</v>
      </c>
      <c r="AA178" s="44">
        <f t="shared" si="215"/>
        <v>0</v>
      </c>
    </row>
    <row r="179" spans="1:27" ht="11.25" hidden="1" customHeight="1">
      <c r="A179" s="595" t="s">
        <v>857</v>
      </c>
      <c r="B179" s="595">
        <v>70000</v>
      </c>
      <c r="C179" s="595" t="s">
        <v>747</v>
      </c>
      <c r="D179" s="8" t="str">
        <f t="shared" si="200"/>
        <v>Contracts &amp; Compliance Manager</v>
      </c>
      <c r="E179" s="115">
        <f>'LOE Breakdown by Year'!E37</f>
        <v>0</v>
      </c>
      <c r="F179" s="50" t="s">
        <v>100</v>
      </c>
      <c r="G179" s="44">
        <f t="shared" si="216"/>
        <v>9</v>
      </c>
      <c r="H179" s="44">
        <f t="shared" si="216"/>
        <v>2633.3333333333335</v>
      </c>
      <c r="I179" s="44">
        <f t="shared" si="208"/>
        <v>0</v>
      </c>
      <c r="J179" s="115">
        <f>'LOE Breakdown by Year'!E83</f>
        <v>0</v>
      </c>
      <c r="K179" s="44">
        <f t="shared" si="202"/>
        <v>12</v>
      </c>
      <c r="L179" s="44">
        <f t="shared" si="209"/>
        <v>0</v>
      </c>
      <c r="M179" s="115">
        <f>'LOE Breakdown by Year'!E129</f>
        <v>0</v>
      </c>
      <c r="N179" s="44">
        <f t="shared" si="203"/>
        <v>12</v>
      </c>
      <c r="O179" s="44">
        <f t="shared" si="210"/>
        <v>0</v>
      </c>
      <c r="P179" s="115">
        <f>'LOE Breakdown by Year'!E175</f>
        <v>0</v>
      </c>
      <c r="Q179" s="44">
        <f t="shared" si="204"/>
        <v>12</v>
      </c>
      <c r="R179" s="44">
        <f t="shared" si="211"/>
        <v>0</v>
      </c>
      <c r="S179" s="115">
        <f>'LOE Breakdown by Year'!E221</f>
        <v>0</v>
      </c>
      <c r="T179" s="44">
        <f t="shared" si="205"/>
        <v>12</v>
      </c>
      <c r="U179" s="44">
        <f t="shared" si="212"/>
        <v>0</v>
      </c>
      <c r="V179" s="115">
        <f>'LOE Breakdown by Year'!E267</f>
        <v>0</v>
      </c>
      <c r="W179" s="44">
        <f t="shared" si="206"/>
        <v>11</v>
      </c>
      <c r="X179" s="44">
        <f t="shared" si="213"/>
        <v>0</v>
      </c>
      <c r="Y179" s="44">
        <f t="shared" si="214"/>
        <v>0</v>
      </c>
      <c r="Z179" s="44">
        <v>0</v>
      </c>
      <c r="AA179" s="44">
        <f t="shared" si="215"/>
        <v>0</v>
      </c>
    </row>
    <row r="180" spans="1:27" ht="11.25" hidden="1" customHeight="1">
      <c r="A180" s="595" t="s">
        <v>858</v>
      </c>
      <c r="B180" s="595">
        <v>70000</v>
      </c>
      <c r="C180" s="595" t="s">
        <v>747</v>
      </c>
      <c r="D180" s="8" t="str">
        <f t="shared" si="200"/>
        <v>Grants &amp; Procurement Specialist</v>
      </c>
      <c r="E180" s="115">
        <f>'LOE Breakdown by Year'!E38</f>
        <v>0</v>
      </c>
      <c r="F180" s="50" t="s">
        <v>100</v>
      </c>
      <c r="G180" s="44">
        <f t="shared" si="216"/>
        <v>6</v>
      </c>
      <c r="H180" s="44">
        <f t="shared" si="216"/>
        <v>1500</v>
      </c>
      <c r="I180" s="44">
        <f t="shared" si="208"/>
        <v>0</v>
      </c>
      <c r="J180" s="115">
        <f>'LOE Breakdown by Year'!E84</f>
        <v>0</v>
      </c>
      <c r="K180" s="44">
        <f t="shared" si="202"/>
        <v>12</v>
      </c>
      <c r="L180" s="44">
        <f t="shared" si="209"/>
        <v>0</v>
      </c>
      <c r="M180" s="115">
        <f>'LOE Breakdown by Year'!E130</f>
        <v>0</v>
      </c>
      <c r="N180" s="44">
        <f t="shared" si="203"/>
        <v>12</v>
      </c>
      <c r="O180" s="44">
        <f t="shared" si="210"/>
        <v>0</v>
      </c>
      <c r="P180" s="115">
        <f>'LOE Breakdown by Year'!E176</f>
        <v>0</v>
      </c>
      <c r="Q180" s="44">
        <f t="shared" si="204"/>
        <v>12</v>
      </c>
      <c r="R180" s="44">
        <f t="shared" si="211"/>
        <v>0</v>
      </c>
      <c r="S180" s="115">
        <f>'LOE Breakdown by Year'!E222</f>
        <v>0</v>
      </c>
      <c r="T180" s="44">
        <f t="shared" si="205"/>
        <v>12</v>
      </c>
      <c r="U180" s="44">
        <f t="shared" si="212"/>
        <v>0</v>
      </c>
      <c r="V180" s="115">
        <f>'LOE Breakdown by Year'!E268</f>
        <v>0</v>
      </c>
      <c r="W180" s="44">
        <f t="shared" si="206"/>
        <v>6</v>
      </c>
      <c r="X180" s="44">
        <f t="shared" si="213"/>
        <v>0</v>
      </c>
      <c r="Y180" s="44">
        <f t="shared" si="214"/>
        <v>0</v>
      </c>
      <c r="Z180" s="44">
        <v>0</v>
      </c>
      <c r="AA180" s="44">
        <f t="shared" si="215"/>
        <v>0</v>
      </c>
    </row>
    <row r="181" spans="1:27" ht="11.25" hidden="1" customHeight="1">
      <c r="A181" s="595" t="s">
        <v>859</v>
      </c>
      <c r="B181" s="595">
        <v>70000</v>
      </c>
      <c r="C181" s="595" t="s">
        <v>747</v>
      </c>
      <c r="D181" s="8" t="str">
        <f t="shared" si="200"/>
        <v>Grants &amp; Procurement Officer</v>
      </c>
      <c r="E181" s="115">
        <f>'LOE Breakdown by Year'!E39</f>
        <v>0</v>
      </c>
      <c r="F181" s="50" t="s">
        <v>100</v>
      </c>
      <c r="G181" s="44">
        <f t="shared" si="216"/>
        <v>2</v>
      </c>
      <c r="H181" s="44">
        <f t="shared" si="216"/>
        <v>1000</v>
      </c>
      <c r="I181" s="44">
        <f t="shared" si="208"/>
        <v>0</v>
      </c>
      <c r="J181" s="115">
        <f>'LOE Breakdown by Year'!E85</f>
        <v>0</v>
      </c>
      <c r="K181" s="44">
        <f t="shared" si="202"/>
        <v>12</v>
      </c>
      <c r="L181" s="44">
        <f t="shared" si="209"/>
        <v>0</v>
      </c>
      <c r="M181" s="115">
        <f>'LOE Breakdown by Year'!E131</f>
        <v>0</v>
      </c>
      <c r="N181" s="44">
        <f t="shared" si="203"/>
        <v>12</v>
      </c>
      <c r="O181" s="44">
        <f t="shared" si="210"/>
        <v>0</v>
      </c>
      <c r="P181" s="115">
        <f>'LOE Breakdown by Year'!E177</f>
        <v>0</v>
      </c>
      <c r="Q181" s="44">
        <f t="shared" si="204"/>
        <v>12</v>
      </c>
      <c r="R181" s="44">
        <f t="shared" si="211"/>
        <v>0</v>
      </c>
      <c r="S181" s="115">
        <f>'LOE Breakdown by Year'!E223</f>
        <v>0</v>
      </c>
      <c r="T181" s="44">
        <f t="shared" si="205"/>
        <v>12</v>
      </c>
      <c r="U181" s="44">
        <f t="shared" si="212"/>
        <v>0</v>
      </c>
      <c r="V181" s="115">
        <f>'LOE Breakdown by Year'!E269</f>
        <v>0</v>
      </c>
      <c r="W181" s="44">
        <f t="shared" si="206"/>
        <v>3</v>
      </c>
      <c r="X181" s="44">
        <f t="shared" si="213"/>
        <v>0</v>
      </c>
      <c r="Y181" s="44">
        <f t="shared" si="214"/>
        <v>0</v>
      </c>
      <c r="Z181" s="44">
        <v>0</v>
      </c>
      <c r="AA181" s="44">
        <f t="shared" si="215"/>
        <v>0</v>
      </c>
    </row>
    <row r="182" spans="1:27" ht="11.25" hidden="1" customHeight="1">
      <c r="A182" s="595" t="s">
        <v>860</v>
      </c>
      <c r="B182" s="595">
        <v>70000</v>
      </c>
      <c r="C182" s="595" t="s">
        <v>747</v>
      </c>
      <c r="D182" s="8" t="str">
        <f t="shared" si="200"/>
        <v>Finance Officer</v>
      </c>
      <c r="E182" s="115">
        <f>'LOE Breakdown by Year'!E40</f>
        <v>0</v>
      </c>
      <c r="F182" s="50" t="s">
        <v>100</v>
      </c>
      <c r="G182" s="44">
        <f t="shared" si="216"/>
        <v>9</v>
      </c>
      <c r="H182" s="44">
        <f t="shared" si="216"/>
        <v>1250</v>
      </c>
      <c r="I182" s="44">
        <f t="shared" si="208"/>
        <v>0</v>
      </c>
      <c r="J182" s="115">
        <f>'LOE Breakdown by Year'!E86</f>
        <v>0</v>
      </c>
      <c r="K182" s="44">
        <f t="shared" si="202"/>
        <v>12</v>
      </c>
      <c r="L182" s="44">
        <f t="shared" si="209"/>
        <v>0</v>
      </c>
      <c r="M182" s="115">
        <f>'LOE Breakdown by Year'!E132</f>
        <v>0</v>
      </c>
      <c r="N182" s="44">
        <f t="shared" si="203"/>
        <v>12</v>
      </c>
      <c r="O182" s="44">
        <f t="shared" si="210"/>
        <v>0</v>
      </c>
      <c r="P182" s="115">
        <f>'LOE Breakdown by Year'!E178</f>
        <v>0</v>
      </c>
      <c r="Q182" s="44">
        <f t="shared" si="204"/>
        <v>12</v>
      </c>
      <c r="R182" s="44">
        <f t="shared" si="211"/>
        <v>0</v>
      </c>
      <c r="S182" s="115">
        <f>'LOE Breakdown by Year'!E224</f>
        <v>0</v>
      </c>
      <c r="T182" s="44">
        <f t="shared" si="205"/>
        <v>12</v>
      </c>
      <c r="U182" s="44">
        <f t="shared" si="212"/>
        <v>0</v>
      </c>
      <c r="V182" s="115">
        <f>'LOE Breakdown by Year'!E270</f>
        <v>0</v>
      </c>
      <c r="W182" s="44">
        <f t="shared" si="206"/>
        <v>11</v>
      </c>
      <c r="X182" s="44">
        <f t="shared" si="213"/>
        <v>0</v>
      </c>
      <c r="Y182" s="44">
        <f t="shared" si="214"/>
        <v>0</v>
      </c>
      <c r="Z182" s="44">
        <v>0</v>
      </c>
      <c r="AA182" s="44">
        <f t="shared" si="215"/>
        <v>0</v>
      </c>
    </row>
    <row r="183" spans="1:27" ht="11.25" hidden="1" customHeight="1">
      <c r="A183" s="595" t="s">
        <v>861</v>
      </c>
      <c r="B183" s="595">
        <v>70000</v>
      </c>
      <c r="C183" s="595" t="s">
        <v>747</v>
      </c>
      <c r="D183" s="8" t="str">
        <f t="shared" si="200"/>
        <v>Accountant</v>
      </c>
      <c r="E183" s="115">
        <f>'LOE Breakdown by Year'!E41</f>
        <v>0</v>
      </c>
      <c r="F183" s="50" t="s">
        <v>100</v>
      </c>
      <c r="G183" s="44">
        <f t="shared" si="216"/>
        <v>3</v>
      </c>
      <c r="H183" s="44">
        <f t="shared" si="216"/>
        <v>1000</v>
      </c>
      <c r="I183" s="44">
        <f t="shared" si="208"/>
        <v>0</v>
      </c>
      <c r="J183" s="115">
        <f>'LOE Breakdown by Year'!E87</f>
        <v>0</v>
      </c>
      <c r="K183" s="44">
        <f t="shared" si="202"/>
        <v>12</v>
      </c>
      <c r="L183" s="44">
        <f t="shared" si="209"/>
        <v>0</v>
      </c>
      <c r="M183" s="115">
        <f>'LOE Breakdown by Year'!E133</f>
        <v>0</v>
      </c>
      <c r="N183" s="44">
        <f t="shared" si="203"/>
        <v>12</v>
      </c>
      <c r="O183" s="44">
        <f t="shared" si="210"/>
        <v>0</v>
      </c>
      <c r="P183" s="115">
        <f>'LOE Breakdown by Year'!E179</f>
        <v>0</v>
      </c>
      <c r="Q183" s="44">
        <f t="shared" si="204"/>
        <v>12</v>
      </c>
      <c r="R183" s="44">
        <f t="shared" si="211"/>
        <v>0</v>
      </c>
      <c r="S183" s="115">
        <f>'LOE Breakdown by Year'!E225</f>
        <v>0</v>
      </c>
      <c r="T183" s="44">
        <f t="shared" si="205"/>
        <v>12</v>
      </c>
      <c r="U183" s="44">
        <f t="shared" si="212"/>
        <v>0</v>
      </c>
      <c r="V183" s="115">
        <f>'LOE Breakdown by Year'!E271</f>
        <v>0</v>
      </c>
      <c r="W183" s="44">
        <f t="shared" si="206"/>
        <v>9</v>
      </c>
      <c r="X183" s="44">
        <f t="shared" si="213"/>
        <v>0</v>
      </c>
      <c r="Y183" s="44">
        <f t="shared" si="214"/>
        <v>0</v>
      </c>
      <c r="Z183" s="44">
        <v>0</v>
      </c>
      <c r="AA183" s="44">
        <f t="shared" si="215"/>
        <v>0</v>
      </c>
    </row>
    <row r="184" spans="1:27" ht="11.25" hidden="1" customHeight="1">
      <c r="A184" s="595" t="s">
        <v>862</v>
      </c>
      <c r="B184" s="595">
        <v>70000</v>
      </c>
      <c r="C184" s="595" t="s">
        <v>747</v>
      </c>
      <c r="D184" s="8" t="str">
        <f t="shared" si="200"/>
        <v>Operation &amp; HR Manager</v>
      </c>
      <c r="E184" s="115">
        <f>'LOE Breakdown by Year'!E42</f>
        <v>0</v>
      </c>
      <c r="F184" s="50" t="s">
        <v>100</v>
      </c>
      <c r="G184" s="44">
        <f t="shared" si="216"/>
        <v>9</v>
      </c>
      <c r="H184" s="44">
        <f t="shared" si="216"/>
        <v>1800</v>
      </c>
      <c r="I184" s="44">
        <f t="shared" si="208"/>
        <v>0</v>
      </c>
      <c r="J184" s="115">
        <f>'LOE Breakdown by Year'!E88</f>
        <v>0</v>
      </c>
      <c r="K184" s="44">
        <f t="shared" si="202"/>
        <v>12</v>
      </c>
      <c r="L184" s="44">
        <f t="shared" si="209"/>
        <v>0</v>
      </c>
      <c r="M184" s="115">
        <f>'LOE Breakdown by Year'!E134</f>
        <v>0</v>
      </c>
      <c r="N184" s="44">
        <f t="shared" si="203"/>
        <v>12</v>
      </c>
      <c r="O184" s="44">
        <f t="shared" si="210"/>
        <v>0</v>
      </c>
      <c r="P184" s="115">
        <f>'LOE Breakdown by Year'!E180</f>
        <v>0</v>
      </c>
      <c r="Q184" s="44">
        <f t="shared" si="204"/>
        <v>12</v>
      </c>
      <c r="R184" s="44">
        <f t="shared" si="211"/>
        <v>0</v>
      </c>
      <c r="S184" s="115">
        <f>'LOE Breakdown by Year'!E226</f>
        <v>0</v>
      </c>
      <c r="T184" s="44">
        <f t="shared" si="205"/>
        <v>12</v>
      </c>
      <c r="U184" s="44">
        <f t="shared" si="212"/>
        <v>0</v>
      </c>
      <c r="V184" s="115">
        <f>'LOE Breakdown by Year'!E272</f>
        <v>0</v>
      </c>
      <c r="W184" s="44">
        <f t="shared" si="206"/>
        <v>11</v>
      </c>
      <c r="X184" s="44">
        <f t="shared" si="213"/>
        <v>0</v>
      </c>
      <c r="Y184" s="44">
        <f t="shared" si="214"/>
        <v>0</v>
      </c>
      <c r="Z184" s="44">
        <v>0</v>
      </c>
      <c r="AA184" s="44">
        <f t="shared" si="215"/>
        <v>0</v>
      </c>
    </row>
    <row r="185" spans="1:27" ht="11.25" hidden="1" customHeight="1">
      <c r="A185" s="595" t="s">
        <v>863</v>
      </c>
      <c r="B185" s="595">
        <v>70000</v>
      </c>
      <c r="C185" s="595" t="s">
        <v>747</v>
      </c>
      <c r="D185" s="8" t="str">
        <f t="shared" si="200"/>
        <v>Administrative Assistant - (2 Individuals)</v>
      </c>
      <c r="E185" s="115">
        <f>'LOE Breakdown by Year'!E43</f>
        <v>0</v>
      </c>
      <c r="F185" s="50" t="s">
        <v>100</v>
      </c>
      <c r="G185" s="44">
        <f t="shared" si="216"/>
        <v>6</v>
      </c>
      <c r="H185" s="44">
        <f t="shared" si="216"/>
        <v>750</v>
      </c>
      <c r="I185" s="44">
        <f t="shared" si="208"/>
        <v>0</v>
      </c>
      <c r="J185" s="115">
        <f>'LOE Breakdown by Year'!E89</f>
        <v>0</v>
      </c>
      <c r="K185" s="44">
        <f t="shared" si="202"/>
        <v>24</v>
      </c>
      <c r="L185" s="44">
        <f t="shared" si="209"/>
        <v>0</v>
      </c>
      <c r="M185" s="115">
        <f>'LOE Breakdown by Year'!E135</f>
        <v>0</v>
      </c>
      <c r="N185" s="44">
        <f t="shared" si="203"/>
        <v>24</v>
      </c>
      <c r="O185" s="44">
        <f t="shared" si="210"/>
        <v>0</v>
      </c>
      <c r="P185" s="115">
        <f>'LOE Breakdown by Year'!E181</f>
        <v>0</v>
      </c>
      <c r="Q185" s="44">
        <f t="shared" si="204"/>
        <v>24</v>
      </c>
      <c r="R185" s="44">
        <f t="shared" si="211"/>
        <v>0</v>
      </c>
      <c r="S185" s="115">
        <f>'LOE Breakdown by Year'!E227</f>
        <v>0</v>
      </c>
      <c r="T185" s="44">
        <f t="shared" si="205"/>
        <v>24</v>
      </c>
      <c r="U185" s="44">
        <f t="shared" si="212"/>
        <v>0</v>
      </c>
      <c r="V185" s="115">
        <f>'LOE Breakdown by Year'!E273</f>
        <v>0</v>
      </c>
      <c r="W185" s="44">
        <f t="shared" si="206"/>
        <v>10</v>
      </c>
      <c r="X185" s="44">
        <f t="shared" si="213"/>
        <v>0</v>
      </c>
      <c r="Y185" s="44">
        <f t="shared" si="214"/>
        <v>0</v>
      </c>
      <c r="Z185" s="44">
        <v>0</v>
      </c>
      <c r="AA185" s="44">
        <f t="shared" si="215"/>
        <v>0</v>
      </c>
    </row>
    <row r="186" spans="1:27" ht="11.25" hidden="1" customHeight="1">
      <c r="A186" s="595" t="s">
        <v>864</v>
      </c>
      <c r="B186" s="595">
        <v>70000</v>
      </c>
      <c r="C186" s="595" t="s">
        <v>747</v>
      </c>
      <c r="D186" s="8" t="str">
        <f t="shared" si="200"/>
        <v>Driver - (2 Individuals)</v>
      </c>
      <c r="E186" s="115">
        <f>'LOE Breakdown by Year'!E44</f>
        <v>0</v>
      </c>
      <c r="F186" s="50" t="s">
        <v>100</v>
      </c>
      <c r="G186" s="44">
        <f t="shared" si="216"/>
        <v>6</v>
      </c>
      <c r="H186" s="44">
        <f t="shared" si="216"/>
        <v>500</v>
      </c>
      <c r="I186" s="44">
        <f t="shared" si="208"/>
        <v>0</v>
      </c>
      <c r="J186" s="115">
        <f>'LOE Breakdown by Year'!E90</f>
        <v>0</v>
      </c>
      <c r="K186" s="44">
        <f t="shared" si="202"/>
        <v>24</v>
      </c>
      <c r="L186" s="44">
        <f t="shared" si="209"/>
        <v>0</v>
      </c>
      <c r="M186" s="115">
        <f>'LOE Breakdown by Year'!E136</f>
        <v>0</v>
      </c>
      <c r="N186" s="44">
        <f t="shared" si="203"/>
        <v>24</v>
      </c>
      <c r="O186" s="44">
        <f t="shared" si="210"/>
        <v>0</v>
      </c>
      <c r="P186" s="115">
        <f>'LOE Breakdown by Year'!E182</f>
        <v>0</v>
      </c>
      <c r="Q186" s="44">
        <f t="shared" si="204"/>
        <v>24</v>
      </c>
      <c r="R186" s="44">
        <f t="shared" si="211"/>
        <v>0</v>
      </c>
      <c r="S186" s="115">
        <f>'LOE Breakdown by Year'!E228</f>
        <v>0</v>
      </c>
      <c r="T186" s="44">
        <f t="shared" si="205"/>
        <v>24</v>
      </c>
      <c r="U186" s="44">
        <f t="shared" si="212"/>
        <v>0</v>
      </c>
      <c r="V186" s="115">
        <f>'LOE Breakdown by Year'!E274</f>
        <v>0</v>
      </c>
      <c r="W186" s="44">
        <f t="shared" si="206"/>
        <v>18</v>
      </c>
      <c r="X186" s="44">
        <f t="shared" si="213"/>
        <v>0</v>
      </c>
      <c r="Y186" s="44">
        <f t="shared" si="214"/>
        <v>0</v>
      </c>
      <c r="Z186" s="44">
        <v>0</v>
      </c>
      <c r="AA186" s="44">
        <f t="shared" si="215"/>
        <v>0</v>
      </c>
    </row>
    <row r="187" spans="1:27">
      <c r="A187" s="607"/>
      <c r="B187" s="607"/>
      <c r="C187" s="607"/>
      <c r="D187" s="41" t="s">
        <v>229</v>
      </c>
      <c r="E187" s="127"/>
      <c r="F187" s="46"/>
      <c r="G187" s="47"/>
      <c r="H187" s="47"/>
      <c r="I187" s="48">
        <f>SUM(I153:I186)</f>
        <v>20175</v>
      </c>
      <c r="J187" s="127"/>
      <c r="K187" s="48"/>
      <c r="L187" s="48">
        <f>SUM(L153:L186)</f>
        <v>58275</v>
      </c>
      <c r="M187" s="127"/>
      <c r="N187" s="48"/>
      <c r="O187" s="48">
        <f>SUM(O153:O186)</f>
        <v>61188.75</v>
      </c>
      <c r="P187" s="127"/>
      <c r="Q187" s="48"/>
      <c r="R187" s="48">
        <f>SUM(R153:R186)</f>
        <v>64248.1875</v>
      </c>
      <c r="S187" s="127"/>
      <c r="T187" s="48"/>
      <c r="U187" s="48">
        <f>SUM(U153:U186)</f>
        <v>63084.774374999994</v>
      </c>
      <c r="V187" s="127"/>
      <c r="W187" s="48"/>
      <c r="X187" s="48">
        <f>SUM(X153:X186)</f>
        <v>28524.892921875005</v>
      </c>
      <c r="Y187" s="48">
        <f>SUM(Y153:Y186)</f>
        <v>295496.60479687504</v>
      </c>
      <c r="Z187" s="48">
        <f>SUM(Z153:Z186)</f>
        <v>0</v>
      </c>
      <c r="AA187" s="48">
        <f>SUM(AA153:AA186)</f>
        <v>295496.60479687504</v>
      </c>
    </row>
    <row r="188" spans="1:27">
      <c r="A188" s="608"/>
      <c r="B188" s="608"/>
      <c r="C188" s="608"/>
      <c r="D188" s="100"/>
      <c r="E188" s="128"/>
      <c r="F188" s="81"/>
      <c r="G188" s="63"/>
      <c r="H188" s="63"/>
      <c r="I188" s="63"/>
      <c r="J188" s="128"/>
      <c r="K188" s="63"/>
      <c r="L188" s="63"/>
      <c r="M188" s="128"/>
      <c r="N188" s="63"/>
      <c r="O188" s="63"/>
      <c r="P188" s="128"/>
      <c r="Q188" s="63"/>
      <c r="R188" s="63"/>
      <c r="S188" s="128"/>
      <c r="T188" s="63"/>
      <c r="U188" s="63"/>
      <c r="V188" s="128"/>
      <c r="W188" s="63"/>
      <c r="X188" s="63"/>
      <c r="Y188" s="63"/>
      <c r="Z188" s="63"/>
      <c r="AA188" s="63"/>
    </row>
    <row r="189" spans="1:27">
      <c r="A189" s="607"/>
      <c r="B189" s="607"/>
      <c r="C189" s="607"/>
      <c r="D189" s="41" t="s">
        <v>230</v>
      </c>
      <c r="E189" s="127"/>
      <c r="F189" s="46"/>
      <c r="G189" s="47"/>
      <c r="H189" s="47"/>
      <c r="I189" s="48"/>
      <c r="J189" s="127"/>
      <c r="K189" s="48"/>
      <c r="L189" s="48"/>
      <c r="M189" s="127"/>
      <c r="N189" s="48"/>
      <c r="O189" s="48"/>
      <c r="P189" s="127"/>
      <c r="Q189" s="48"/>
      <c r="R189" s="48"/>
      <c r="S189" s="127"/>
      <c r="T189" s="48"/>
      <c r="U189" s="48"/>
      <c r="V189" s="127"/>
      <c r="W189" s="48"/>
      <c r="X189" s="48"/>
      <c r="Y189" s="48"/>
      <c r="Z189" s="48"/>
      <c r="AA189" s="48"/>
    </row>
    <row r="190" spans="1:27">
      <c r="A190" s="591" t="s">
        <v>830</v>
      </c>
      <c r="B190" s="591" t="s">
        <v>791</v>
      </c>
      <c r="C190" s="591" t="s">
        <v>747</v>
      </c>
      <c r="D190" s="8" t="str">
        <f>D56</f>
        <v>Fringe Benefits CCN - Honduras</v>
      </c>
      <c r="E190" s="116"/>
      <c r="F190" s="82" t="s">
        <v>143</v>
      </c>
      <c r="G190" s="44">
        <f>G56</f>
        <v>0</v>
      </c>
      <c r="H190" s="60">
        <f>H56</f>
        <v>0.48259999999999997</v>
      </c>
      <c r="I190" s="44">
        <f>(SUM(I153:I186))*$H$190</f>
        <v>9736.4549999999999</v>
      </c>
      <c r="J190" s="116"/>
      <c r="K190" s="44">
        <f>K56</f>
        <v>0</v>
      </c>
      <c r="L190" s="44">
        <f>(SUM(L153:L186))*$H$190</f>
        <v>28123.514999999999</v>
      </c>
      <c r="M190" s="116"/>
      <c r="N190" s="44">
        <f>N56</f>
        <v>0</v>
      </c>
      <c r="O190" s="44">
        <f>(SUM(O153:O186))*$H$190</f>
        <v>29529.690749999998</v>
      </c>
      <c r="P190" s="116"/>
      <c r="Q190" s="44">
        <f>Q56</f>
        <v>0</v>
      </c>
      <c r="R190" s="44">
        <f>(SUM(R153:R186))*$H$190</f>
        <v>31006.175287499998</v>
      </c>
      <c r="S190" s="116"/>
      <c r="T190" s="44">
        <f>T56</f>
        <v>0</v>
      </c>
      <c r="U190" s="44">
        <f>(SUM(U153:U186))*$H$190</f>
        <v>30444.712113374997</v>
      </c>
      <c r="V190" s="116"/>
      <c r="W190" s="44">
        <f>W56</f>
        <v>0</v>
      </c>
      <c r="X190" s="44">
        <f>(SUM(X153:X186))*$H$190</f>
        <v>13766.113324096877</v>
      </c>
      <c r="Y190" s="44">
        <f t="shared" ref="Y190" si="217">SUM(R190,O190,L190,I190,U190,X190)</f>
        <v>142606.66147497186</v>
      </c>
      <c r="Z190" s="63">
        <v>0</v>
      </c>
      <c r="AA190" s="44">
        <f>SUM(Y190:Z190)</f>
        <v>142606.66147497186</v>
      </c>
    </row>
    <row r="191" spans="1:27">
      <c r="A191" s="607"/>
      <c r="B191" s="607"/>
      <c r="C191" s="607"/>
      <c r="D191" s="41" t="s">
        <v>231</v>
      </c>
      <c r="E191" s="127"/>
      <c r="F191" s="46"/>
      <c r="G191" s="47"/>
      <c r="H191" s="47"/>
      <c r="I191" s="48">
        <f>SUM(I190:I190)</f>
        <v>9736.4549999999999</v>
      </c>
      <c r="J191" s="127"/>
      <c r="K191" s="48"/>
      <c r="L191" s="48">
        <f>SUM(L190:L190)</f>
        <v>28123.514999999999</v>
      </c>
      <c r="M191" s="127"/>
      <c r="N191" s="48"/>
      <c r="O191" s="48">
        <f>SUM(O190:O190)</f>
        <v>29529.690749999998</v>
      </c>
      <c r="P191" s="127"/>
      <c r="Q191" s="48"/>
      <c r="R191" s="48">
        <f>SUM(R190:R190)</f>
        <v>31006.175287499998</v>
      </c>
      <c r="S191" s="127"/>
      <c r="T191" s="48"/>
      <c r="U191" s="48">
        <f>SUM(U190:U190)</f>
        <v>30444.712113374997</v>
      </c>
      <c r="V191" s="127"/>
      <c r="W191" s="48"/>
      <c r="X191" s="48">
        <f>SUM(X190:X190)</f>
        <v>13766.113324096877</v>
      </c>
      <c r="Y191" s="48">
        <f>SUM(Y190:Y190)</f>
        <v>142606.66147497186</v>
      </c>
      <c r="Z191" s="48">
        <f>SUM(Z190:Z190)</f>
        <v>0</v>
      </c>
      <c r="AA191" s="48">
        <f>SUM(AA190:AA190)</f>
        <v>142606.66147497186</v>
      </c>
    </row>
    <row r="192" spans="1:27">
      <c r="A192" s="608"/>
      <c r="B192" s="608"/>
      <c r="C192" s="608"/>
      <c r="D192" s="100"/>
      <c r="E192" s="128"/>
      <c r="F192" s="81"/>
      <c r="G192" s="63"/>
      <c r="H192" s="63"/>
      <c r="I192" s="101"/>
      <c r="J192" s="128"/>
      <c r="K192" s="101"/>
      <c r="L192" s="101"/>
      <c r="M192" s="128"/>
      <c r="N192" s="101"/>
      <c r="O192" s="101"/>
      <c r="P192" s="128"/>
      <c r="Q192" s="101"/>
      <c r="R192" s="101"/>
      <c r="S192" s="128"/>
      <c r="T192" s="101"/>
      <c r="U192" s="101"/>
      <c r="V192" s="128"/>
      <c r="W192" s="101"/>
      <c r="X192" s="101"/>
      <c r="Y192" s="101"/>
      <c r="Z192" s="101"/>
      <c r="AA192" s="101"/>
    </row>
    <row r="193" spans="1:27">
      <c r="A193" s="607"/>
      <c r="B193" s="607"/>
      <c r="C193" s="607"/>
      <c r="D193" s="41" t="s">
        <v>232</v>
      </c>
      <c r="E193" s="127"/>
      <c r="F193" s="46"/>
      <c r="G193" s="47"/>
      <c r="H193" s="47"/>
      <c r="I193" s="47"/>
      <c r="J193" s="127"/>
      <c r="K193" s="47"/>
      <c r="L193" s="47"/>
      <c r="M193" s="127"/>
      <c r="N193" s="47"/>
      <c r="O193" s="47"/>
      <c r="P193" s="127"/>
      <c r="Q193" s="47"/>
      <c r="R193" s="47"/>
      <c r="S193" s="127"/>
      <c r="T193" s="47"/>
      <c r="U193" s="47"/>
      <c r="V193" s="127"/>
      <c r="W193" s="47"/>
      <c r="X193" s="47"/>
      <c r="Y193" s="47"/>
      <c r="Z193" s="47"/>
      <c r="AA193" s="47"/>
    </row>
    <row r="194" spans="1:27">
      <c r="A194" s="591" t="s">
        <v>1260</v>
      </c>
      <c r="B194" s="591" t="s">
        <v>802</v>
      </c>
      <c r="C194" s="591" t="s">
        <v>747</v>
      </c>
      <c r="D194" s="8" t="s">
        <v>233</v>
      </c>
      <c r="E194" s="120"/>
      <c r="F194" s="49" t="s">
        <v>234</v>
      </c>
      <c r="G194" s="44">
        <v>2</v>
      </c>
      <c r="H194" s="44">
        <v>10000</v>
      </c>
      <c r="I194" s="44">
        <f>G194*H194</f>
        <v>20000</v>
      </c>
      <c r="J194" s="120"/>
      <c r="K194" s="44">
        <v>4</v>
      </c>
      <c r="L194" s="44">
        <f>K194*H194</f>
        <v>40000</v>
      </c>
      <c r="M194" s="120"/>
      <c r="N194" s="44">
        <v>4</v>
      </c>
      <c r="O194" s="44">
        <f>N194*H194</f>
        <v>40000</v>
      </c>
      <c r="P194" s="120"/>
      <c r="Q194" s="44">
        <v>4</v>
      </c>
      <c r="R194" s="44">
        <f>Q194*H194</f>
        <v>40000</v>
      </c>
      <c r="S194" s="120"/>
      <c r="T194" s="44">
        <v>4</v>
      </c>
      <c r="U194" s="44">
        <f>T194*H194</f>
        <v>40000</v>
      </c>
      <c r="V194" s="120"/>
      <c r="W194" s="44">
        <v>2</v>
      </c>
      <c r="X194" s="44">
        <f>W194*H194</f>
        <v>20000</v>
      </c>
      <c r="Y194" s="44">
        <f>SUM(R194,O194,L194,I194,U194,X194)</f>
        <v>200000</v>
      </c>
      <c r="Z194" s="44">
        <v>0</v>
      </c>
      <c r="AA194" s="44">
        <f>Y194+Z194</f>
        <v>200000</v>
      </c>
    </row>
    <row r="195" spans="1:27">
      <c r="A195" s="607"/>
      <c r="B195" s="607"/>
      <c r="C195" s="607"/>
      <c r="D195" s="41" t="s">
        <v>235</v>
      </c>
      <c r="E195" s="127"/>
      <c r="F195" s="46"/>
      <c r="G195" s="47"/>
      <c r="H195" s="47"/>
      <c r="I195" s="48">
        <f>SUM(I194:I194)</f>
        <v>20000</v>
      </c>
      <c r="J195" s="127"/>
      <c r="K195" s="48"/>
      <c r="L195" s="48">
        <f>SUM(L194:L194)</f>
        <v>40000</v>
      </c>
      <c r="M195" s="127"/>
      <c r="N195" s="48"/>
      <c r="O195" s="48">
        <f>SUM(O194:O194)</f>
        <v>40000</v>
      </c>
      <c r="P195" s="127"/>
      <c r="Q195" s="48"/>
      <c r="R195" s="48">
        <f>SUM(R194:R194)</f>
        <v>40000</v>
      </c>
      <c r="S195" s="127"/>
      <c r="T195" s="48"/>
      <c r="U195" s="48">
        <f>SUM(U194:U194)</f>
        <v>40000</v>
      </c>
      <c r="V195" s="127"/>
      <c r="W195" s="48"/>
      <c r="X195" s="48">
        <f>SUM(X194:X194)</f>
        <v>20000</v>
      </c>
      <c r="Y195" s="101">
        <f>SUM(Y194:Y194)</f>
        <v>200000</v>
      </c>
      <c r="Z195" s="48">
        <f>SUM(Z194:Z194)</f>
        <v>0</v>
      </c>
      <c r="AA195" s="48">
        <f>SUM(AA194:AA194)</f>
        <v>200000</v>
      </c>
    </row>
    <row r="196" spans="1:27">
      <c r="A196" s="608"/>
      <c r="B196" s="608"/>
      <c r="C196" s="608"/>
      <c r="D196" s="100"/>
      <c r="E196" s="154"/>
      <c r="F196" s="81"/>
      <c r="G196" s="63"/>
      <c r="H196" s="63"/>
      <c r="I196" s="63"/>
      <c r="J196" s="154"/>
      <c r="K196" s="63"/>
      <c r="L196" s="63"/>
      <c r="M196" s="154"/>
      <c r="N196" s="63"/>
      <c r="O196" s="63"/>
      <c r="P196" s="154"/>
      <c r="Q196" s="63"/>
      <c r="R196" s="63"/>
      <c r="S196" s="154"/>
      <c r="T196" s="63"/>
      <c r="U196" s="63"/>
      <c r="V196" s="154"/>
      <c r="W196" s="63"/>
      <c r="X196" s="63"/>
      <c r="Y196" s="63"/>
      <c r="Z196" s="63"/>
      <c r="AA196" s="63"/>
    </row>
    <row r="197" spans="1:27">
      <c r="A197" s="607"/>
      <c r="B197" s="607"/>
      <c r="C197" s="607"/>
      <c r="D197" s="41" t="s">
        <v>236</v>
      </c>
      <c r="E197" s="127"/>
      <c r="F197" s="46"/>
      <c r="G197" s="47"/>
      <c r="H197" s="47"/>
      <c r="I197" s="47"/>
      <c r="J197" s="127"/>
      <c r="K197" s="47"/>
      <c r="L197" s="47"/>
      <c r="M197" s="127"/>
      <c r="N197" s="47"/>
      <c r="O197" s="47"/>
      <c r="P197" s="127"/>
      <c r="Q197" s="47"/>
      <c r="R197" s="47"/>
      <c r="S197" s="127"/>
      <c r="T197" s="47"/>
      <c r="U197" s="47"/>
      <c r="V197" s="127"/>
      <c r="W197" s="47"/>
      <c r="X197" s="47"/>
      <c r="Y197" s="47"/>
      <c r="Z197" s="47"/>
      <c r="AA197" s="47"/>
    </row>
    <row r="198" spans="1:27">
      <c r="A198" s="591" t="s">
        <v>1264</v>
      </c>
      <c r="B198" s="591" t="s">
        <v>1265</v>
      </c>
      <c r="C198" s="591" t="s">
        <v>747</v>
      </c>
      <c r="D198" s="8" t="s">
        <v>160</v>
      </c>
      <c r="F198" s="8" t="s">
        <v>100</v>
      </c>
      <c r="G198" s="44">
        <v>3</v>
      </c>
      <c r="H198" s="237">
        <v>120</v>
      </c>
      <c r="I198" s="44">
        <f>G198*H198</f>
        <v>360</v>
      </c>
      <c r="J198" s="44"/>
      <c r="K198" s="44">
        <v>12</v>
      </c>
      <c r="L198" s="44">
        <f>H198*K198*$E$6</f>
        <v>1512</v>
      </c>
      <c r="M198" s="123"/>
      <c r="N198" s="44">
        <v>12</v>
      </c>
      <c r="O198" s="44">
        <f>H198*N198*$E$6*$E$6</f>
        <v>1587.6000000000001</v>
      </c>
      <c r="P198" s="123"/>
      <c r="Q198" s="44">
        <v>12</v>
      </c>
      <c r="R198" s="44">
        <f>H198*Q198*$E$6*$E$6*$E$6</f>
        <v>1666.9800000000002</v>
      </c>
      <c r="S198" s="123"/>
      <c r="T198" s="44">
        <v>12</v>
      </c>
      <c r="U198" s="44">
        <f>H198*T198*$E$6*$E$6*$E$6*$E$6</f>
        <v>1750.3290000000004</v>
      </c>
      <c r="V198" s="123"/>
      <c r="W198" s="44">
        <v>9</v>
      </c>
      <c r="X198" s="44">
        <f>W198*H198*$E$6*$E$6*$E$6*$E$6*$E$6</f>
        <v>1378.3840875000003</v>
      </c>
      <c r="Y198" s="44">
        <f>SUM(R198,O198,L198,I198,U198,X198)</f>
        <v>8255.2930875000002</v>
      </c>
      <c r="Z198" s="44" t="s">
        <v>149</v>
      </c>
      <c r="AA198" s="44">
        <f>SUM(Y198:Z198)</f>
        <v>8255.2930875000002</v>
      </c>
    </row>
    <row r="199" spans="1:27">
      <c r="A199" s="591" t="s">
        <v>1261</v>
      </c>
      <c r="B199" s="591" t="s">
        <v>1265</v>
      </c>
      <c r="C199" s="591" t="s">
        <v>747</v>
      </c>
      <c r="D199" s="8" t="s">
        <v>237</v>
      </c>
      <c r="F199" s="8" t="s">
        <v>148</v>
      </c>
      <c r="G199" s="44">
        <v>2</v>
      </c>
      <c r="H199" s="44">
        <v>35</v>
      </c>
      <c r="I199" s="44">
        <f>G199*H199</f>
        <v>70</v>
      </c>
      <c r="J199" s="123"/>
      <c r="K199" s="44">
        <v>2</v>
      </c>
      <c r="L199" s="44">
        <f t="shared" ref="L199:L200" si="218">H199*K199*$E$6</f>
        <v>73.5</v>
      </c>
      <c r="M199" s="123"/>
      <c r="N199" s="44">
        <v>2</v>
      </c>
      <c r="O199" s="44">
        <f t="shared" ref="O199:O200" si="219">H199*N199*$E$6*$E$6</f>
        <v>77.174999999999997</v>
      </c>
      <c r="P199" s="123"/>
      <c r="Q199" s="44">
        <v>2</v>
      </c>
      <c r="R199" s="44">
        <f t="shared" ref="R199:R200" si="220">H199*Q199*$E$6*$E$6*$E$6</f>
        <v>81.033749999999998</v>
      </c>
      <c r="S199" s="123"/>
      <c r="T199" s="44">
        <v>2</v>
      </c>
      <c r="U199" s="44">
        <f t="shared" ref="U199:U200" si="221">T199*H199*$E$6*$E$6*$E$6*$E$6</f>
        <v>85.085437499999998</v>
      </c>
      <c r="V199" s="123"/>
      <c r="W199" s="44">
        <v>2</v>
      </c>
      <c r="X199" s="44">
        <f>W199*H199*$E$6*$E$6*$E$6*$E$6*$E$6</f>
        <v>89.339709374999998</v>
      </c>
      <c r="Y199" s="44">
        <f>SUM(R199,O199,L199,I199,U199,X199)</f>
        <v>476.133896875</v>
      </c>
      <c r="Z199" s="44" t="s">
        <v>149</v>
      </c>
      <c r="AA199" s="44">
        <f>SUM(Y199:Z199)</f>
        <v>476.133896875</v>
      </c>
    </row>
    <row r="200" spans="1:27" ht="25.2">
      <c r="A200" s="591" t="s">
        <v>1261</v>
      </c>
      <c r="B200" s="45" t="s">
        <v>794</v>
      </c>
      <c r="C200" s="591" t="s">
        <v>747</v>
      </c>
      <c r="D200" s="8" t="s">
        <v>238</v>
      </c>
      <c r="F200" s="8" t="s">
        <v>151</v>
      </c>
      <c r="G200" s="44">
        <f>2*G199</f>
        <v>4</v>
      </c>
      <c r="H200" s="44">
        <f xml:space="preserve"> 75 +  + (0.5*80)</f>
        <v>115</v>
      </c>
      <c r="I200" s="44">
        <f>G200*H200</f>
        <v>460</v>
      </c>
      <c r="J200" s="123"/>
      <c r="K200" s="44">
        <f>2*K199</f>
        <v>4</v>
      </c>
      <c r="L200" s="44">
        <f t="shared" si="218"/>
        <v>483</v>
      </c>
      <c r="M200" s="123"/>
      <c r="N200" s="44">
        <f>2*N199</f>
        <v>4</v>
      </c>
      <c r="O200" s="44">
        <f t="shared" si="219"/>
        <v>507.15000000000003</v>
      </c>
      <c r="P200" s="123"/>
      <c r="Q200" s="44">
        <f>2*Q199</f>
        <v>4</v>
      </c>
      <c r="R200" s="44">
        <f t="shared" si="220"/>
        <v>532.50750000000005</v>
      </c>
      <c r="S200" s="123"/>
      <c r="T200" s="44">
        <f>2*T199</f>
        <v>4</v>
      </c>
      <c r="U200" s="44">
        <f t="shared" si="221"/>
        <v>559.13287500000013</v>
      </c>
      <c r="V200" s="123"/>
      <c r="W200" s="44">
        <f>2*W199</f>
        <v>4</v>
      </c>
      <c r="X200" s="44">
        <f>W200*H200*$E$6*$E$6*$E$6*$E$6*$E$6</f>
        <v>587.08951875000014</v>
      </c>
      <c r="Y200" s="44">
        <f>SUM(R200,O200,L200,I200,U200,X200)</f>
        <v>3128.8798937500001</v>
      </c>
      <c r="Z200" s="44" t="s">
        <v>149</v>
      </c>
      <c r="AA200" s="44">
        <f>SUM(Y200:Z200)</f>
        <v>3128.8798937500001</v>
      </c>
    </row>
    <row r="201" spans="1:27" ht="25.2">
      <c r="A201" s="591" t="s">
        <v>1266</v>
      </c>
      <c r="B201" s="591" t="s">
        <v>1265</v>
      </c>
      <c r="C201" s="591" t="s">
        <v>747</v>
      </c>
      <c r="D201" s="8" t="s">
        <v>239</v>
      </c>
      <c r="F201" s="8" t="s">
        <v>148</v>
      </c>
      <c r="G201" s="44">
        <v>5</v>
      </c>
      <c r="H201" s="44">
        <v>35</v>
      </c>
      <c r="I201" s="44">
        <f>G201*H201</f>
        <v>175</v>
      </c>
      <c r="J201" s="44"/>
      <c r="K201" s="44">
        <v>5</v>
      </c>
      <c r="L201" s="44">
        <f>H201*K201*$E$6</f>
        <v>183.75</v>
      </c>
      <c r="M201" s="123"/>
      <c r="N201" s="44">
        <v>5</v>
      </c>
      <c r="O201" s="44">
        <f>H201*N201*$E$6*$E$6</f>
        <v>192.9375</v>
      </c>
      <c r="P201" s="123"/>
      <c r="Q201" s="44">
        <v>5</v>
      </c>
      <c r="R201" s="44">
        <f>H201*Q201*$E$6*$E$6*$E$6</f>
        <v>202.58437500000002</v>
      </c>
      <c r="S201" s="123"/>
      <c r="T201" s="44">
        <v>5</v>
      </c>
      <c r="U201" s="44">
        <f>H201*T201*$E$6*$E$6*$E$6*$E$6</f>
        <v>212.71359375000003</v>
      </c>
      <c r="V201" s="123"/>
      <c r="W201" s="44">
        <v>5</v>
      </c>
      <c r="X201" s="44">
        <f t="shared" ref="X201:X202" si="222">W201*H201*$E$6*$E$6*$E$6*$E$6*$E$6</f>
        <v>223.34927343750005</v>
      </c>
      <c r="Y201" s="44">
        <f t="shared" ref="Y201:Y202" si="223">SUM(R201,O201,L201,I201,U201,X201)</f>
        <v>1190.3347421875001</v>
      </c>
      <c r="Z201" s="44" t="s">
        <v>149</v>
      </c>
      <c r="AA201" s="44">
        <f>SUM(Y201:Z201)</f>
        <v>1190.3347421875001</v>
      </c>
    </row>
    <row r="202" spans="1:27" ht="25.2">
      <c r="A202" s="591" t="s">
        <v>1266</v>
      </c>
      <c r="B202" s="45" t="s">
        <v>794</v>
      </c>
      <c r="C202" s="591" t="s">
        <v>747</v>
      </c>
      <c r="D202" s="8" t="s">
        <v>240</v>
      </c>
      <c r="F202" s="8" t="s">
        <v>151</v>
      </c>
      <c r="G202" s="44">
        <f>G201*2</f>
        <v>10</v>
      </c>
      <c r="H202" s="44">
        <f xml:space="preserve"> 75 +  + (0.5*80)</f>
        <v>115</v>
      </c>
      <c r="I202" s="44">
        <f>G202*H202</f>
        <v>1150</v>
      </c>
      <c r="J202" s="44"/>
      <c r="K202" s="44">
        <f>K201*2</f>
        <v>10</v>
      </c>
      <c r="L202" s="44">
        <f>H202*K202*$E$6</f>
        <v>1207.5</v>
      </c>
      <c r="M202" s="123"/>
      <c r="N202" s="44">
        <f>N201*2</f>
        <v>10</v>
      </c>
      <c r="O202" s="44">
        <f>H202*N202*$E$6*$E$6</f>
        <v>1267.875</v>
      </c>
      <c r="P202" s="123"/>
      <c r="Q202" s="44">
        <f>Q201*2</f>
        <v>10</v>
      </c>
      <c r="R202" s="44">
        <f>H202*Q202*$E$6*$E$6*$E$6</f>
        <v>1331.26875</v>
      </c>
      <c r="S202" s="123"/>
      <c r="T202" s="44">
        <f>T201*2</f>
        <v>10</v>
      </c>
      <c r="U202" s="44">
        <f>H202*T202*$E$6*$E$6*$E$6*$E$6</f>
        <v>1397.8321874999999</v>
      </c>
      <c r="V202" s="123"/>
      <c r="W202" s="44">
        <f>W201*2</f>
        <v>10</v>
      </c>
      <c r="X202" s="44">
        <f t="shared" si="222"/>
        <v>1467.7237968750001</v>
      </c>
      <c r="Y202" s="44">
        <f t="shared" si="223"/>
        <v>7822.1997343750008</v>
      </c>
      <c r="Z202" s="44" t="s">
        <v>149</v>
      </c>
      <c r="AA202" s="44">
        <f>SUM(Y202:Z202)</f>
        <v>7822.1997343750008</v>
      </c>
    </row>
    <row r="203" spans="1:27">
      <c r="A203" s="607"/>
      <c r="B203" s="607"/>
      <c r="C203" s="607"/>
      <c r="D203" s="41" t="s">
        <v>241</v>
      </c>
      <c r="E203" s="127"/>
      <c r="F203" s="46"/>
      <c r="G203" s="47"/>
      <c r="H203" s="47"/>
      <c r="I203" s="48">
        <f>SUM(I198:I202)</f>
        <v>2215</v>
      </c>
      <c r="J203" s="127"/>
      <c r="K203" s="48"/>
      <c r="L203" s="48">
        <f>SUM(L198:L202)</f>
        <v>3459.75</v>
      </c>
      <c r="M203" s="127"/>
      <c r="N203" s="48"/>
      <c r="O203" s="48">
        <f>SUM(O198:O202)</f>
        <v>3632.7375000000002</v>
      </c>
      <c r="P203" s="127"/>
      <c r="Q203" s="48"/>
      <c r="R203" s="48">
        <f>SUM(R198:R202)</f>
        <v>3814.3743750000003</v>
      </c>
      <c r="S203" s="127"/>
      <c r="T203" s="48"/>
      <c r="U203" s="48">
        <f>SUM(U198:U202)</f>
        <v>4005.0930937500007</v>
      </c>
      <c r="V203" s="127"/>
      <c r="W203" s="48"/>
      <c r="X203" s="48">
        <f>SUM(X198:X202)</f>
        <v>3745.8863859375006</v>
      </c>
      <c r="Y203" s="576">
        <f>SUM(Y198:Y202)</f>
        <v>20872.841354687502</v>
      </c>
      <c r="Z203" s="48">
        <f>SUM(Z198:Z202)</f>
        <v>0</v>
      </c>
      <c r="AA203" s="101">
        <f>SUM(AA198:AA202)</f>
        <v>20872.841354687502</v>
      </c>
    </row>
    <row r="204" spans="1:27">
      <c r="A204" s="608"/>
      <c r="B204" s="608"/>
      <c r="C204" s="608"/>
      <c r="D204" s="100"/>
      <c r="E204" s="128"/>
      <c r="F204" s="81"/>
      <c r="G204" s="63"/>
      <c r="H204" s="63"/>
      <c r="I204" s="101"/>
      <c r="J204" s="128"/>
      <c r="K204" s="101"/>
      <c r="L204" s="101"/>
      <c r="M204" s="128"/>
      <c r="N204" s="101"/>
      <c r="O204" s="101"/>
      <c r="P204" s="128"/>
      <c r="Q204" s="101"/>
      <c r="R204" s="101"/>
      <c r="S204" s="128"/>
      <c r="T204" s="101"/>
      <c r="U204" s="101"/>
      <c r="V204" s="128"/>
      <c r="W204" s="101"/>
      <c r="X204" s="101"/>
      <c r="Y204" s="101"/>
      <c r="Z204" s="101"/>
      <c r="AA204" s="101"/>
    </row>
    <row r="205" spans="1:27">
      <c r="A205" s="607"/>
      <c r="B205" s="607"/>
      <c r="C205" s="607"/>
      <c r="D205" s="41" t="s">
        <v>242</v>
      </c>
      <c r="E205" s="127"/>
      <c r="F205" s="46"/>
      <c r="G205" s="47"/>
      <c r="H205" s="47"/>
      <c r="I205" s="47"/>
      <c r="J205" s="127"/>
      <c r="K205" s="47"/>
      <c r="L205" s="47"/>
      <c r="M205" s="127"/>
      <c r="N205" s="47"/>
      <c r="O205" s="47"/>
      <c r="P205" s="127"/>
      <c r="Q205" s="47"/>
      <c r="R205" s="47"/>
      <c r="S205" s="127"/>
      <c r="T205" s="47"/>
      <c r="U205" s="47"/>
      <c r="V205" s="127"/>
      <c r="W205" s="47"/>
      <c r="X205" s="47"/>
      <c r="Y205" s="47"/>
      <c r="Z205" s="47"/>
      <c r="AA205" s="47"/>
    </row>
    <row r="206" spans="1:27">
      <c r="A206" s="591" t="s">
        <v>1267</v>
      </c>
      <c r="B206" s="591" t="s">
        <v>1268</v>
      </c>
      <c r="C206" s="591" t="s">
        <v>747</v>
      </c>
      <c r="D206" s="8" t="s">
        <v>243</v>
      </c>
      <c r="F206" s="8" t="s">
        <v>244</v>
      </c>
      <c r="G206" s="44">
        <v>0</v>
      </c>
      <c r="H206" s="44">
        <f>9*100</f>
        <v>900</v>
      </c>
      <c r="I206" s="44">
        <v>0</v>
      </c>
      <c r="J206" s="123"/>
      <c r="K206" s="44">
        <v>36</v>
      </c>
      <c r="L206" s="44">
        <v>0</v>
      </c>
      <c r="M206" s="123"/>
      <c r="N206" s="44">
        <v>36</v>
      </c>
      <c r="O206" s="44">
        <v>0</v>
      </c>
      <c r="P206" s="123"/>
      <c r="Q206" s="44">
        <v>36</v>
      </c>
      <c r="R206" s="44">
        <v>0</v>
      </c>
      <c r="S206" s="123"/>
      <c r="T206" s="44">
        <v>36</v>
      </c>
      <c r="U206" s="44">
        <v>0</v>
      </c>
      <c r="V206" s="123"/>
      <c r="W206" s="44">
        <v>36</v>
      </c>
      <c r="X206" s="44">
        <v>0</v>
      </c>
      <c r="Y206" s="44">
        <v>0</v>
      </c>
      <c r="Z206" s="44">
        <f>(G206*H206)+(K206*H206)+(N206*H206)+(H206*Q206)+(T206*H206)+(W206*H206)</f>
        <v>162000</v>
      </c>
      <c r="AA206" s="44">
        <f>SUM(Y206:Z206)</f>
        <v>162000</v>
      </c>
    </row>
    <row r="207" spans="1:27" ht="25.2">
      <c r="A207" s="591" t="s">
        <v>1267</v>
      </c>
      <c r="B207" s="591" t="s">
        <v>1268</v>
      </c>
      <c r="C207" s="591" t="s">
        <v>747</v>
      </c>
      <c r="D207" s="8" t="s">
        <v>245</v>
      </c>
      <c r="F207" s="8" t="s">
        <v>246</v>
      </c>
      <c r="G207" s="44">
        <v>0</v>
      </c>
      <c r="H207" s="44">
        <f>25*2</f>
        <v>50</v>
      </c>
      <c r="I207" s="44">
        <v>0</v>
      </c>
      <c r="J207" s="123"/>
      <c r="K207" s="44">
        <v>100</v>
      </c>
      <c r="L207" s="44">
        <v>0</v>
      </c>
      <c r="M207" s="123"/>
      <c r="N207" s="44">
        <v>100</v>
      </c>
      <c r="O207" s="44">
        <v>0</v>
      </c>
      <c r="P207" s="123"/>
      <c r="Q207" s="44">
        <v>100</v>
      </c>
      <c r="R207" s="44">
        <v>0</v>
      </c>
      <c r="S207" s="123"/>
      <c r="T207" s="44">
        <v>100</v>
      </c>
      <c r="U207" s="44">
        <v>0</v>
      </c>
      <c r="V207" s="123"/>
      <c r="W207" s="44">
        <v>100</v>
      </c>
      <c r="X207" s="44">
        <v>0</v>
      </c>
      <c r="Y207" s="44">
        <v>0</v>
      </c>
      <c r="Z207" s="44">
        <f>(G207*H207)+(K207*H207)+(N207*H207)+(H207*Q207)+(T207*H207)+(W207*H207)</f>
        <v>25000</v>
      </c>
      <c r="AA207" s="44">
        <f t="shared" ref="AA207" si="224">SUM(Y207:Z207)</f>
        <v>25000</v>
      </c>
    </row>
    <row r="208" spans="1:27">
      <c r="A208" s="607"/>
      <c r="B208" s="607"/>
      <c r="C208" s="607"/>
      <c r="D208" s="41" t="s">
        <v>247</v>
      </c>
      <c r="E208" s="127"/>
      <c r="F208" s="46"/>
      <c r="G208" s="47"/>
      <c r="H208" s="47"/>
      <c r="I208" s="48">
        <f>SUM(I205:I207)</f>
        <v>0</v>
      </c>
      <c r="J208" s="127"/>
      <c r="K208" s="48"/>
      <c r="L208" s="48">
        <f>SUM(L205:L207)</f>
        <v>0</v>
      </c>
      <c r="M208" s="127"/>
      <c r="N208" s="48"/>
      <c r="O208" s="48">
        <f>SUM(O205:O207)</f>
        <v>0</v>
      </c>
      <c r="P208" s="127"/>
      <c r="Q208" s="48"/>
      <c r="R208" s="48">
        <f>SUM(R205:R207)</f>
        <v>0</v>
      </c>
      <c r="S208" s="127"/>
      <c r="T208" s="48"/>
      <c r="U208" s="48">
        <f>SUM(U205:U207)</f>
        <v>0</v>
      </c>
      <c r="V208" s="127"/>
      <c r="W208" s="48"/>
      <c r="X208" s="48">
        <f>SUM(X205:X207)</f>
        <v>0</v>
      </c>
      <c r="Y208" s="48">
        <f>SUM(Y205:Y207)</f>
        <v>0</v>
      </c>
      <c r="Z208" s="48">
        <f>SUM(Z205:Z207)</f>
        <v>187000</v>
      </c>
      <c r="AA208" s="48">
        <f>SUM(AA205:AA207)</f>
        <v>187000</v>
      </c>
    </row>
    <row r="209" spans="1:29">
      <c r="A209" s="608"/>
      <c r="B209" s="608"/>
      <c r="C209" s="608"/>
      <c r="D209" s="100"/>
      <c r="E209" s="128"/>
      <c r="F209" s="81"/>
      <c r="G209" s="63"/>
      <c r="H209" s="63"/>
      <c r="I209" s="63"/>
      <c r="J209" s="128"/>
      <c r="K209" s="63"/>
      <c r="L209" s="63"/>
      <c r="M209" s="128"/>
      <c r="N209" s="63"/>
      <c r="O209" s="63"/>
      <c r="P209" s="128"/>
      <c r="Q209" s="63"/>
      <c r="R209" s="63"/>
      <c r="S209" s="128"/>
      <c r="T209" s="63"/>
      <c r="U209" s="63"/>
      <c r="V209" s="128"/>
      <c r="W209" s="63"/>
      <c r="X209" s="63"/>
      <c r="Y209" s="63"/>
      <c r="Z209" s="63"/>
      <c r="AA209" s="63"/>
      <c r="AC209" s="566"/>
    </row>
    <row r="210" spans="1:29" ht="12.9" thickBot="1">
      <c r="A210" s="596"/>
      <c r="B210" s="596"/>
      <c r="C210" s="596"/>
      <c r="D210" s="54" t="s">
        <v>248</v>
      </c>
      <c r="E210" s="121"/>
      <c r="F210" s="54"/>
      <c r="G210" s="69"/>
      <c r="H210" s="69"/>
      <c r="I210" s="65">
        <f>SUM(I203+I191+I187+I208+I195)</f>
        <v>52126.455000000002</v>
      </c>
      <c r="J210" s="121"/>
      <c r="K210" s="65"/>
      <c r="L210" s="65">
        <f>SUM(L203+L191+L187+L208+L195)</f>
        <v>129858.265</v>
      </c>
      <c r="M210" s="121"/>
      <c r="N210" s="65"/>
      <c r="O210" s="65">
        <f>SUM(O203+O191+O187+O208+O195)</f>
        <v>134351.17825</v>
      </c>
      <c r="P210" s="121"/>
      <c r="Q210" s="65"/>
      <c r="R210" s="65">
        <f>SUM(R203+R191+R187+R208+R195)</f>
        <v>139068.73716250001</v>
      </c>
      <c r="S210" s="121"/>
      <c r="T210" s="65"/>
      <c r="U210" s="65">
        <f>SUM(U203+U191+U187+U208+U195)</f>
        <v>137534.57958212501</v>
      </c>
      <c r="V210" s="121"/>
      <c r="W210" s="65"/>
      <c r="X210" s="65">
        <f>SUM(X203+X191+X187+X208+X195)</f>
        <v>66036.892631909388</v>
      </c>
      <c r="Y210" s="65">
        <f>SUM(Y203+Y191+Y187+Y208+Y195)</f>
        <v>658976.10762653442</v>
      </c>
      <c r="Z210" s="65">
        <f>SUM(Z203+Z191+Z187+Z208+Z195)</f>
        <v>187000</v>
      </c>
      <c r="AA210" s="65">
        <f>SUM(AA203+AA191+AA187+AA208+AA195)</f>
        <v>845976.10762653442</v>
      </c>
    </row>
    <row r="211" spans="1:29">
      <c r="A211" s="597"/>
      <c r="B211" s="597"/>
      <c r="C211" s="597"/>
      <c r="D211" s="81"/>
      <c r="E211" s="118"/>
      <c r="F211" s="81"/>
      <c r="G211" s="63"/>
      <c r="H211" s="63"/>
      <c r="I211" s="63"/>
      <c r="J211" s="118"/>
      <c r="K211" s="63"/>
      <c r="L211" s="63"/>
      <c r="M211" s="118"/>
      <c r="N211" s="63"/>
      <c r="O211" s="63"/>
      <c r="P211" s="118"/>
      <c r="Q211" s="63"/>
      <c r="R211" s="63"/>
      <c r="S211" s="118"/>
      <c r="T211" s="63"/>
      <c r="U211" s="63"/>
      <c r="V211" s="118"/>
      <c r="W211" s="63"/>
      <c r="X211" s="63"/>
      <c r="Y211" s="63"/>
      <c r="Z211" s="63"/>
      <c r="AA211" s="63"/>
    </row>
    <row r="212" spans="1:29">
      <c r="A212" s="605"/>
      <c r="B212" s="605"/>
      <c r="C212" s="605"/>
      <c r="D212" s="94" t="str">
        <f>'USDA Budget Summary'!A28</f>
        <v>Activity 2: Distribution: School Supplies and Materials</v>
      </c>
      <c r="E212" s="125"/>
      <c r="F212" s="38"/>
      <c r="G212" s="38"/>
      <c r="H212" s="39"/>
      <c r="I212" s="95"/>
      <c r="J212" s="125"/>
      <c r="K212" s="95"/>
      <c r="L212" s="95"/>
      <c r="M212" s="125"/>
      <c r="N212" s="95"/>
      <c r="O212" s="95"/>
      <c r="P212" s="125"/>
      <c r="Q212" s="95"/>
      <c r="R212" s="95"/>
      <c r="S212" s="125"/>
      <c r="T212" s="95"/>
      <c r="U212" s="95"/>
      <c r="V212" s="125"/>
      <c r="W212" s="95"/>
      <c r="X212" s="95"/>
      <c r="Y212" s="95"/>
      <c r="Z212" s="96"/>
      <c r="AA212" s="95"/>
    </row>
    <row r="213" spans="1:29">
      <c r="A213" s="606"/>
      <c r="B213" s="606"/>
      <c r="C213" s="606"/>
      <c r="D213" s="97" t="s">
        <v>227</v>
      </c>
      <c r="E213" s="126"/>
      <c r="F213" s="98"/>
      <c r="G213" s="99"/>
      <c r="H213" s="99"/>
      <c r="I213" s="99"/>
      <c r="J213" s="126"/>
      <c r="K213" s="99"/>
      <c r="L213" s="99"/>
      <c r="M213" s="126"/>
      <c r="N213" s="99"/>
      <c r="O213" s="99"/>
      <c r="P213" s="126"/>
      <c r="Q213" s="99"/>
      <c r="R213" s="99"/>
      <c r="S213" s="126"/>
      <c r="T213" s="99"/>
      <c r="U213" s="99"/>
      <c r="V213" s="126"/>
      <c r="W213" s="99"/>
      <c r="X213" s="99"/>
      <c r="Y213" s="99"/>
      <c r="Z213" s="99"/>
      <c r="AA213" s="99"/>
    </row>
    <row r="214" spans="1:29">
      <c r="A214" s="607"/>
      <c r="B214" s="607"/>
      <c r="C214" s="607"/>
      <c r="D214" s="41" t="s">
        <v>249</v>
      </c>
      <c r="E214" s="127"/>
      <c r="F214" s="46"/>
      <c r="G214" s="47"/>
      <c r="H214" s="47"/>
      <c r="I214" s="47"/>
      <c r="J214" s="127"/>
      <c r="K214" s="47"/>
      <c r="L214" s="47"/>
      <c r="M214" s="127"/>
      <c r="N214" s="47"/>
      <c r="O214" s="47"/>
      <c r="P214" s="127"/>
      <c r="Q214" s="47"/>
      <c r="R214" s="47"/>
      <c r="S214" s="127"/>
      <c r="T214" s="47"/>
      <c r="U214" s="47"/>
      <c r="V214" s="127"/>
      <c r="W214" s="47"/>
      <c r="X214" s="47"/>
      <c r="Y214" s="47"/>
      <c r="Z214" s="47"/>
      <c r="AA214" s="47"/>
    </row>
    <row r="215" spans="1:29" hidden="1">
      <c r="A215" s="595" t="s">
        <v>876</v>
      </c>
      <c r="B215" s="595">
        <v>70000</v>
      </c>
      <c r="C215" s="595" t="s">
        <v>747</v>
      </c>
      <c r="D215" s="8" t="str">
        <f t="shared" ref="D215:D248" si="225">D12</f>
        <v xml:space="preserve">Key Personnel: Chief of Party - Roger Sanchez O’Neill </v>
      </c>
      <c r="E215" s="115">
        <f>'LOE Breakdown by Year'!F11</f>
        <v>0</v>
      </c>
      <c r="F215" s="50" t="s">
        <v>100</v>
      </c>
      <c r="G215" s="44">
        <f t="shared" ref="G215:H234" si="226">G12</f>
        <v>11</v>
      </c>
      <c r="H215" s="44">
        <f t="shared" si="226"/>
        <v>9583.3333333333339</v>
      </c>
      <c r="I215" s="44">
        <f>G215*H215*E215</f>
        <v>0</v>
      </c>
      <c r="J215" s="115">
        <f>'LOE Breakdown by Year'!F57</f>
        <v>0</v>
      </c>
      <c r="K215" s="44">
        <f t="shared" ref="K215:K248" si="227">K12</f>
        <v>12</v>
      </c>
      <c r="L215" s="44">
        <f>K215*H215*$E$7*$J215</f>
        <v>0</v>
      </c>
      <c r="M215" s="115">
        <f>'LOE Breakdown by Year'!F103</f>
        <v>0</v>
      </c>
      <c r="N215" s="44">
        <f t="shared" ref="N215:N248" si="228">N12</f>
        <v>12</v>
      </c>
      <c r="O215" s="44">
        <f>N215*H215*$M215*$E$7*$E$7</f>
        <v>0</v>
      </c>
      <c r="P215" s="115">
        <f>'LOE Breakdown by Year'!F149</f>
        <v>0</v>
      </c>
      <c r="Q215" s="44">
        <f t="shared" ref="Q215:Q248" si="229">Q12</f>
        <v>12</v>
      </c>
      <c r="R215" s="44">
        <f>Q215*H215*$P215*$E$7*$E$7*$E$7</f>
        <v>0</v>
      </c>
      <c r="S215" s="115">
        <f>'LOE Breakdown by Year'!F195</f>
        <v>0</v>
      </c>
      <c r="T215" s="44">
        <f t="shared" ref="T215:T248" si="230">T12</f>
        <v>12</v>
      </c>
      <c r="U215" s="44">
        <f>T215*H215*$S215*$E$7*$E$7*$E$7*$E$7</f>
        <v>0</v>
      </c>
      <c r="V215" s="115">
        <f>'LOE Breakdown by Year'!F241</f>
        <v>0</v>
      </c>
      <c r="W215" s="44">
        <f t="shared" ref="W215:W248" si="231">W12</f>
        <v>12</v>
      </c>
      <c r="X215" s="44">
        <f>W215*H215*$V215*$E$7*$E$7*$E$7*$E$7*$E$7</f>
        <v>0</v>
      </c>
      <c r="Y215" s="44">
        <f>SUM(R215,O215,L215,I215,U215,X215)</f>
        <v>0</v>
      </c>
      <c r="Z215" s="44">
        <v>0</v>
      </c>
      <c r="AA215" s="44">
        <f t="shared" ref="AA215" si="232">SUM(Y215:Z215)</f>
        <v>0</v>
      </c>
    </row>
    <row r="216" spans="1:29" hidden="1">
      <c r="A216" s="595" t="s">
        <v>877</v>
      </c>
      <c r="B216" s="595">
        <v>70000</v>
      </c>
      <c r="C216" s="595" t="s">
        <v>747</v>
      </c>
      <c r="D216" s="8" t="str">
        <f t="shared" si="225"/>
        <v>Key Personnel: Deputy Chief of Party - David Medina Mayo</v>
      </c>
      <c r="E216" s="115">
        <f>'LOE Breakdown by Year'!F12</f>
        <v>0</v>
      </c>
      <c r="F216" s="50" t="s">
        <v>100</v>
      </c>
      <c r="G216" s="44">
        <f t="shared" si="226"/>
        <v>11</v>
      </c>
      <c r="H216" s="44">
        <f t="shared" si="226"/>
        <v>6500</v>
      </c>
      <c r="I216" s="44">
        <f t="shared" ref="I216:I248" si="233">G216*H216*E216</f>
        <v>0</v>
      </c>
      <c r="J216" s="115">
        <f>'LOE Breakdown by Year'!F58</f>
        <v>0</v>
      </c>
      <c r="K216" s="44">
        <f t="shared" si="227"/>
        <v>12</v>
      </c>
      <c r="L216" s="44">
        <f t="shared" ref="L216:L248" si="234">K216*H216*$E$7*$J216</f>
        <v>0</v>
      </c>
      <c r="M216" s="115">
        <f>'LOE Breakdown by Year'!F104</f>
        <v>0</v>
      </c>
      <c r="N216" s="44">
        <f t="shared" si="228"/>
        <v>12</v>
      </c>
      <c r="O216" s="44">
        <f t="shared" ref="O216:O248" si="235">N216*H216*$M216*$E$7*$E$7</f>
        <v>0</v>
      </c>
      <c r="P216" s="115">
        <f>'LOE Breakdown by Year'!F150</f>
        <v>0</v>
      </c>
      <c r="Q216" s="44">
        <f t="shared" si="229"/>
        <v>12</v>
      </c>
      <c r="R216" s="44">
        <f t="shared" ref="R216:R248" si="236">Q216*H216*$P216*$E$7*$E$7*$E$7</f>
        <v>0</v>
      </c>
      <c r="S216" s="115">
        <f>'LOE Breakdown by Year'!F196</f>
        <v>0</v>
      </c>
      <c r="T216" s="44">
        <f t="shared" si="230"/>
        <v>12</v>
      </c>
      <c r="U216" s="44">
        <f t="shared" ref="U216:U248" si="237">T216*H216*$S216*$E$7*$E$7*$E$7*$E$7</f>
        <v>0</v>
      </c>
      <c r="V216" s="115">
        <f>'LOE Breakdown by Year'!F242</f>
        <v>0</v>
      </c>
      <c r="W216" s="44">
        <f t="shared" si="231"/>
        <v>12</v>
      </c>
      <c r="X216" s="44">
        <f t="shared" ref="X216:X248" si="238">W216*H216*$V216*$E$7*$E$7*$E$7*$E$7*$E$7</f>
        <v>0</v>
      </c>
      <c r="Y216" s="44">
        <f t="shared" ref="Y216:Y248" si="239">SUM(R216,O216,L216,I216,U216,X216)</f>
        <v>0</v>
      </c>
      <c r="Z216" s="44">
        <v>0</v>
      </c>
      <c r="AA216" s="44">
        <f t="shared" ref="AA216:AA248" si="240">SUM(Y216:Z216)</f>
        <v>0</v>
      </c>
    </row>
    <row r="217" spans="1:29" hidden="1">
      <c r="A217" s="595" t="s">
        <v>878</v>
      </c>
      <c r="B217" s="595">
        <v>70000</v>
      </c>
      <c r="C217" s="595" t="s">
        <v>747</v>
      </c>
      <c r="D217" s="8" t="str">
        <f t="shared" si="225"/>
        <v>Policy &amp; Sustainability Specialist</v>
      </c>
      <c r="E217" s="115">
        <f>'LOE Breakdown by Year'!F13</f>
        <v>0</v>
      </c>
      <c r="F217" s="50" t="s">
        <v>100</v>
      </c>
      <c r="G217" s="44">
        <f t="shared" si="226"/>
        <v>0</v>
      </c>
      <c r="H217" s="44">
        <f t="shared" si="226"/>
        <v>1500</v>
      </c>
      <c r="I217" s="44">
        <f t="shared" si="233"/>
        <v>0</v>
      </c>
      <c r="J217" s="115">
        <f>'LOE Breakdown by Year'!F59</f>
        <v>0</v>
      </c>
      <c r="K217" s="44">
        <f t="shared" si="227"/>
        <v>0</v>
      </c>
      <c r="L217" s="44">
        <f t="shared" si="234"/>
        <v>0</v>
      </c>
      <c r="M217" s="115">
        <f>'LOE Breakdown by Year'!F105</f>
        <v>0</v>
      </c>
      <c r="N217" s="44">
        <f t="shared" si="228"/>
        <v>7</v>
      </c>
      <c r="O217" s="44">
        <f t="shared" si="235"/>
        <v>0</v>
      </c>
      <c r="P217" s="115">
        <f>'LOE Breakdown by Year'!F151</f>
        <v>0</v>
      </c>
      <c r="Q217" s="44">
        <f t="shared" si="229"/>
        <v>12</v>
      </c>
      <c r="R217" s="44">
        <f t="shared" si="236"/>
        <v>0</v>
      </c>
      <c r="S217" s="115">
        <f>'LOE Breakdown by Year'!F197</f>
        <v>0</v>
      </c>
      <c r="T217" s="44">
        <f t="shared" si="230"/>
        <v>12</v>
      </c>
      <c r="U217" s="44">
        <f t="shared" si="237"/>
        <v>0</v>
      </c>
      <c r="V217" s="115">
        <f>'LOE Breakdown by Year'!F243</f>
        <v>0</v>
      </c>
      <c r="W217" s="44">
        <f t="shared" si="231"/>
        <v>6</v>
      </c>
      <c r="X217" s="44">
        <f t="shared" si="238"/>
        <v>0</v>
      </c>
      <c r="Y217" s="44">
        <f t="shared" si="239"/>
        <v>0</v>
      </c>
      <c r="Z217" s="44">
        <v>0</v>
      </c>
      <c r="AA217" s="44">
        <f t="shared" si="240"/>
        <v>0</v>
      </c>
    </row>
    <row r="218" spans="1:29">
      <c r="A218" s="595" t="s">
        <v>879</v>
      </c>
      <c r="B218" s="595">
        <v>70000</v>
      </c>
      <c r="C218" s="595" t="s">
        <v>747</v>
      </c>
      <c r="D218" s="8" t="str">
        <f t="shared" si="225"/>
        <v xml:space="preserve">Education Director </v>
      </c>
      <c r="E218" s="115">
        <f>'LOE Breakdown by Year'!F14</f>
        <v>0.1</v>
      </c>
      <c r="F218" s="50" t="s">
        <v>100</v>
      </c>
      <c r="G218" s="44">
        <f t="shared" si="226"/>
        <v>9</v>
      </c>
      <c r="H218" s="44">
        <f t="shared" si="226"/>
        <v>4583.333333333333</v>
      </c>
      <c r="I218" s="44">
        <f t="shared" si="233"/>
        <v>4125</v>
      </c>
      <c r="J218" s="115">
        <f>'LOE Breakdown by Year'!F60</f>
        <v>0.1</v>
      </c>
      <c r="K218" s="44">
        <f t="shared" si="227"/>
        <v>12</v>
      </c>
      <c r="L218" s="44">
        <f t="shared" si="234"/>
        <v>5775</v>
      </c>
      <c r="M218" s="115">
        <f>'LOE Breakdown by Year'!F106</f>
        <v>0.1</v>
      </c>
      <c r="N218" s="44">
        <f t="shared" si="228"/>
        <v>12</v>
      </c>
      <c r="O218" s="44">
        <f t="shared" si="235"/>
        <v>6063.75</v>
      </c>
      <c r="P218" s="115">
        <f>'LOE Breakdown by Year'!F152</f>
        <v>0.1</v>
      </c>
      <c r="Q218" s="44">
        <f t="shared" si="229"/>
        <v>12</v>
      </c>
      <c r="R218" s="44">
        <f t="shared" si="236"/>
        <v>6366.9375</v>
      </c>
      <c r="S218" s="115">
        <f>'LOE Breakdown by Year'!F198</f>
        <v>0.1</v>
      </c>
      <c r="T218" s="44">
        <f t="shared" si="230"/>
        <v>12</v>
      </c>
      <c r="U218" s="44">
        <f t="shared" si="237"/>
        <v>6685.2843750000002</v>
      </c>
      <c r="V218" s="115">
        <f>'LOE Breakdown by Year'!F244</f>
        <v>0.1</v>
      </c>
      <c r="W218" s="44">
        <f t="shared" si="231"/>
        <v>8</v>
      </c>
      <c r="X218" s="44">
        <f t="shared" si="238"/>
        <v>4679.6990624999999</v>
      </c>
      <c r="Y218" s="44">
        <f t="shared" si="239"/>
        <v>33695.670937499999</v>
      </c>
      <c r="Z218" s="44">
        <v>0</v>
      </c>
      <c r="AA218" s="44">
        <f t="shared" si="240"/>
        <v>33695.670937499999</v>
      </c>
    </row>
    <row r="219" spans="1:29">
      <c r="A219" s="595" t="s">
        <v>880</v>
      </c>
      <c r="B219" s="595">
        <v>70000</v>
      </c>
      <c r="C219" s="595" t="s">
        <v>747</v>
      </c>
      <c r="D219" s="8" t="str">
        <f t="shared" si="225"/>
        <v>Education Specialist</v>
      </c>
      <c r="E219" s="115">
        <f>'LOE Breakdown by Year'!F15</f>
        <v>0.1</v>
      </c>
      <c r="F219" s="50" t="s">
        <v>100</v>
      </c>
      <c r="G219" s="44">
        <f t="shared" si="226"/>
        <v>8</v>
      </c>
      <c r="H219" s="44">
        <f t="shared" si="226"/>
        <v>2500</v>
      </c>
      <c r="I219" s="44">
        <f t="shared" si="233"/>
        <v>2000</v>
      </c>
      <c r="J219" s="115">
        <f>'LOE Breakdown by Year'!F61</f>
        <v>0.1</v>
      </c>
      <c r="K219" s="44">
        <f t="shared" si="227"/>
        <v>12</v>
      </c>
      <c r="L219" s="44">
        <f t="shared" si="234"/>
        <v>3150</v>
      </c>
      <c r="M219" s="115">
        <f>'LOE Breakdown by Year'!F107</f>
        <v>0.1</v>
      </c>
      <c r="N219" s="44">
        <f t="shared" si="228"/>
        <v>12</v>
      </c>
      <c r="O219" s="44">
        <f t="shared" si="235"/>
        <v>3307.5</v>
      </c>
      <c r="P219" s="115">
        <f>'LOE Breakdown by Year'!F153</f>
        <v>0.1</v>
      </c>
      <c r="Q219" s="44">
        <f t="shared" si="229"/>
        <v>12</v>
      </c>
      <c r="R219" s="44">
        <f t="shared" si="236"/>
        <v>3472.875</v>
      </c>
      <c r="S219" s="115">
        <f>'LOE Breakdown by Year'!F199</f>
        <v>0.1</v>
      </c>
      <c r="T219" s="44">
        <f t="shared" si="230"/>
        <v>12</v>
      </c>
      <c r="U219" s="44">
        <f t="shared" si="237"/>
        <v>3646.5187500000002</v>
      </c>
      <c r="V219" s="115">
        <f>'LOE Breakdown by Year'!F245</f>
        <v>0.1</v>
      </c>
      <c r="W219" s="44">
        <f t="shared" si="231"/>
        <v>3</v>
      </c>
      <c r="X219" s="44">
        <f t="shared" si="238"/>
        <v>957.2111718750001</v>
      </c>
      <c r="Y219" s="44">
        <f t="shared" si="239"/>
        <v>16534.104921874998</v>
      </c>
      <c r="Z219" s="44">
        <v>0</v>
      </c>
      <c r="AA219" s="44">
        <f t="shared" si="240"/>
        <v>16534.104921874998</v>
      </c>
    </row>
    <row r="220" spans="1:29">
      <c r="A220" s="595" t="s">
        <v>881</v>
      </c>
      <c r="B220" s="595">
        <v>70000</v>
      </c>
      <c r="C220" s="595" t="s">
        <v>747</v>
      </c>
      <c r="D220" s="8" t="str">
        <f t="shared" si="225"/>
        <v>Education Officer</v>
      </c>
      <c r="E220" s="115">
        <f>'LOE Breakdown by Year'!F16</f>
        <v>0.1</v>
      </c>
      <c r="F220" s="50" t="s">
        <v>100</v>
      </c>
      <c r="G220" s="44">
        <f t="shared" si="226"/>
        <v>6</v>
      </c>
      <c r="H220" s="44">
        <f t="shared" si="226"/>
        <v>1000</v>
      </c>
      <c r="I220" s="44">
        <f t="shared" si="233"/>
        <v>600</v>
      </c>
      <c r="J220" s="115">
        <f>'LOE Breakdown by Year'!F62</f>
        <v>0.1</v>
      </c>
      <c r="K220" s="44">
        <f t="shared" si="227"/>
        <v>12</v>
      </c>
      <c r="L220" s="44">
        <f t="shared" si="234"/>
        <v>1260</v>
      </c>
      <c r="M220" s="115">
        <f>'LOE Breakdown by Year'!F108</f>
        <v>0.1</v>
      </c>
      <c r="N220" s="44">
        <f t="shared" si="228"/>
        <v>12</v>
      </c>
      <c r="O220" s="44">
        <f t="shared" si="235"/>
        <v>1323</v>
      </c>
      <c r="P220" s="115">
        <f>'LOE Breakdown by Year'!F154</f>
        <v>0.1</v>
      </c>
      <c r="Q220" s="44">
        <f t="shared" si="229"/>
        <v>12</v>
      </c>
      <c r="R220" s="44">
        <f t="shared" si="236"/>
        <v>1389.15</v>
      </c>
      <c r="S220" s="115">
        <f>'LOE Breakdown by Year'!F200</f>
        <v>0.1</v>
      </c>
      <c r="T220" s="44">
        <f t="shared" si="230"/>
        <v>12</v>
      </c>
      <c r="U220" s="44">
        <f t="shared" si="237"/>
        <v>1458.6075000000001</v>
      </c>
      <c r="V220" s="115">
        <f>'LOE Breakdown by Year'!F246</f>
        <v>0.1</v>
      </c>
      <c r="W220" s="44">
        <f t="shared" si="231"/>
        <v>3</v>
      </c>
      <c r="X220" s="44">
        <f t="shared" si="238"/>
        <v>382.88446875000005</v>
      </c>
      <c r="Y220" s="44">
        <f t="shared" si="239"/>
        <v>6413.6419687500002</v>
      </c>
      <c r="Z220" s="44">
        <v>0</v>
      </c>
      <c r="AA220" s="44">
        <f t="shared" si="240"/>
        <v>6413.6419687500002</v>
      </c>
    </row>
    <row r="221" spans="1:29" hidden="1">
      <c r="A221" s="595" t="s">
        <v>882</v>
      </c>
      <c r="B221" s="595">
        <v>70000</v>
      </c>
      <c r="C221" s="595" t="s">
        <v>747</v>
      </c>
      <c r="D221" s="8" t="str">
        <f t="shared" si="225"/>
        <v>Nutrition and Health Specialist</v>
      </c>
      <c r="E221" s="115">
        <f>'LOE Breakdown by Year'!F17</f>
        <v>0</v>
      </c>
      <c r="F221" s="50" t="s">
        <v>100</v>
      </c>
      <c r="G221" s="44">
        <f t="shared" si="226"/>
        <v>9</v>
      </c>
      <c r="H221" s="44">
        <f t="shared" si="226"/>
        <v>1500</v>
      </c>
      <c r="I221" s="44">
        <f t="shared" si="233"/>
        <v>0</v>
      </c>
      <c r="J221" s="115">
        <f>'LOE Breakdown by Year'!F63</f>
        <v>0</v>
      </c>
      <c r="K221" s="44">
        <f t="shared" si="227"/>
        <v>12</v>
      </c>
      <c r="L221" s="44">
        <f t="shared" si="234"/>
        <v>0</v>
      </c>
      <c r="M221" s="115">
        <f>'LOE Breakdown by Year'!F109</f>
        <v>0</v>
      </c>
      <c r="N221" s="44">
        <f t="shared" si="228"/>
        <v>12</v>
      </c>
      <c r="O221" s="44">
        <f t="shared" si="235"/>
        <v>0</v>
      </c>
      <c r="P221" s="115">
        <f>'LOE Breakdown by Year'!F155</f>
        <v>0</v>
      </c>
      <c r="Q221" s="44">
        <f t="shared" si="229"/>
        <v>12</v>
      </c>
      <c r="R221" s="44">
        <f t="shared" si="236"/>
        <v>0</v>
      </c>
      <c r="S221" s="115">
        <f>'LOE Breakdown by Year'!F201</f>
        <v>0</v>
      </c>
      <c r="T221" s="44">
        <f t="shared" si="230"/>
        <v>12</v>
      </c>
      <c r="U221" s="44">
        <f t="shared" si="237"/>
        <v>0</v>
      </c>
      <c r="V221" s="115">
        <f>'LOE Breakdown by Year'!F247</f>
        <v>0</v>
      </c>
      <c r="W221" s="44">
        <f t="shared" si="231"/>
        <v>6</v>
      </c>
      <c r="X221" s="44">
        <f t="shared" si="238"/>
        <v>0</v>
      </c>
      <c r="Y221" s="44">
        <f t="shared" si="239"/>
        <v>0</v>
      </c>
      <c r="Z221" s="44">
        <v>0</v>
      </c>
      <c r="AA221" s="44">
        <f t="shared" si="240"/>
        <v>0</v>
      </c>
    </row>
    <row r="222" spans="1:29" hidden="1">
      <c r="A222" s="595" t="s">
        <v>883</v>
      </c>
      <c r="B222" s="595">
        <v>70000</v>
      </c>
      <c r="C222" s="595" t="s">
        <v>747</v>
      </c>
      <c r="D222" s="8" t="str">
        <f t="shared" si="225"/>
        <v>Nutrition Officer - (2 Individuals)</v>
      </c>
      <c r="E222" s="115">
        <f>'LOE Breakdown by Year'!F18</f>
        <v>0</v>
      </c>
      <c r="F222" s="50" t="s">
        <v>100</v>
      </c>
      <c r="G222" s="44">
        <f t="shared" si="226"/>
        <v>6</v>
      </c>
      <c r="H222" s="44">
        <f t="shared" si="226"/>
        <v>1000</v>
      </c>
      <c r="I222" s="44">
        <f t="shared" si="233"/>
        <v>0</v>
      </c>
      <c r="J222" s="115">
        <f>'LOE Breakdown by Year'!F64</f>
        <v>0</v>
      </c>
      <c r="K222" s="44">
        <f t="shared" si="227"/>
        <v>24</v>
      </c>
      <c r="L222" s="44">
        <f t="shared" si="234"/>
        <v>0</v>
      </c>
      <c r="M222" s="115">
        <f>'LOE Breakdown by Year'!F110</f>
        <v>0</v>
      </c>
      <c r="N222" s="44">
        <f t="shared" si="228"/>
        <v>24</v>
      </c>
      <c r="O222" s="44">
        <f t="shared" si="235"/>
        <v>0</v>
      </c>
      <c r="P222" s="115">
        <f>'LOE Breakdown by Year'!F156</f>
        <v>0</v>
      </c>
      <c r="Q222" s="44">
        <f t="shared" si="229"/>
        <v>24</v>
      </c>
      <c r="R222" s="44">
        <f t="shared" si="236"/>
        <v>0</v>
      </c>
      <c r="S222" s="115">
        <f>'LOE Breakdown by Year'!F202</f>
        <v>0</v>
      </c>
      <c r="T222" s="44">
        <f t="shared" si="230"/>
        <v>24</v>
      </c>
      <c r="U222" s="44">
        <f t="shared" si="237"/>
        <v>0</v>
      </c>
      <c r="V222" s="115">
        <f>'LOE Breakdown by Year'!F248</f>
        <v>0</v>
      </c>
      <c r="W222" s="44">
        <f t="shared" si="231"/>
        <v>6</v>
      </c>
      <c r="X222" s="44">
        <f t="shared" si="238"/>
        <v>0</v>
      </c>
      <c r="Y222" s="44">
        <f t="shared" si="239"/>
        <v>0</v>
      </c>
      <c r="Z222" s="44">
        <v>0</v>
      </c>
      <c r="AA222" s="44">
        <f t="shared" si="240"/>
        <v>0</v>
      </c>
    </row>
    <row r="223" spans="1:29" hidden="1">
      <c r="A223" s="595" t="s">
        <v>884</v>
      </c>
      <c r="B223" s="595">
        <v>70000</v>
      </c>
      <c r="C223" s="595" t="s">
        <v>747</v>
      </c>
      <c r="D223" s="8" t="str">
        <f t="shared" si="225"/>
        <v>School Feeding Specialist</v>
      </c>
      <c r="E223" s="115">
        <f>'LOE Breakdown by Year'!F19</f>
        <v>0</v>
      </c>
      <c r="F223" s="50" t="s">
        <v>100</v>
      </c>
      <c r="G223" s="44">
        <f t="shared" si="226"/>
        <v>9</v>
      </c>
      <c r="H223" s="44">
        <f t="shared" si="226"/>
        <v>1500</v>
      </c>
      <c r="I223" s="44">
        <f t="shared" si="233"/>
        <v>0</v>
      </c>
      <c r="J223" s="115">
        <f>'LOE Breakdown by Year'!F65</f>
        <v>0</v>
      </c>
      <c r="K223" s="44">
        <f t="shared" si="227"/>
        <v>12</v>
      </c>
      <c r="L223" s="44">
        <f t="shared" si="234"/>
        <v>0</v>
      </c>
      <c r="M223" s="115">
        <f>'LOE Breakdown by Year'!F111</f>
        <v>0</v>
      </c>
      <c r="N223" s="44">
        <f t="shared" si="228"/>
        <v>12</v>
      </c>
      <c r="O223" s="44">
        <f t="shared" si="235"/>
        <v>0</v>
      </c>
      <c r="P223" s="115">
        <f>'LOE Breakdown by Year'!F157</f>
        <v>0</v>
      </c>
      <c r="Q223" s="44">
        <f t="shared" si="229"/>
        <v>12</v>
      </c>
      <c r="R223" s="44">
        <f t="shared" si="236"/>
        <v>0</v>
      </c>
      <c r="S223" s="115">
        <f>'LOE Breakdown by Year'!F203</f>
        <v>0</v>
      </c>
      <c r="T223" s="44">
        <f t="shared" si="230"/>
        <v>6</v>
      </c>
      <c r="U223" s="44">
        <f t="shared" si="237"/>
        <v>0</v>
      </c>
      <c r="V223" s="115">
        <f>'LOE Breakdown by Year'!F249</f>
        <v>0</v>
      </c>
      <c r="W223" s="44">
        <f t="shared" si="231"/>
        <v>6</v>
      </c>
      <c r="X223" s="44">
        <f t="shared" si="238"/>
        <v>0</v>
      </c>
      <c r="Y223" s="44">
        <f t="shared" si="239"/>
        <v>0</v>
      </c>
      <c r="Z223" s="44">
        <v>0</v>
      </c>
      <c r="AA223" s="44">
        <f t="shared" si="240"/>
        <v>0</v>
      </c>
    </row>
    <row r="224" spans="1:29" hidden="1">
      <c r="A224" s="595" t="s">
        <v>885</v>
      </c>
      <c r="B224" s="595">
        <v>70000</v>
      </c>
      <c r="C224" s="595" t="s">
        <v>747</v>
      </c>
      <c r="D224" s="8" t="str">
        <f t="shared" si="225"/>
        <v>Food Aid Monitors - (2 Individuals)</v>
      </c>
      <c r="E224" s="115">
        <f>'LOE Breakdown by Year'!F20</f>
        <v>0</v>
      </c>
      <c r="F224" s="50" t="s">
        <v>100</v>
      </c>
      <c r="G224" s="44">
        <f t="shared" si="226"/>
        <v>6</v>
      </c>
      <c r="H224" s="44">
        <f t="shared" si="226"/>
        <v>1000</v>
      </c>
      <c r="I224" s="44">
        <f t="shared" si="233"/>
        <v>0</v>
      </c>
      <c r="J224" s="115">
        <f>'LOE Breakdown by Year'!F66</f>
        <v>0</v>
      </c>
      <c r="K224" s="44">
        <f t="shared" si="227"/>
        <v>24</v>
      </c>
      <c r="L224" s="44">
        <f t="shared" si="234"/>
        <v>0</v>
      </c>
      <c r="M224" s="115">
        <f>'LOE Breakdown by Year'!F112</f>
        <v>0</v>
      </c>
      <c r="N224" s="44">
        <f t="shared" si="228"/>
        <v>24</v>
      </c>
      <c r="O224" s="44">
        <f t="shared" si="235"/>
        <v>0</v>
      </c>
      <c r="P224" s="115">
        <f>'LOE Breakdown by Year'!F158</f>
        <v>0</v>
      </c>
      <c r="Q224" s="44">
        <f t="shared" si="229"/>
        <v>24</v>
      </c>
      <c r="R224" s="44">
        <f t="shared" si="236"/>
        <v>0</v>
      </c>
      <c r="S224" s="115">
        <f>'LOE Breakdown by Year'!F204</f>
        <v>0</v>
      </c>
      <c r="T224" s="44">
        <f t="shared" si="230"/>
        <v>24</v>
      </c>
      <c r="U224" s="44">
        <f t="shared" si="237"/>
        <v>0</v>
      </c>
      <c r="V224" s="115">
        <f>'LOE Breakdown by Year'!F250</f>
        <v>0</v>
      </c>
      <c r="W224" s="44">
        <f t="shared" si="231"/>
        <v>12</v>
      </c>
      <c r="X224" s="44">
        <f t="shared" si="238"/>
        <v>0</v>
      </c>
      <c r="Y224" s="44">
        <f t="shared" si="239"/>
        <v>0</v>
      </c>
      <c r="Z224" s="44">
        <v>0</v>
      </c>
      <c r="AA224" s="44">
        <f t="shared" si="240"/>
        <v>0</v>
      </c>
    </row>
    <row r="225" spans="1:27" hidden="1">
      <c r="A225" s="595" t="s">
        <v>886</v>
      </c>
      <c r="B225" s="595">
        <v>70000</v>
      </c>
      <c r="C225" s="595" t="s">
        <v>747</v>
      </c>
      <c r="D225" s="8" t="str">
        <f t="shared" si="225"/>
        <v>WASH Officer</v>
      </c>
      <c r="E225" s="115">
        <f>'LOE Breakdown by Year'!F21</f>
        <v>0</v>
      </c>
      <c r="F225" s="50" t="s">
        <v>100</v>
      </c>
      <c r="G225" s="44">
        <f t="shared" si="226"/>
        <v>6</v>
      </c>
      <c r="H225" s="44">
        <f t="shared" si="226"/>
        <v>1000</v>
      </c>
      <c r="I225" s="44">
        <f t="shared" si="233"/>
        <v>0</v>
      </c>
      <c r="J225" s="115">
        <f>'LOE Breakdown by Year'!F67</f>
        <v>0</v>
      </c>
      <c r="K225" s="44">
        <f t="shared" si="227"/>
        <v>12</v>
      </c>
      <c r="L225" s="44">
        <f t="shared" si="234"/>
        <v>0</v>
      </c>
      <c r="M225" s="115">
        <f>'LOE Breakdown by Year'!F113</f>
        <v>0</v>
      </c>
      <c r="N225" s="44">
        <f t="shared" si="228"/>
        <v>12</v>
      </c>
      <c r="O225" s="44">
        <f t="shared" si="235"/>
        <v>0</v>
      </c>
      <c r="P225" s="115">
        <f>'LOE Breakdown by Year'!F159</f>
        <v>0</v>
      </c>
      <c r="Q225" s="44">
        <f t="shared" si="229"/>
        <v>12</v>
      </c>
      <c r="R225" s="44">
        <f t="shared" si="236"/>
        <v>0</v>
      </c>
      <c r="S225" s="115">
        <f>'LOE Breakdown by Year'!F205</f>
        <v>0</v>
      </c>
      <c r="T225" s="44">
        <f t="shared" si="230"/>
        <v>12</v>
      </c>
      <c r="U225" s="44">
        <f t="shared" si="237"/>
        <v>0</v>
      </c>
      <c r="V225" s="115">
        <f>'LOE Breakdown by Year'!F251</f>
        <v>0</v>
      </c>
      <c r="W225" s="44">
        <f t="shared" si="231"/>
        <v>3</v>
      </c>
      <c r="X225" s="44">
        <f t="shared" si="238"/>
        <v>0</v>
      </c>
      <c r="Y225" s="44">
        <f t="shared" si="239"/>
        <v>0</v>
      </c>
      <c r="Z225" s="44">
        <v>0</v>
      </c>
      <c r="AA225" s="44">
        <f t="shared" si="240"/>
        <v>0</v>
      </c>
    </row>
    <row r="226" spans="1:27" hidden="1">
      <c r="A226" s="595" t="s">
        <v>887</v>
      </c>
      <c r="B226" s="595">
        <v>70000</v>
      </c>
      <c r="C226" s="595" t="s">
        <v>747</v>
      </c>
      <c r="D226" s="8" t="str">
        <f t="shared" si="225"/>
        <v>Communications Specialist</v>
      </c>
      <c r="E226" s="115">
        <f>'LOE Breakdown by Year'!F22</f>
        <v>0</v>
      </c>
      <c r="F226" s="50" t="s">
        <v>100</v>
      </c>
      <c r="G226" s="44">
        <f t="shared" si="226"/>
        <v>8</v>
      </c>
      <c r="H226" s="44">
        <f t="shared" si="226"/>
        <v>1500</v>
      </c>
      <c r="I226" s="44">
        <f t="shared" si="233"/>
        <v>0</v>
      </c>
      <c r="J226" s="115">
        <f>'LOE Breakdown by Year'!F68</f>
        <v>0</v>
      </c>
      <c r="K226" s="44">
        <f t="shared" si="227"/>
        <v>12</v>
      </c>
      <c r="L226" s="44">
        <f t="shared" si="234"/>
        <v>0</v>
      </c>
      <c r="M226" s="115">
        <f>'LOE Breakdown by Year'!F114</f>
        <v>0</v>
      </c>
      <c r="N226" s="44">
        <f t="shared" si="228"/>
        <v>12</v>
      </c>
      <c r="O226" s="44">
        <f t="shared" si="235"/>
        <v>0</v>
      </c>
      <c r="P226" s="115">
        <f>'LOE Breakdown by Year'!F160</f>
        <v>0</v>
      </c>
      <c r="Q226" s="44">
        <f t="shared" si="229"/>
        <v>12</v>
      </c>
      <c r="R226" s="44">
        <f t="shared" si="236"/>
        <v>0</v>
      </c>
      <c r="S226" s="115">
        <f>'LOE Breakdown by Year'!F206</f>
        <v>0</v>
      </c>
      <c r="T226" s="44">
        <f t="shared" si="230"/>
        <v>12</v>
      </c>
      <c r="U226" s="44">
        <f t="shared" si="237"/>
        <v>0</v>
      </c>
      <c r="V226" s="115">
        <f>'LOE Breakdown by Year'!F252</f>
        <v>0</v>
      </c>
      <c r="W226" s="44">
        <f t="shared" si="231"/>
        <v>8</v>
      </c>
      <c r="X226" s="44">
        <f t="shared" si="238"/>
        <v>0</v>
      </c>
      <c r="Y226" s="44">
        <f t="shared" si="239"/>
        <v>0</v>
      </c>
      <c r="Z226" s="44">
        <v>0</v>
      </c>
      <c r="AA226" s="44">
        <f t="shared" si="240"/>
        <v>0</v>
      </c>
    </row>
    <row r="227" spans="1:27" hidden="1">
      <c r="A227" s="595" t="s">
        <v>888</v>
      </c>
      <c r="B227" s="595">
        <v>70000</v>
      </c>
      <c r="C227" s="595" t="s">
        <v>747</v>
      </c>
      <c r="D227" s="8" t="str">
        <f t="shared" si="225"/>
        <v>Communications Officer</v>
      </c>
      <c r="E227" s="115">
        <f>'LOE Breakdown by Year'!F23</f>
        <v>0</v>
      </c>
      <c r="F227" s="50" t="s">
        <v>100</v>
      </c>
      <c r="G227" s="44">
        <f t="shared" si="226"/>
        <v>0</v>
      </c>
      <c r="H227" s="44">
        <f t="shared" si="226"/>
        <v>1000</v>
      </c>
      <c r="I227" s="44">
        <f t="shared" si="233"/>
        <v>0</v>
      </c>
      <c r="J227" s="115">
        <f>'LOE Breakdown by Year'!F69</f>
        <v>0</v>
      </c>
      <c r="K227" s="44">
        <f t="shared" si="227"/>
        <v>12</v>
      </c>
      <c r="L227" s="44">
        <f t="shared" si="234"/>
        <v>0</v>
      </c>
      <c r="M227" s="115">
        <f>'LOE Breakdown by Year'!F115</f>
        <v>0</v>
      </c>
      <c r="N227" s="44">
        <f t="shared" si="228"/>
        <v>12</v>
      </c>
      <c r="O227" s="44">
        <f t="shared" si="235"/>
        <v>0</v>
      </c>
      <c r="P227" s="115">
        <f>'LOE Breakdown by Year'!F161</f>
        <v>0</v>
      </c>
      <c r="Q227" s="44">
        <f t="shared" si="229"/>
        <v>12</v>
      </c>
      <c r="R227" s="44">
        <f t="shared" si="236"/>
        <v>0</v>
      </c>
      <c r="S227" s="115">
        <f>'LOE Breakdown by Year'!F207</f>
        <v>0</v>
      </c>
      <c r="T227" s="44">
        <f t="shared" si="230"/>
        <v>12</v>
      </c>
      <c r="U227" s="44">
        <f t="shared" si="237"/>
        <v>0</v>
      </c>
      <c r="V227" s="115">
        <f>'LOE Breakdown by Year'!F253</f>
        <v>0</v>
      </c>
      <c r="W227" s="44">
        <f t="shared" si="231"/>
        <v>0</v>
      </c>
      <c r="X227" s="44">
        <f t="shared" si="238"/>
        <v>0</v>
      </c>
      <c r="Y227" s="44">
        <f t="shared" si="239"/>
        <v>0</v>
      </c>
      <c r="Z227" s="44">
        <v>0</v>
      </c>
      <c r="AA227" s="44">
        <f t="shared" si="240"/>
        <v>0</v>
      </c>
    </row>
    <row r="228" spans="1:27">
      <c r="A228" s="595" t="s">
        <v>889</v>
      </c>
      <c r="B228" s="595">
        <v>70000</v>
      </c>
      <c r="C228" s="595" t="s">
        <v>747</v>
      </c>
      <c r="D228" s="8" t="str">
        <f t="shared" si="225"/>
        <v>Education &amp; Community Engagement Specialist</v>
      </c>
      <c r="E228" s="115">
        <f>'LOE Breakdown by Year'!F24</f>
        <v>0.1</v>
      </c>
      <c r="F228" s="50" t="s">
        <v>100</v>
      </c>
      <c r="G228" s="44">
        <f t="shared" si="226"/>
        <v>6</v>
      </c>
      <c r="H228" s="44">
        <f t="shared" si="226"/>
        <v>1500</v>
      </c>
      <c r="I228" s="44">
        <f t="shared" si="233"/>
        <v>900</v>
      </c>
      <c r="J228" s="115">
        <f>'LOE Breakdown by Year'!F70</f>
        <v>0.1</v>
      </c>
      <c r="K228" s="44">
        <f t="shared" si="227"/>
        <v>12</v>
      </c>
      <c r="L228" s="44">
        <f t="shared" si="234"/>
        <v>1890</v>
      </c>
      <c r="M228" s="115">
        <f>'LOE Breakdown by Year'!F116</f>
        <v>0.1</v>
      </c>
      <c r="N228" s="44">
        <f t="shared" si="228"/>
        <v>12</v>
      </c>
      <c r="O228" s="44">
        <f t="shared" si="235"/>
        <v>1984.5</v>
      </c>
      <c r="P228" s="115">
        <f>'LOE Breakdown by Year'!F162</f>
        <v>0.1</v>
      </c>
      <c r="Q228" s="44">
        <f t="shared" si="229"/>
        <v>12</v>
      </c>
      <c r="R228" s="44">
        <f t="shared" si="236"/>
        <v>2083.7249999999999</v>
      </c>
      <c r="S228" s="115">
        <f>'LOE Breakdown by Year'!F208</f>
        <v>0.1</v>
      </c>
      <c r="T228" s="44">
        <f t="shared" si="230"/>
        <v>12</v>
      </c>
      <c r="U228" s="44">
        <f t="shared" si="237"/>
        <v>2187.9112500000001</v>
      </c>
      <c r="V228" s="115">
        <f>'LOE Breakdown by Year'!F254</f>
        <v>0.1</v>
      </c>
      <c r="W228" s="44">
        <f t="shared" si="231"/>
        <v>8</v>
      </c>
      <c r="X228" s="44">
        <f t="shared" si="238"/>
        <v>1531.5378750000002</v>
      </c>
      <c r="Y228" s="44">
        <f t="shared" si="239"/>
        <v>10577.674125</v>
      </c>
      <c r="Z228" s="44">
        <v>0</v>
      </c>
      <c r="AA228" s="44">
        <f t="shared" si="240"/>
        <v>10577.674125</v>
      </c>
    </row>
    <row r="229" spans="1:27">
      <c r="A229" s="595" t="s">
        <v>890</v>
      </c>
      <c r="B229" s="595">
        <v>70000</v>
      </c>
      <c r="C229" s="595" t="s">
        <v>747</v>
      </c>
      <c r="D229" s="8" t="str">
        <f t="shared" si="225"/>
        <v>Education &amp; Community Engagement Officer</v>
      </c>
      <c r="E229" s="115">
        <f>'LOE Breakdown by Year'!F25</f>
        <v>0.1</v>
      </c>
      <c r="F229" s="50" t="s">
        <v>100</v>
      </c>
      <c r="G229" s="44">
        <f t="shared" si="226"/>
        <v>3</v>
      </c>
      <c r="H229" s="44">
        <f t="shared" si="226"/>
        <v>1000</v>
      </c>
      <c r="I229" s="44">
        <f t="shared" si="233"/>
        <v>300</v>
      </c>
      <c r="J229" s="115">
        <f>'LOE Breakdown by Year'!F71</f>
        <v>0.1</v>
      </c>
      <c r="K229" s="44">
        <f t="shared" si="227"/>
        <v>12</v>
      </c>
      <c r="L229" s="44">
        <f t="shared" si="234"/>
        <v>1260</v>
      </c>
      <c r="M229" s="115">
        <f>'LOE Breakdown by Year'!F117</f>
        <v>0.1</v>
      </c>
      <c r="N229" s="44">
        <f t="shared" si="228"/>
        <v>12</v>
      </c>
      <c r="O229" s="44">
        <f t="shared" si="235"/>
        <v>1323</v>
      </c>
      <c r="P229" s="115">
        <f>'LOE Breakdown by Year'!F163</f>
        <v>0.1</v>
      </c>
      <c r="Q229" s="44">
        <f t="shared" si="229"/>
        <v>12</v>
      </c>
      <c r="R229" s="44">
        <f t="shared" si="236"/>
        <v>1389.15</v>
      </c>
      <c r="S229" s="115">
        <f>'LOE Breakdown by Year'!F209</f>
        <v>0.1</v>
      </c>
      <c r="T229" s="44">
        <f t="shared" si="230"/>
        <v>12</v>
      </c>
      <c r="U229" s="44">
        <f t="shared" si="237"/>
        <v>1458.6075000000001</v>
      </c>
      <c r="V229" s="115">
        <f>'LOE Breakdown by Year'!F255</f>
        <v>0.1</v>
      </c>
      <c r="W229" s="44">
        <f t="shared" si="231"/>
        <v>0</v>
      </c>
      <c r="X229" s="44">
        <f t="shared" si="238"/>
        <v>0</v>
      </c>
      <c r="Y229" s="44">
        <f t="shared" si="239"/>
        <v>5730.7574999999997</v>
      </c>
      <c r="Z229" s="44">
        <v>0</v>
      </c>
      <c r="AA229" s="44">
        <f t="shared" si="240"/>
        <v>5730.7574999999997</v>
      </c>
    </row>
    <row r="230" spans="1:27">
      <c r="A230" s="595" t="s">
        <v>891</v>
      </c>
      <c r="B230" s="595">
        <v>70000</v>
      </c>
      <c r="C230" s="595" t="s">
        <v>747</v>
      </c>
      <c r="D230" s="8" t="str">
        <f t="shared" si="225"/>
        <v>Private Sector Specialist</v>
      </c>
      <c r="E230" s="115">
        <f>'LOE Breakdown by Year'!F26</f>
        <v>0.05</v>
      </c>
      <c r="F230" s="50" t="s">
        <v>100</v>
      </c>
      <c r="G230" s="44">
        <f t="shared" si="226"/>
        <v>9</v>
      </c>
      <c r="H230" s="44">
        <f t="shared" si="226"/>
        <v>2000</v>
      </c>
      <c r="I230" s="44">
        <f t="shared" si="233"/>
        <v>900</v>
      </c>
      <c r="J230" s="115">
        <f>'LOE Breakdown by Year'!F72</f>
        <v>0.05</v>
      </c>
      <c r="K230" s="44">
        <f t="shared" si="227"/>
        <v>12</v>
      </c>
      <c r="L230" s="44">
        <f t="shared" si="234"/>
        <v>1260</v>
      </c>
      <c r="M230" s="115">
        <f>'LOE Breakdown by Year'!F118</f>
        <v>0.05</v>
      </c>
      <c r="N230" s="44">
        <f t="shared" si="228"/>
        <v>12</v>
      </c>
      <c r="O230" s="44">
        <f t="shared" si="235"/>
        <v>1323</v>
      </c>
      <c r="P230" s="115">
        <f>'LOE Breakdown by Year'!F164</f>
        <v>0.05</v>
      </c>
      <c r="Q230" s="44">
        <f t="shared" si="229"/>
        <v>12</v>
      </c>
      <c r="R230" s="44">
        <f t="shared" si="236"/>
        <v>1389.15</v>
      </c>
      <c r="S230" s="115">
        <f>'LOE Breakdown by Year'!F210</f>
        <v>0.05</v>
      </c>
      <c r="T230" s="44">
        <f t="shared" si="230"/>
        <v>12</v>
      </c>
      <c r="U230" s="44">
        <f t="shared" si="237"/>
        <v>1458.6075000000001</v>
      </c>
      <c r="V230" s="115">
        <f>'LOE Breakdown by Year'!F256</f>
        <v>0.05</v>
      </c>
      <c r="W230" s="44">
        <f t="shared" si="231"/>
        <v>6</v>
      </c>
      <c r="X230" s="44">
        <f t="shared" si="238"/>
        <v>765.76893750000011</v>
      </c>
      <c r="Y230" s="44">
        <f t="shared" si="239"/>
        <v>7096.5264374999997</v>
      </c>
      <c r="Z230" s="44">
        <v>0</v>
      </c>
      <c r="AA230" s="44">
        <f t="shared" si="240"/>
        <v>7096.5264374999997</v>
      </c>
    </row>
    <row r="231" spans="1:27" hidden="1">
      <c r="A231" s="595" t="s">
        <v>892</v>
      </c>
      <c r="B231" s="595">
        <v>70000</v>
      </c>
      <c r="C231" s="595" t="s">
        <v>747</v>
      </c>
      <c r="D231" s="8" t="str">
        <f t="shared" si="225"/>
        <v xml:space="preserve">Key Personnel: M&amp;E Director </v>
      </c>
      <c r="E231" s="115">
        <f>'LOE Breakdown by Year'!F27</f>
        <v>0</v>
      </c>
      <c r="F231" s="50" t="s">
        <v>100</v>
      </c>
      <c r="G231" s="44">
        <f t="shared" si="226"/>
        <v>11</v>
      </c>
      <c r="H231" s="44">
        <f t="shared" si="226"/>
        <v>4583.333333333333</v>
      </c>
      <c r="I231" s="44">
        <f t="shared" si="233"/>
        <v>0</v>
      </c>
      <c r="J231" s="115">
        <f>'LOE Breakdown by Year'!F73</f>
        <v>0</v>
      </c>
      <c r="K231" s="44">
        <f t="shared" si="227"/>
        <v>12</v>
      </c>
      <c r="L231" s="44">
        <f t="shared" si="234"/>
        <v>0</v>
      </c>
      <c r="M231" s="115">
        <f>'LOE Breakdown by Year'!F119</f>
        <v>0</v>
      </c>
      <c r="N231" s="44">
        <f t="shared" si="228"/>
        <v>12</v>
      </c>
      <c r="O231" s="44">
        <f t="shared" si="235"/>
        <v>0</v>
      </c>
      <c r="P231" s="115">
        <f>'LOE Breakdown by Year'!F165</f>
        <v>0</v>
      </c>
      <c r="Q231" s="44">
        <f t="shared" si="229"/>
        <v>12</v>
      </c>
      <c r="R231" s="44">
        <f t="shared" si="236"/>
        <v>0</v>
      </c>
      <c r="S231" s="115">
        <f>'LOE Breakdown by Year'!F211</f>
        <v>0</v>
      </c>
      <c r="T231" s="44">
        <f t="shared" si="230"/>
        <v>12</v>
      </c>
      <c r="U231" s="44">
        <f t="shared" si="237"/>
        <v>0</v>
      </c>
      <c r="V231" s="115">
        <f>'LOE Breakdown by Year'!F257</f>
        <v>0</v>
      </c>
      <c r="W231" s="44">
        <f t="shared" si="231"/>
        <v>12</v>
      </c>
      <c r="X231" s="44">
        <f t="shared" si="238"/>
        <v>0</v>
      </c>
      <c r="Y231" s="44">
        <f t="shared" si="239"/>
        <v>0</v>
      </c>
      <c r="Z231" s="44">
        <v>0</v>
      </c>
      <c r="AA231" s="44">
        <f t="shared" si="240"/>
        <v>0</v>
      </c>
    </row>
    <row r="232" spans="1:27" hidden="1">
      <c r="A232" s="595" t="s">
        <v>893</v>
      </c>
      <c r="B232" s="595">
        <v>70000</v>
      </c>
      <c r="C232" s="595" t="s">
        <v>747</v>
      </c>
      <c r="D232" s="8" t="str">
        <f t="shared" si="225"/>
        <v>M&amp;E Specialist</v>
      </c>
      <c r="E232" s="115">
        <f>'LOE Breakdown by Year'!F28</f>
        <v>0</v>
      </c>
      <c r="F232" s="50" t="s">
        <v>100</v>
      </c>
      <c r="G232" s="44">
        <f t="shared" si="226"/>
        <v>6</v>
      </c>
      <c r="H232" s="44">
        <f t="shared" si="226"/>
        <v>2000</v>
      </c>
      <c r="I232" s="44">
        <f t="shared" si="233"/>
        <v>0</v>
      </c>
      <c r="J232" s="115">
        <f>'LOE Breakdown by Year'!F74</f>
        <v>0</v>
      </c>
      <c r="K232" s="44">
        <f t="shared" si="227"/>
        <v>12</v>
      </c>
      <c r="L232" s="44">
        <f t="shared" si="234"/>
        <v>0</v>
      </c>
      <c r="M232" s="115">
        <f>'LOE Breakdown by Year'!F120</f>
        <v>0</v>
      </c>
      <c r="N232" s="44">
        <f t="shared" si="228"/>
        <v>12</v>
      </c>
      <c r="O232" s="44">
        <f t="shared" si="235"/>
        <v>0</v>
      </c>
      <c r="P232" s="115">
        <f>'LOE Breakdown by Year'!F166</f>
        <v>0</v>
      </c>
      <c r="Q232" s="44">
        <f t="shared" si="229"/>
        <v>12</v>
      </c>
      <c r="R232" s="44">
        <f t="shared" si="236"/>
        <v>0</v>
      </c>
      <c r="S232" s="115">
        <f>'LOE Breakdown by Year'!F212</f>
        <v>0</v>
      </c>
      <c r="T232" s="44">
        <f t="shared" si="230"/>
        <v>12</v>
      </c>
      <c r="U232" s="44">
        <f t="shared" si="237"/>
        <v>0</v>
      </c>
      <c r="V232" s="115">
        <f>'LOE Breakdown by Year'!F258</f>
        <v>0</v>
      </c>
      <c r="W232" s="44">
        <f t="shared" si="231"/>
        <v>11</v>
      </c>
      <c r="X232" s="44">
        <f t="shared" si="238"/>
        <v>0</v>
      </c>
      <c r="Y232" s="44">
        <f t="shared" si="239"/>
        <v>0</v>
      </c>
      <c r="Z232" s="44">
        <v>0</v>
      </c>
      <c r="AA232" s="44">
        <f t="shared" si="240"/>
        <v>0</v>
      </c>
    </row>
    <row r="233" spans="1:27" hidden="1">
      <c r="A233" s="595" t="s">
        <v>894</v>
      </c>
      <c r="B233" s="595">
        <v>70000</v>
      </c>
      <c r="C233" s="595" t="s">
        <v>747</v>
      </c>
      <c r="D233" s="8" t="str">
        <f t="shared" si="225"/>
        <v>M&amp;E Officer</v>
      </c>
      <c r="E233" s="115">
        <f>'LOE Breakdown by Year'!F29</f>
        <v>0</v>
      </c>
      <c r="F233" s="50" t="s">
        <v>100</v>
      </c>
      <c r="G233" s="44">
        <f t="shared" si="226"/>
        <v>2</v>
      </c>
      <c r="H233" s="44">
        <f t="shared" si="226"/>
        <v>1250</v>
      </c>
      <c r="I233" s="44">
        <f t="shared" si="233"/>
        <v>0</v>
      </c>
      <c r="J233" s="115">
        <f>'LOE Breakdown by Year'!F75</f>
        <v>0</v>
      </c>
      <c r="K233" s="44">
        <f t="shared" si="227"/>
        <v>12</v>
      </c>
      <c r="L233" s="44">
        <f t="shared" si="234"/>
        <v>0</v>
      </c>
      <c r="M233" s="115">
        <f>'LOE Breakdown by Year'!F121</f>
        <v>0</v>
      </c>
      <c r="N233" s="44">
        <f t="shared" si="228"/>
        <v>12</v>
      </c>
      <c r="O233" s="44">
        <f t="shared" si="235"/>
        <v>0</v>
      </c>
      <c r="P233" s="115">
        <f>'LOE Breakdown by Year'!F167</f>
        <v>0</v>
      </c>
      <c r="Q233" s="44">
        <f t="shared" si="229"/>
        <v>12</v>
      </c>
      <c r="R233" s="44">
        <f t="shared" si="236"/>
        <v>0</v>
      </c>
      <c r="S233" s="115">
        <f>'LOE Breakdown by Year'!F213</f>
        <v>0</v>
      </c>
      <c r="T233" s="44">
        <f t="shared" si="230"/>
        <v>12</v>
      </c>
      <c r="U233" s="44">
        <f t="shared" si="237"/>
        <v>0</v>
      </c>
      <c r="V233" s="115">
        <f>'LOE Breakdown by Year'!F259</f>
        <v>0</v>
      </c>
      <c r="W233" s="44">
        <f t="shared" si="231"/>
        <v>3</v>
      </c>
      <c r="X233" s="44">
        <f t="shared" si="238"/>
        <v>0</v>
      </c>
      <c r="Y233" s="44">
        <f t="shared" si="239"/>
        <v>0</v>
      </c>
      <c r="Z233" s="44">
        <v>0</v>
      </c>
      <c r="AA233" s="44">
        <f t="shared" si="240"/>
        <v>0</v>
      </c>
    </row>
    <row r="234" spans="1:27" hidden="1">
      <c r="A234" s="595" t="s">
        <v>895</v>
      </c>
      <c r="B234" s="595">
        <v>70000</v>
      </c>
      <c r="C234" s="595" t="s">
        <v>747</v>
      </c>
      <c r="D234" s="8" t="str">
        <f t="shared" si="225"/>
        <v>Supply Chain Manager</v>
      </c>
      <c r="E234" s="115">
        <f>'LOE Breakdown by Year'!F30</f>
        <v>0</v>
      </c>
      <c r="F234" s="50" t="s">
        <v>100</v>
      </c>
      <c r="G234" s="44">
        <f t="shared" si="226"/>
        <v>11</v>
      </c>
      <c r="H234" s="44">
        <f t="shared" si="226"/>
        <v>5000</v>
      </c>
      <c r="I234" s="44">
        <f t="shared" si="233"/>
        <v>0</v>
      </c>
      <c r="J234" s="115">
        <f>'LOE Breakdown by Year'!F76</f>
        <v>0</v>
      </c>
      <c r="K234" s="44">
        <f t="shared" si="227"/>
        <v>12</v>
      </c>
      <c r="L234" s="44">
        <f t="shared" si="234"/>
        <v>0</v>
      </c>
      <c r="M234" s="115">
        <f>'LOE Breakdown by Year'!F122</f>
        <v>0</v>
      </c>
      <c r="N234" s="44">
        <f t="shared" si="228"/>
        <v>12</v>
      </c>
      <c r="O234" s="44">
        <f t="shared" si="235"/>
        <v>0</v>
      </c>
      <c r="P234" s="115">
        <f>'LOE Breakdown by Year'!F168</f>
        <v>0</v>
      </c>
      <c r="Q234" s="44">
        <f t="shared" si="229"/>
        <v>12</v>
      </c>
      <c r="R234" s="44">
        <f t="shared" si="236"/>
        <v>0</v>
      </c>
      <c r="S234" s="115">
        <f>'LOE Breakdown by Year'!F214</f>
        <v>0</v>
      </c>
      <c r="T234" s="44">
        <f t="shared" si="230"/>
        <v>12</v>
      </c>
      <c r="U234" s="44">
        <f t="shared" si="237"/>
        <v>0</v>
      </c>
      <c r="V234" s="115">
        <f>'LOE Breakdown by Year'!F260</f>
        <v>0</v>
      </c>
      <c r="W234" s="44">
        <f t="shared" si="231"/>
        <v>8</v>
      </c>
      <c r="X234" s="44">
        <f t="shared" si="238"/>
        <v>0</v>
      </c>
      <c r="Y234" s="44">
        <f t="shared" si="239"/>
        <v>0</v>
      </c>
      <c r="Z234" s="44">
        <v>0</v>
      </c>
      <c r="AA234" s="44">
        <f t="shared" si="240"/>
        <v>0</v>
      </c>
    </row>
    <row r="235" spans="1:27" hidden="1">
      <c r="A235" s="595" t="s">
        <v>896</v>
      </c>
      <c r="B235" s="595">
        <v>70000</v>
      </c>
      <c r="C235" s="595" t="s">
        <v>747</v>
      </c>
      <c r="D235" s="8" t="str">
        <f t="shared" si="225"/>
        <v>In-Country Logistics Specialist</v>
      </c>
      <c r="E235" s="115">
        <f>'LOE Breakdown by Year'!F31</f>
        <v>0</v>
      </c>
      <c r="F235" s="50" t="s">
        <v>100</v>
      </c>
      <c r="G235" s="44">
        <f t="shared" ref="G235:H248" si="241">G32</f>
        <v>9</v>
      </c>
      <c r="H235" s="44">
        <f t="shared" si="241"/>
        <v>2000</v>
      </c>
      <c r="I235" s="44">
        <f t="shared" si="233"/>
        <v>0</v>
      </c>
      <c r="J235" s="115">
        <f>'LOE Breakdown by Year'!F77</f>
        <v>0</v>
      </c>
      <c r="K235" s="44">
        <f t="shared" si="227"/>
        <v>12</v>
      </c>
      <c r="L235" s="44">
        <f t="shared" si="234"/>
        <v>0</v>
      </c>
      <c r="M235" s="115">
        <f>'LOE Breakdown by Year'!F123</f>
        <v>0</v>
      </c>
      <c r="N235" s="44">
        <f t="shared" si="228"/>
        <v>12</v>
      </c>
      <c r="O235" s="44">
        <f t="shared" si="235"/>
        <v>0</v>
      </c>
      <c r="P235" s="115">
        <f>'LOE Breakdown by Year'!F169</f>
        <v>0</v>
      </c>
      <c r="Q235" s="44">
        <f t="shared" si="229"/>
        <v>12</v>
      </c>
      <c r="R235" s="44">
        <f t="shared" si="236"/>
        <v>0</v>
      </c>
      <c r="S235" s="115">
        <f>'LOE Breakdown by Year'!F215</f>
        <v>0</v>
      </c>
      <c r="T235" s="44">
        <f t="shared" si="230"/>
        <v>12</v>
      </c>
      <c r="U235" s="44">
        <f t="shared" si="237"/>
        <v>0</v>
      </c>
      <c r="V235" s="115">
        <f>'LOE Breakdown by Year'!F261</f>
        <v>0</v>
      </c>
      <c r="W235" s="44">
        <f t="shared" si="231"/>
        <v>8</v>
      </c>
      <c r="X235" s="44">
        <f t="shared" si="238"/>
        <v>0</v>
      </c>
      <c r="Y235" s="44">
        <f t="shared" si="239"/>
        <v>0</v>
      </c>
      <c r="Z235" s="44">
        <v>0</v>
      </c>
      <c r="AA235" s="44">
        <f t="shared" si="240"/>
        <v>0</v>
      </c>
    </row>
    <row r="236" spans="1:27" hidden="1">
      <c r="A236" s="595" t="s">
        <v>897</v>
      </c>
      <c r="B236" s="595">
        <v>70000</v>
      </c>
      <c r="C236" s="595" t="s">
        <v>747</v>
      </c>
      <c r="D236" s="8" t="str">
        <f t="shared" si="225"/>
        <v>US Commodity Logistics Specialist</v>
      </c>
      <c r="E236" s="115">
        <f>'LOE Breakdown by Year'!F32</f>
        <v>0</v>
      </c>
      <c r="F236" s="50" t="s">
        <v>100</v>
      </c>
      <c r="G236" s="44">
        <f t="shared" si="241"/>
        <v>9</v>
      </c>
      <c r="H236" s="44">
        <f t="shared" si="241"/>
        <v>2000</v>
      </c>
      <c r="I236" s="44">
        <f t="shared" si="233"/>
        <v>0</v>
      </c>
      <c r="J236" s="115">
        <f>'LOE Breakdown by Year'!F78</f>
        <v>0</v>
      </c>
      <c r="K236" s="44">
        <f t="shared" si="227"/>
        <v>12</v>
      </c>
      <c r="L236" s="44">
        <f t="shared" si="234"/>
        <v>0</v>
      </c>
      <c r="M236" s="115">
        <f>'LOE Breakdown by Year'!F124</f>
        <v>0</v>
      </c>
      <c r="N236" s="44">
        <f t="shared" si="228"/>
        <v>12</v>
      </c>
      <c r="O236" s="44">
        <f t="shared" si="235"/>
        <v>0</v>
      </c>
      <c r="P236" s="115">
        <f>'LOE Breakdown by Year'!F170</f>
        <v>0</v>
      </c>
      <c r="Q236" s="44">
        <f t="shared" si="229"/>
        <v>12</v>
      </c>
      <c r="R236" s="44">
        <f t="shared" si="236"/>
        <v>0</v>
      </c>
      <c r="S236" s="115">
        <f>'LOE Breakdown by Year'!F216</f>
        <v>0</v>
      </c>
      <c r="T236" s="44">
        <f t="shared" si="230"/>
        <v>12</v>
      </c>
      <c r="U236" s="44">
        <f t="shared" si="237"/>
        <v>0</v>
      </c>
      <c r="V236" s="115">
        <f>'LOE Breakdown by Year'!F262</f>
        <v>0</v>
      </c>
      <c r="W236" s="44">
        <f t="shared" si="231"/>
        <v>8</v>
      </c>
      <c r="X236" s="44">
        <f t="shared" si="238"/>
        <v>0</v>
      </c>
      <c r="Y236" s="44">
        <f t="shared" si="239"/>
        <v>0</v>
      </c>
      <c r="Z236" s="44">
        <v>0</v>
      </c>
      <c r="AA236" s="44">
        <f t="shared" si="240"/>
        <v>0</v>
      </c>
    </row>
    <row r="237" spans="1:27" hidden="1">
      <c r="A237" s="595" t="s">
        <v>898</v>
      </c>
      <c r="B237" s="595">
        <v>70000</v>
      </c>
      <c r="C237" s="595" t="s">
        <v>747</v>
      </c>
      <c r="D237" s="8" t="str">
        <f t="shared" si="225"/>
        <v>Warehouse Manager</v>
      </c>
      <c r="E237" s="115">
        <f>'LOE Breakdown by Year'!F33</f>
        <v>0</v>
      </c>
      <c r="F237" s="50" t="s">
        <v>100</v>
      </c>
      <c r="G237" s="44">
        <f t="shared" si="241"/>
        <v>8</v>
      </c>
      <c r="H237" s="44">
        <f t="shared" si="241"/>
        <v>1250</v>
      </c>
      <c r="I237" s="44">
        <f t="shared" si="233"/>
        <v>0</v>
      </c>
      <c r="J237" s="115">
        <f>'LOE Breakdown by Year'!F79</f>
        <v>0</v>
      </c>
      <c r="K237" s="44">
        <f t="shared" si="227"/>
        <v>12</v>
      </c>
      <c r="L237" s="44">
        <f t="shared" si="234"/>
        <v>0</v>
      </c>
      <c r="M237" s="115">
        <f>'LOE Breakdown by Year'!F125</f>
        <v>0</v>
      </c>
      <c r="N237" s="44">
        <f t="shared" si="228"/>
        <v>12</v>
      </c>
      <c r="O237" s="44">
        <f t="shared" si="235"/>
        <v>0</v>
      </c>
      <c r="P237" s="115">
        <f>'LOE Breakdown by Year'!F171</f>
        <v>0</v>
      </c>
      <c r="Q237" s="44">
        <f t="shared" si="229"/>
        <v>12</v>
      </c>
      <c r="R237" s="44">
        <f t="shared" si="236"/>
        <v>0</v>
      </c>
      <c r="S237" s="115">
        <f>'LOE Breakdown by Year'!F217</f>
        <v>0</v>
      </c>
      <c r="T237" s="44">
        <f t="shared" si="230"/>
        <v>12</v>
      </c>
      <c r="U237" s="44">
        <f t="shared" si="237"/>
        <v>0</v>
      </c>
      <c r="V237" s="115">
        <f>'LOE Breakdown by Year'!F263</f>
        <v>0</v>
      </c>
      <c r="W237" s="44">
        <f t="shared" si="231"/>
        <v>8</v>
      </c>
      <c r="X237" s="44">
        <f t="shared" si="238"/>
        <v>0</v>
      </c>
      <c r="Y237" s="44">
        <f t="shared" si="239"/>
        <v>0</v>
      </c>
      <c r="Z237" s="44">
        <v>0</v>
      </c>
      <c r="AA237" s="44">
        <f t="shared" si="240"/>
        <v>0</v>
      </c>
    </row>
    <row r="238" spans="1:27" hidden="1">
      <c r="A238" s="595" t="s">
        <v>899</v>
      </c>
      <c r="B238" s="595">
        <v>70000</v>
      </c>
      <c r="C238" s="595" t="s">
        <v>747</v>
      </c>
      <c r="D238" s="8" t="str">
        <f t="shared" si="225"/>
        <v>Warehouse Officer - (2 Individuals)</v>
      </c>
      <c r="E238" s="115">
        <f>'LOE Breakdown by Year'!F34</f>
        <v>0</v>
      </c>
      <c r="F238" s="50" t="s">
        <v>100</v>
      </c>
      <c r="G238" s="44">
        <f t="shared" si="241"/>
        <v>8</v>
      </c>
      <c r="H238" s="44">
        <f t="shared" si="241"/>
        <v>1000</v>
      </c>
      <c r="I238" s="44">
        <f t="shared" si="233"/>
        <v>0</v>
      </c>
      <c r="J238" s="115">
        <f>'LOE Breakdown by Year'!F80</f>
        <v>0</v>
      </c>
      <c r="K238" s="44">
        <f t="shared" si="227"/>
        <v>24</v>
      </c>
      <c r="L238" s="44">
        <f t="shared" si="234"/>
        <v>0</v>
      </c>
      <c r="M238" s="115">
        <f>'LOE Breakdown by Year'!F126</f>
        <v>0</v>
      </c>
      <c r="N238" s="44">
        <f t="shared" si="228"/>
        <v>24</v>
      </c>
      <c r="O238" s="44">
        <f t="shared" si="235"/>
        <v>0</v>
      </c>
      <c r="P238" s="115">
        <f>'LOE Breakdown by Year'!F172</f>
        <v>0</v>
      </c>
      <c r="Q238" s="44">
        <f t="shared" si="229"/>
        <v>24</v>
      </c>
      <c r="R238" s="44">
        <f t="shared" si="236"/>
        <v>0</v>
      </c>
      <c r="S238" s="115">
        <f>'LOE Breakdown by Year'!F218</f>
        <v>0</v>
      </c>
      <c r="T238" s="44">
        <f t="shared" si="230"/>
        <v>24</v>
      </c>
      <c r="U238" s="44">
        <f t="shared" si="237"/>
        <v>0</v>
      </c>
      <c r="V238" s="115">
        <f>'LOE Breakdown by Year'!F264</f>
        <v>0</v>
      </c>
      <c r="W238" s="44">
        <f t="shared" si="231"/>
        <v>8</v>
      </c>
      <c r="X238" s="44">
        <f t="shared" si="238"/>
        <v>0</v>
      </c>
      <c r="Y238" s="44">
        <f t="shared" si="239"/>
        <v>0</v>
      </c>
      <c r="Z238" s="44">
        <v>0</v>
      </c>
      <c r="AA238" s="44">
        <f t="shared" si="240"/>
        <v>0</v>
      </c>
    </row>
    <row r="239" spans="1:27" hidden="1">
      <c r="A239" s="595" t="s">
        <v>900</v>
      </c>
      <c r="B239" s="595">
        <v>70000</v>
      </c>
      <c r="C239" s="595" t="s">
        <v>747</v>
      </c>
      <c r="D239" s="8" t="str">
        <f t="shared" si="225"/>
        <v xml:space="preserve">LRP Technical Specialist </v>
      </c>
      <c r="E239" s="115">
        <f>'LOE Breakdown by Year'!F35</f>
        <v>0</v>
      </c>
      <c r="F239" s="50" t="s">
        <v>100</v>
      </c>
      <c r="G239" s="44">
        <f t="shared" si="241"/>
        <v>8</v>
      </c>
      <c r="H239" s="44">
        <f t="shared" si="241"/>
        <v>1500</v>
      </c>
      <c r="I239" s="44">
        <f t="shared" si="233"/>
        <v>0</v>
      </c>
      <c r="J239" s="115">
        <f>'LOE Breakdown by Year'!F81</f>
        <v>0</v>
      </c>
      <c r="K239" s="44">
        <f t="shared" si="227"/>
        <v>12</v>
      </c>
      <c r="L239" s="44">
        <f t="shared" si="234"/>
        <v>0</v>
      </c>
      <c r="M239" s="115">
        <f>'LOE Breakdown by Year'!F127</f>
        <v>0</v>
      </c>
      <c r="N239" s="44">
        <f t="shared" si="228"/>
        <v>12</v>
      </c>
      <c r="O239" s="44">
        <f t="shared" si="235"/>
        <v>0</v>
      </c>
      <c r="P239" s="115">
        <f>'LOE Breakdown by Year'!F173</f>
        <v>0</v>
      </c>
      <c r="Q239" s="44">
        <f t="shared" si="229"/>
        <v>12</v>
      </c>
      <c r="R239" s="44">
        <f t="shared" si="236"/>
        <v>0</v>
      </c>
      <c r="S239" s="115">
        <f>'LOE Breakdown by Year'!F219</f>
        <v>0</v>
      </c>
      <c r="T239" s="44">
        <f t="shared" si="230"/>
        <v>12</v>
      </c>
      <c r="U239" s="44">
        <f t="shared" si="237"/>
        <v>0</v>
      </c>
      <c r="V239" s="115">
        <f>'LOE Breakdown by Year'!F265</f>
        <v>0</v>
      </c>
      <c r="W239" s="44">
        <f t="shared" si="231"/>
        <v>0</v>
      </c>
      <c r="X239" s="44">
        <f t="shared" si="238"/>
        <v>0</v>
      </c>
      <c r="Y239" s="44">
        <f t="shared" si="239"/>
        <v>0</v>
      </c>
      <c r="Z239" s="44">
        <v>0</v>
      </c>
      <c r="AA239" s="44">
        <f t="shared" si="240"/>
        <v>0</v>
      </c>
    </row>
    <row r="240" spans="1:27" hidden="1">
      <c r="A240" s="595" t="s">
        <v>901</v>
      </c>
      <c r="B240" s="595">
        <v>70000</v>
      </c>
      <c r="C240" s="595" t="s">
        <v>747</v>
      </c>
      <c r="D240" s="8" t="str">
        <f t="shared" si="225"/>
        <v>Finance &amp; Administration Director</v>
      </c>
      <c r="E240" s="115">
        <f>'LOE Breakdown by Year'!F36</f>
        <v>0</v>
      </c>
      <c r="F240" s="50" t="s">
        <v>100</v>
      </c>
      <c r="G240" s="44">
        <f t="shared" si="241"/>
        <v>9</v>
      </c>
      <c r="H240" s="44">
        <f t="shared" si="241"/>
        <v>5000</v>
      </c>
      <c r="I240" s="44">
        <f t="shared" si="233"/>
        <v>0</v>
      </c>
      <c r="J240" s="115">
        <f>'LOE Breakdown by Year'!F82</f>
        <v>0</v>
      </c>
      <c r="K240" s="44">
        <f t="shared" si="227"/>
        <v>12</v>
      </c>
      <c r="L240" s="44">
        <f t="shared" si="234"/>
        <v>0</v>
      </c>
      <c r="M240" s="115">
        <f>'LOE Breakdown by Year'!F128</f>
        <v>0</v>
      </c>
      <c r="N240" s="44">
        <f t="shared" si="228"/>
        <v>12</v>
      </c>
      <c r="O240" s="44">
        <f t="shared" si="235"/>
        <v>0</v>
      </c>
      <c r="P240" s="115">
        <f>'LOE Breakdown by Year'!F174</f>
        <v>0</v>
      </c>
      <c r="Q240" s="44">
        <f t="shared" si="229"/>
        <v>12</v>
      </c>
      <c r="R240" s="44">
        <f t="shared" si="236"/>
        <v>0</v>
      </c>
      <c r="S240" s="115">
        <f>'LOE Breakdown by Year'!F220</f>
        <v>0</v>
      </c>
      <c r="T240" s="44">
        <f t="shared" si="230"/>
        <v>12</v>
      </c>
      <c r="U240" s="44">
        <f t="shared" si="237"/>
        <v>0</v>
      </c>
      <c r="V240" s="115">
        <f>'LOE Breakdown by Year'!F266</f>
        <v>0</v>
      </c>
      <c r="W240" s="44">
        <f t="shared" si="231"/>
        <v>12</v>
      </c>
      <c r="X240" s="44">
        <f t="shared" si="238"/>
        <v>0</v>
      </c>
      <c r="Y240" s="44">
        <f t="shared" si="239"/>
        <v>0</v>
      </c>
      <c r="Z240" s="44">
        <v>0</v>
      </c>
      <c r="AA240" s="44">
        <f t="shared" si="240"/>
        <v>0</v>
      </c>
    </row>
    <row r="241" spans="1:28" hidden="1">
      <c r="A241" s="595" t="s">
        <v>902</v>
      </c>
      <c r="B241" s="595">
        <v>70000</v>
      </c>
      <c r="C241" s="595" t="s">
        <v>747</v>
      </c>
      <c r="D241" s="8" t="str">
        <f t="shared" si="225"/>
        <v>Contracts &amp; Compliance Manager</v>
      </c>
      <c r="E241" s="115">
        <f>'LOE Breakdown by Year'!F37</f>
        <v>0</v>
      </c>
      <c r="F241" s="50" t="s">
        <v>100</v>
      </c>
      <c r="G241" s="44">
        <f t="shared" si="241"/>
        <v>9</v>
      </c>
      <c r="H241" s="44">
        <f t="shared" si="241"/>
        <v>2633.3333333333335</v>
      </c>
      <c r="I241" s="44">
        <f t="shared" si="233"/>
        <v>0</v>
      </c>
      <c r="J241" s="115">
        <f>'LOE Breakdown by Year'!F83</f>
        <v>0</v>
      </c>
      <c r="K241" s="44">
        <f t="shared" si="227"/>
        <v>12</v>
      </c>
      <c r="L241" s="44">
        <f t="shared" si="234"/>
        <v>0</v>
      </c>
      <c r="M241" s="115">
        <f>'LOE Breakdown by Year'!F129</f>
        <v>0</v>
      </c>
      <c r="N241" s="44">
        <f t="shared" si="228"/>
        <v>12</v>
      </c>
      <c r="O241" s="44">
        <f t="shared" si="235"/>
        <v>0</v>
      </c>
      <c r="P241" s="115">
        <f>'LOE Breakdown by Year'!F175</f>
        <v>0</v>
      </c>
      <c r="Q241" s="44">
        <f t="shared" si="229"/>
        <v>12</v>
      </c>
      <c r="R241" s="44">
        <f t="shared" si="236"/>
        <v>0</v>
      </c>
      <c r="S241" s="115">
        <f>'LOE Breakdown by Year'!F221</f>
        <v>0</v>
      </c>
      <c r="T241" s="44">
        <f t="shared" si="230"/>
        <v>12</v>
      </c>
      <c r="U241" s="44">
        <f t="shared" si="237"/>
        <v>0</v>
      </c>
      <c r="V241" s="115">
        <f>'LOE Breakdown by Year'!F267</f>
        <v>0</v>
      </c>
      <c r="W241" s="44">
        <f t="shared" si="231"/>
        <v>11</v>
      </c>
      <c r="X241" s="44">
        <f t="shared" si="238"/>
        <v>0</v>
      </c>
      <c r="Y241" s="44">
        <f t="shared" si="239"/>
        <v>0</v>
      </c>
      <c r="Z241" s="44">
        <v>0</v>
      </c>
      <c r="AA241" s="44">
        <f t="shared" si="240"/>
        <v>0</v>
      </c>
    </row>
    <row r="242" spans="1:28" hidden="1">
      <c r="A242" s="595" t="s">
        <v>903</v>
      </c>
      <c r="B242" s="595">
        <v>70000</v>
      </c>
      <c r="C242" s="595" t="s">
        <v>747</v>
      </c>
      <c r="D242" s="8" t="str">
        <f t="shared" si="225"/>
        <v>Grants &amp; Procurement Specialist</v>
      </c>
      <c r="E242" s="115">
        <f>'LOE Breakdown by Year'!F38</f>
        <v>0</v>
      </c>
      <c r="F242" s="50" t="s">
        <v>100</v>
      </c>
      <c r="G242" s="44">
        <f t="shared" si="241"/>
        <v>6</v>
      </c>
      <c r="H242" s="44">
        <f t="shared" si="241"/>
        <v>1500</v>
      </c>
      <c r="I242" s="44">
        <f t="shared" si="233"/>
        <v>0</v>
      </c>
      <c r="J242" s="115">
        <f>'LOE Breakdown by Year'!F84</f>
        <v>0</v>
      </c>
      <c r="K242" s="44">
        <f t="shared" si="227"/>
        <v>12</v>
      </c>
      <c r="L242" s="44">
        <f t="shared" si="234"/>
        <v>0</v>
      </c>
      <c r="M242" s="115">
        <f>'LOE Breakdown by Year'!F130</f>
        <v>0</v>
      </c>
      <c r="N242" s="44">
        <f t="shared" si="228"/>
        <v>12</v>
      </c>
      <c r="O242" s="44">
        <f t="shared" si="235"/>
        <v>0</v>
      </c>
      <c r="P242" s="115">
        <f>'LOE Breakdown by Year'!F176</f>
        <v>0</v>
      </c>
      <c r="Q242" s="44">
        <f t="shared" si="229"/>
        <v>12</v>
      </c>
      <c r="R242" s="44">
        <f t="shared" si="236"/>
        <v>0</v>
      </c>
      <c r="S242" s="115">
        <f>'LOE Breakdown by Year'!F222</f>
        <v>0</v>
      </c>
      <c r="T242" s="44">
        <f t="shared" si="230"/>
        <v>12</v>
      </c>
      <c r="U242" s="44">
        <f t="shared" si="237"/>
        <v>0</v>
      </c>
      <c r="V242" s="115">
        <f>'LOE Breakdown by Year'!F268</f>
        <v>0</v>
      </c>
      <c r="W242" s="44">
        <f t="shared" si="231"/>
        <v>6</v>
      </c>
      <c r="X242" s="44">
        <f t="shared" si="238"/>
        <v>0</v>
      </c>
      <c r="Y242" s="44">
        <f t="shared" si="239"/>
        <v>0</v>
      </c>
      <c r="Z242" s="44">
        <v>0</v>
      </c>
      <c r="AA242" s="44">
        <f t="shared" si="240"/>
        <v>0</v>
      </c>
    </row>
    <row r="243" spans="1:28" hidden="1">
      <c r="A243" s="595" t="s">
        <v>904</v>
      </c>
      <c r="B243" s="595">
        <v>70000</v>
      </c>
      <c r="C243" s="595" t="s">
        <v>747</v>
      </c>
      <c r="D243" s="8" t="str">
        <f t="shared" si="225"/>
        <v>Grants &amp; Procurement Officer</v>
      </c>
      <c r="E243" s="115">
        <f>'LOE Breakdown by Year'!F39</f>
        <v>0</v>
      </c>
      <c r="F243" s="50" t="s">
        <v>100</v>
      </c>
      <c r="G243" s="44">
        <f t="shared" si="241"/>
        <v>2</v>
      </c>
      <c r="H243" s="44">
        <f t="shared" si="241"/>
        <v>1000</v>
      </c>
      <c r="I243" s="44">
        <f t="shared" si="233"/>
        <v>0</v>
      </c>
      <c r="J243" s="115">
        <f>'LOE Breakdown by Year'!F85</f>
        <v>0</v>
      </c>
      <c r="K243" s="44">
        <f t="shared" si="227"/>
        <v>12</v>
      </c>
      <c r="L243" s="44">
        <f t="shared" si="234"/>
        <v>0</v>
      </c>
      <c r="M243" s="115">
        <f>'LOE Breakdown by Year'!F131</f>
        <v>0</v>
      </c>
      <c r="N243" s="44">
        <f t="shared" si="228"/>
        <v>12</v>
      </c>
      <c r="O243" s="44">
        <f t="shared" si="235"/>
        <v>0</v>
      </c>
      <c r="P243" s="115">
        <f>'LOE Breakdown by Year'!F177</f>
        <v>0</v>
      </c>
      <c r="Q243" s="44">
        <f t="shared" si="229"/>
        <v>12</v>
      </c>
      <c r="R243" s="44">
        <f t="shared" si="236"/>
        <v>0</v>
      </c>
      <c r="S243" s="115">
        <f>'LOE Breakdown by Year'!F223</f>
        <v>0</v>
      </c>
      <c r="T243" s="44">
        <f t="shared" si="230"/>
        <v>12</v>
      </c>
      <c r="U243" s="44">
        <f t="shared" si="237"/>
        <v>0</v>
      </c>
      <c r="V243" s="115">
        <f>'LOE Breakdown by Year'!F269</f>
        <v>0</v>
      </c>
      <c r="W243" s="44">
        <f t="shared" si="231"/>
        <v>3</v>
      </c>
      <c r="X243" s="44">
        <f t="shared" si="238"/>
        <v>0</v>
      </c>
      <c r="Y243" s="44">
        <f t="shared" si="239"/>
        <v>0</v>
      </c>
      <c r="Z243" s="44">
        <v>0</v>
      </c>
      <c r="AA243" s="44">
        <f t="shared" si="240"/>
        <v>0</v>
      </c>
    </row>
    <row r="244" spans="1:28" hidden="1">
      <c r="A244" s="595" t="s">
        <v>905</v>
      </c>
      <c r="B244" s="595">
        <v>70000</v>
      </c>
      <c r="C244" s="595" t="s">
        <v>747</v>
      </c>
      <c r="D244" s="8" t="str">
        <f t="shared" si="225"/>
        <v>Finance Officer</v>
      </c>
      <c r="E244" s="115">
        <f>'LOE Breakdown by Year'!F40</f>
        <v>0</v>
      </c>
      <c r="F244" s="50" t="s">
        <v>100</v>
      </c>
      <c r="G244" s="44">
        <f t="shared" si="241"/>
        <v>9</v>
      </c>
      <c r="H244" s="44">
        <f t="shared" si="241"/>
        <v>1250</v>
      </c>
      <c r="I244" s="44">
        <f t="shared" si="233"/>
        <v>0</v>
      </c>
      <c r="J244" s="115">
        <f>'LOE Breakdown by Year'!F86</f>
        <v>0</v>
      </c>
      <c r="K244" s="44">
        <f t="shared" si="227"/>
        <v>12</v>
      </c>
      <c r="L244" s="44">
        <f t="shared" si="234"/>
        <v>0</v>
      </c>
      <c r="M244" s="115">
        <f>'LOE Breakdown by Year'!F132</f>
        <v>0</v>
      </c>
      <c r="N244" s="44">
        <f t="shared" si="228"/>
        <v>12</v>
      </c>
      <c r="O244" s="44">
        <f t="shared" si="235"/>
        <v>0</v>
      </c>
      <c r="P244" s="115">
        <f>'LOE Breakdown by Year'!F178</f>
        <v>0</v>
      </c>
      <c r="Q244" s="44">
        <f t="shared" si="229"/>
        <v>12</v>
      </c>
      <c r="R244" s="44">
        <f t="shared" si="236"/>
        <v>0</v>
      </c>
      <c r="S244" s="115">
        <f>'LOE Breakdown by Year'!F224</f>
        <v>0</v>
      </c>
      <c r="T244" s="44">
        <f t="shared" si="230"/>
        <v>12</v>
      </c>
      <c r="U244" s="44">
        <f t="shared" si="237"/>
        <v>0</v>
      </c>
      <c r="V244" s="115">
        <f>'LOE Breakdown by Year'!F270</f>
        <v>0</v>
      </c>
      <c r="W244" s="44">
        <f t="shared" si="231"/>
        <v>11</v>
      </c>
      <c r="X244" s="44">
        <f t="shared" si="238"/>
        <v>0</v>
      </c>
      <c r="Y244" s="44">
        <f t="shared" si="239"/>
        <v>0</v>
      </c>
      <c r="Z244" s="44">
        <v>0</v>
      </c>
      <c r="AA244" s="44">
        <f t="shared" si="240"/>
        <v>0</v>
      </c>
    </row>
    <row r="245" spans="1:28" hidden="1">
      <c r="A245" s="595" t="s">
        <v>906</v>
      </c>
      <c r="B245" s="595">
        <v>70000</v>
      </c>
      <c r="C245" s="595" t="s">
        <v>747</v>
      </c>
      <c r="D245" s="8" t="str">
        <f t="shared" si="225"/>
        <v>Accountant</v>
      </c>
      <c r="E245" s="115">
        <f>'LOE Breakdown by Year'!F41</f>
        <v>0</v>
      </c>
      <c r="F245" s="50" t="s">
        <v>100</v>
      </c>
      <c r="G245" s="44">
        <f t="shared" si="241"/>
        <v>3</v>
      </c>
      <c r="H245" s="44">
        <f t="shared" si="241"/>
        <v>1000</v>
      </c>
      <c r="I245" s="44">
        <f t="shared" si="233"/>
        <v>0</v>
      </c>
      <c r="J245" s="115">
        <f>'LOE Breakdown by Year'!F87</f>
        <v>0</v>
      </c>
      <c r="K245" s="44">
        <f t="shared" si="227"/>
        <v>12</v>
      </c>
      <c r="L245" s="44">
        <f t="shared" si="234"/>
        <v>0</v>
      </c>
      <c r="M245" s="115">
        <f>'LOE Breakdown by Year'!F133</f>
        <v>0</v>
      </c>
      <c r="N245" s="44">
        <f t="shared" si="228"/>
        <v>12</v>
      </c>
      <c r="O245" s="44">
        <f t="shared" si="235"/>
        <v>0</v>
      </c>
      <c r="P245" s="115">
        <f>'LOE Breakdown by Year'!F179</f>
        <v>0</v>
      </c>
      <c r="Q245" s="44">
        <f t="shared" si="229"/>
        <v>12</v>
      </c>
      <c r="R245" s="44">
        <f t="shared" si="236"/>
        <v>0</v>
      </c>
      <c r="S245" s="115">
        <f>'LOE Breakdown by Year'!F225</f>
        <v>0</v>
      </c>
      <c r="T245" s="44">
        <f t="shared" si="230"/>
        <v>12</v>
      </c>
      <c r="U245" s="44">
        <f t="shared" si="237"/>
        <v>0</v>
      </c>
      <c r="V245" s="115">
        <f>'LOE Breakdown by Year'!F271</f>
        <v>0</v>
      </c>
      <c r="W245" s="44">
        <f t="shared" si="231"/>
        <v>9</v>
      </c>
      <c r="X245" s="44">
        <f t="shared" si="238"/>
        <v>0</v>
      </c>
      <c r="Y245" s="44">
        <f t="shared" si="239"/>
        <v>0</v>
      </c>
      <c r="Z245" s="44">
        <v>0</v>
      </c>
      <c r="AA245" s="44">
        <f t="shared" si="240"/>
        <v>0</v>
      </c>
    </row>
    <row r="246" spans="1:28" hidden="1">
      <c r="A246" s="595" t="s">
        <v>907</v>
      </c>
      <c r="B246" s="595">
        <v>70000</v>
      </c>
      <c r="C246" s="595" t="s">
        <v>747</v>
      </c>
      <c r="D246" s="8" t="str">
        <f t="shared" si="225"/>
        <v>Operation &amp; HR Manager</v>
      </c>
      <c r="E246" s="115">
        <f>'LOE Breakdown by Year'!F42</f>
        <v>0</v>
      </c>
      <c r="F246" s="50" t="s">
        <v>100</v>
      </c>
      <c r="G246" s="44">
        <f t="shared" si="241"/>
        <v>9</v>
      </c>
      <c r="H246" s="44">
        <f t="shared" si="241"/>
        <v>1800</v>
      </c>
      <c r="I246" s="44">
        <f t="shared" si="233"/>
        <v>0</v>
      </c>
      <c r="J246" s="115">
        <f>'LOE Breakdown by Year'!F88</f>
        <v>0</v>
      </c>
      <c r="K246" s="44">
        <f t="shared" si="227"/>
        <v>12</v>
      </c>
      <c r="L246" s="44">
        <f t="shared" si="234"/>
        <v>0</v>
      </c>
      <c r="M246" s="115">
        <f>'LOE Breakdown by Year'!F134</f>
        <v>0</v>
      </c>
      <c r="N246" s="44">
        <f t="shared" si="228"/>
        <v>12</v>
      </c>
      <c r="O246" s="44">
        <f t="shared" si="235"/>
        <v>0</v>
      </c>
      <c r="P246" s="115">
        <f>'LOE Breakdown by Year'!F180</f>
        <v>0</v>
      </c>
      <c r="Q246" s="44">
        <f t="shared" si="229"/>
        <v>12</v>
      </c>
      <c r="R246" s="44">
        <f t="shared" si="236"/>
        <v>0</v>
      </c>
      <c r="S246" s="115">
        <f>'LOE Breakdown by Year'!F226</f>
        <v>0</v>
      </c>
      <c r="T246" s="44">
        <f t="shared" si="230"/>
        <v>12</v>
      </c>
      <c r="U246" s="44">
        <f t="shared" si="237"/>
        <v>0</v>
      </c>
      <c r="V246" s="115">
        <f>'LOE Breakdown by Year'!F272</f>
        <v>0</v>
      </c>
      <c r="W246" s="44">
        <f t="shared" si="231"/>
        <v>11</v>
      </c>
      <c r="X246" s="44">
        <f t="shared" si="238"/>
        <v>0</v>
      </c>
      <c r="Y246" s="44">
        <f t="shared" si="239"/>
        <v>0</v>
      </c>
      <c r="Z246" s="44">
        <v>0</v>
      </c>
      <c r="AA246" s="44">
        <f t="shared" si="240"/>
        <v>0</v>
      </c>
    </row>
    <row r="247" spans="1:28" hidden="1">
      <c r="A247" s="595" t="s">
        <v>908</v>
      </c>
      <c r="B247" s="595">
        <v>70000</v>
      </c>
      <c r="C247" s="595" t="s">
        <v>747</v>
      </c>
      <c r="D247" s="8" t="str">
        <f t="shared" si="225"/>
        <v>Administrative Assistant - (2 Individuals)</v>
      </c>
      <c r="E247" s="115">
        <f>'LOE Breakdown by Year'!F43</f>
        <v>0</v>
      </c>
      <c r="F247" s="50" t="s">
        <v>100</v>
      </c>
      <c r="G247" s="44">
        <f t="shared" si="241"/>
        <v>6</v>
      </c>
      <c r="H247" s="44">
        <f t="shared" si="241"/>
        <v>750</v>
      </c>
      <c r="I247" s="44">
        <f t="shared" si="233"/>
        <v>0</v>
      </c>
      <c r="J247" s="115">
        <f>'LOE Breakdown by Year'!F89</f>
        <v>0</v>
      </c>
      <c r="K247" s="44">
        <f t="shared" si="227"/>
        <v>24</v>
      </c>
      <c r="L247" s="44">
        <f t="shared" si="234"/>
        <v>0</v>
      </c>
      <c r="M247" s="115">
        <f>'LOE Breakdown by Year'!F135</f>
        <v>0</v>
      </c>
      <c r="N247" s="44">
        <f t="shared" si="228"/>
        <v>24</v>
      </c>
      <c r="O247" s="44">
        <f t="shared" si="235"/>
        <v>0</v>
      </c>
      <c r="P247" s="115">
        <f>'LOE Breakdown by Year'!F181</f>
        <v>0</v>
      </c>
      <c r="Q247" s="44">
        <f t="shared" si="229"/>
        <v>24</v>
      </c>
      <c r="R247" s="44">
        <f t="shared" si="236"/>
        <v>0</v>
      </c>
      <c r="S247" s="115">
        <f>'LOE Breakdown by Year'!F227</f>
        <v>0</v>
      </c>
      <c r="T247" s="44">
        <f t="shared" si="230"/>
        <v>24</v>
      </c>
      <c r="U247" s="44">
        <f t="shared" si="237"/>
        <v>0</v>
      </c>
      <c r="V247" s="115">
        <f>'LOE Breakdown by Year'!F273</f>
        <v>0</v>
      </c>
      <c r="W247" s="44">
        <f t="shared" si="231"/>
        <v>10</v>
      </c>
      <c r="X247" s="44">
        <f t="shared" si="238"/>
        <v>0</v>
      </c>
      <c r="Y247" s="44">
        <f t="shared" si="239"/>
        <v>0</v>
      </c>
      <c r="Z247" s="44">
        <v>0</v>
      </c>
      <c r="AA247" s="44">
        <f t="shared" si="240"/>
        <v>0</v>
      </c>
    </row>
    <row r="248" spans="1:28" hidden="1">
      <c r="A248" s="595" t="s">
        <v>909</v>
      </c>
      <c r="B248" s="595">
        <v>70000</v>
      </c>
      <c r="C248" s="595" t="s">
        <v>747</v>
      </c>
      <c r="D248" s="8" t="str">
        <f t="shared" si="225"/>
        <v>Driver - (2 Individuals)</v>
      </c>
      <c r="E248" s="115">
        <f>'LOE Breakdown by Year'!F44</f>
        <v>0</v>
      </c>
      <c r="F248" s="50" t="s">
        <v>100</v>
      </c>
      <c r="G248" s="44">
        <f t="shared" si="241"/>
        <v>6</v>
      </c>
      <c r="H248" s="44">
        <f t="shared" si="241"/>
        <v>500</v>
      </c>
      <c r="I248" s="44">
        <f t="shared" si="233"/>
        <v>0</v>
      </c>
      <c r="J248" s="115">
        <f>'LOE Breakdown by Year'!F90</f>
        <v>0</v>
      </c>
      <c r="K248" s="44">
        <f t="shared" si="227"/>
        <v>24</v>
      </c>
      <c r="L248" s="44">
        <f t="shared" si="234"/>
        <v>0</v>
      </c>
      <c r="M248" s="115">
        <f>'LOE Breakdown by Year'!F136</f>
        <v>0</v>
      </c>
      <c r="N248" s="44">
        <f t="shared" si="228"/>
        <v>24</v>
      </c>
      <c r="O248" s="44">
        <f t="shared" si="235"/>
        <v>0</v>
      </c>
      <c r="P248" s="115">
        <f>'LOE Breakdown by Year'!F182</f>
        <v>0</v>
      </c>
      <c r="Q248" s="44">
        <f t="shared" si="229"/>
        <v>24</v>
      </c>
      <c r="R248" s="44">
        <f t="shared" si="236"/>
        <v>0</v>
      </c>
      <c r="S248" s="115">
        <f>'LOE Breakdown by Year'!F228</f>
        <v>0</v>
      </c>
      <c r="T248" s="44">
        <f t="shared" si="230"/>
        <v>24</v>
      </c>
      <c r="U248" s="44">
        <f t="shared" si="237"/>
        <v>0</v>
      </c>
      <c r="V248" s="115">
        <f>'LOE Breakdown by Year'!F274</f>
        <v>0</v>
      </c>
      <c r="W248" s="44">
        <f t="shared" si="231"/>
        <v>18</v>
      </c>
      <c r="X248" s="44">
        <f t="shared" si="238"/>
        <v>0</v>
      </c>
      <c r="Y248" s="44">
        <f t="shared" si="239"/>
        <v>0</v>
      </c>
      <c r="Z248" s="44">
        <v>0</v>
      </c>
      <c r="AA248" s="44">
        <f t="shared" si="240"/>
        <v>0</v>
      </c>
    </row>
    <row r="249" spans="1:28">
      <c r="A249" s="607"/>
      <c r="B249" s="607"/>
      <c r="C249" s="607"/>
      <c r="D249" s="41" t="s">
        <v>250</v>
      </c>
      <c r="E249" s="127"/>
      <c r="F249" s="46"/>
      <c r="G249" s="47"/>
      <c r="H249" s="47"/>
      <c r="I249" s="48">
        <f>SUM(I215:I248)</f>
        <v>8825</v>
      </c>
      <c r="J249" s="127"/>
      <c r="K249" s="48"/>
      <c r="L249" s="48">
        <f>SUM(L215:L248)</f>
        <v>14595</v>
      </c>
      <c r="M249" s="127"/>
      <c r="N249" s="48"/>
      <c r="O249" s="48">
        <f>SUM(O215:O248)</f>
        <v>15324.75</v>
      </c>
      <c r="P249" s="127"/>
      <c r="Q249" s="48"/>
      <c r="R249" s="48">
        <f>SUM(R215:R248)</f>
        <v>16090.987499999999</v>
      </c>
      <c r="S249" s="127"/>
      <c r="T249" s="48"/>
      <c r="U249" s="48">
        <f>SUM(U215:U248)</f>
        <v>16895.536875000002</v>
      </c>
      <c r="V249" s="127"/>
      <c r="W249" s="48"/>
      <c r="X249" s="48">
        <f>SUM(X215:X248)</f>
        <v>8317.1015156250014</v>
      </c>
      <c r="Y249" s="48">
        <f>SUM(Y215:Y248)</f>
        <v>80048.375890625</v>
      </c>
      <c r="Z249" s="48">
        <f>SUM(Z215:Z248)</f>
        <v>0</v>
      </c>
      <c r="AA249" s="48">
        <f>SUM(AA215:AA248)</f>
        <v>80048.375890625</v>
      </c>
    </row>
    <row r="250" spans="1:28">
      <c r="A250" s="608"/>
      <c r="B250" s="608"/>
      <c r="C250" s="608"/>
      <c r="D250" s="100"/>
      <c r="E250" s="128"/>
      <c r="F250" s="81"/>
      <c r="G250" s="63"/>
      <c r="H250" s="63"/>
      <c r="I250" s="63"/>
      <c r="J250" s="128"/>
      <c r="K250" s="63"/>
      <c r="L250" s="63"/>
      <c r="M250" s="128"/>
      <c r="N250" s="63"/>
      <c r="O250" s="63"/>
      <c r="P250" s="128"/>
      <c r="Q250" s="63"/>
      <c r="R250" s="63"/>
      <c r="S250" s="128"/>
      <c r="T250" s="63"/>
      <c r="U250" s="63"/>
      <c r="V250" s="128"/>
      <c r="W250" s="63"/>
      <c r="X250" s="63"/>
      <c r="Y250" s="63"/>
      <c r="Z250" s="63"/>
      <c r="AA250" s="63"/>
    </row>
    <row r="251" spans="1:28">
      <c r="A251" s="607"/>
      <c r="B251" s="607"/>
      <c r="C251" s="607"/>
      <c r="D251" s="41" t="s">
        <v>251</v>
      </c>
      <c r="E251" s="127"/>
      <c r="F251" s="46"/>
      <c r="G251" s="47"/>
      <c r="H251" s="47"/>
      <c r="I251" s="48"/>
      <c r="J251" s="127"/>
      <c r="K251" s="48"/>
      <c r="L251" s="48"/>
      <c r="M251" s="127"/>
      <c r="N251" s="48"/>
      <c r="O251" s="48"/>
      <c r="P251" s="127"/>
      <c r="Q251" s="48"/>
      <c r="R251" s="48"/>
      <c r="S251" s="127"/>
      <c r="T251" s="48"/>
      <c r="U251" s="48"/>
      <c r="V251" s="127"/>
      <c r="W251" s="48"/>
      <c r="X251" s="48"/>
      <c r="Y251" s="48"/>
      <c r="Z251" s="48"/>
      <c r="AA251" s="48"/>
    </row>
    <row r="252" spans="1:28">
      <c r="A252" s="591" t="s">
        <v>865</v>
      </c>
      <c r="B252" s="591" t="s">
        <v>791</v>
      </c>
      <c r="C252" s="591" t="s">
        <v>747</v>
      </c>
      <c r="D252" s="8" t="str">
        <f>D56</f>
        <v>Fringe Benefits CCN - Honduras</v>
      </c>
      <c r="E252" s="116"/>
      <c r="F252" s="82" t="str">
        <f>F56</f>
        <v>%</v>
      </c>
      <c r="G252" s="44">
        <f>G56</f>
        <v>0</v>
      </c>
      <c r="H252" s="60">
        <f>H56</f>
        <v>0.48259999999999997</v>
      </c>
      <c r="I252" s="44">
        <f>(SUM(I215:I248))*$H$252</f>
        <v>4258.9449999999997</v>
      </c>
      <c r="J252" s="116"/>
      <c r="K252" s="44">
        <f>K56</f>
        <v>0</v>
      </c>
      <c r="L252" s="44">
        <f>(SUM(L215:L248))*$H$252</f>
        <v>7043.5469999999996</v>
      </c>
      <c r="M252" s="116"/>
      <c r="N252" s="44">
        <f>N56</f>
        <v>0</v>
      </c>
      <c r="O252" s="44">
        <f>(SUM(O215:O248))*$H$252</f>
        <v>7395.7243499999995</v>
      </c>
      <c r="P252" s="116"/>
      <c r="Q252" s="44">
        <f>Q56</f>
        <v>0</v>
      </c>
      <c r="R252" s="44">
        <f>(SUM(R215:R248))*$H$252</f>
        <v>7765.5105674999995</v>
      </c>
      <c r="S252" s="116"/>
      <c r="T252" s="44">
        <f>T56</f>
        <v>0</v>
      </c>
      <c r="U252" s="44">
        <f>(SUM(U215:U248))*$H$252</f>
        <v>8153.7860958750007</v>
      </c>
      <c r="V252" s="116"/>
      <c r="W252" s="44">
        <f>W56</f>
        <v>0</v>
      </c>
      <c r="X252" s="44">
        <f>(SUM(X215:X248))*$H$252</f>
        <v>4013.8331914406253</v>
      </c>
      <c r="Y252" s="44">
        <f t="shared" ref="Y252" si="242">SUM(R252,O252,L252,I252,U252,X252)</f>
        <v>38631.346204815622</v>
      </c>
      <c r="Z252" s="63">
        <v>0</v>
      </c>
      <c r="AA252" s="44">
        <f>SUM(Y252:Z252)</f>
        <v>38631.346204815622</v>
      </c>
    </row>
    <row r="253" spans="1:28">
      <c r="A253" s="607"/>
      <c r="B253" s="607"/>
      <c r="C253" s="607"/>
      <c r="D253" s="41" t="s">
        <v>252</v>
      </c>
      <c r="E253" s="127"/>
      <c r="F253" s="46"/>
      <c r="G253" s="47"/>
      <c r="H253" s="47"/>
      <c r="I253" s="48">
        <f>SUM(I252:I252)</f>
        <v>4258.9449999999997</v>
      </c>
      <c r="J253" s="127"/>
      <c r="K253" s="48"/>
      <c r="L253" s="48">
        <f>SUM(L252:L252)</f>
        <v>7043.5469999999996</v>
      </c>
      <c r="M253" s="127"/>
      <c r="N253" s="48"/>
      <c r="O253" s="48">
        <f>SUM(O252:O252)</f>
        <v>7395.7243499999995</v>
      </c>
      <c r="P253" s="127"/>
      <c r="Q253" s="48"/>
      <c r="R253" s="48">
        <f>SUM(R252:R252)</f>
        <v>7765.5105674999995</v>
      </c>
      <c r="S253" s="127"/>
      <c r="T253" s="48"/>
      <c r="U253" s="48">
        <f>SUM(U252:U252)</f>
        <v>8153.7860958750007</v>
      </c>
      <c r="V253" s="127"/>
      <c r="W253" s="48"/>
      <c r="X253" s="48">
        <f>SUM(X252:X252)</f>
        <v>4013.8331914406253</v>
      </c>
      <c r="Y253" s="48">
        <f>SUM(Y252:Y252)</f>
        <v>38631.346204815622</v>
      </c>
      <c r="Z253" s="48">
        <f>SUM(Z252:Z252)</f>
        <v>0</v>
      </c>
      <c r="AA253" s="48">
        <f>SUM(AA252:AA252)</f>
        <v>38631.346204815622</v>
      </c>
    </row>
    <row r="254" spans="1:28">
      <c r="A254" s="608"/>
      <c r="B254" s="608"/>
      <c r="C254" s="608"/>
      <c r="D254" s="100"/>
      <c r="E254" s="128"/>
      <c r="F254" s="81"/>
      <c r="G254" s="63"/>
      <c r="H254" s="63"/>
      <c r="I254" s="63"/>
      <c r="J254" s="128"/>
      <c r="K254" s="63"/>
      <c r="L254" s="63"/>
      <c r="M254" s="128"/>
      <c r="N254" s="63"/>
      <c r="O254" s="63"/>
      <c r="P254" s="128"/>
      <c r="Q254" s="63"/>
      <c r="R254" s="63"/>
      <c r="S254" s="128"/>
      <c r="T254" s="63"/>
      <c r="U254" s="63"/>
      <c r="V254" s="128"/>
      <c r="W254" s="63"/>
      <c r="X254" s="63"/>
      <c r="Y254" s="63"/>
      <c r="Z254" s="63"/>
      <c r="AA254" s="63"/>
    </row>
    <row r="255" spans="1:28">
      <c r="A255" s="607"/>
      <c r="B255" s="607"/>
      <c r="C255" s="607"/>
      <c r="D255" s="41" t="s">
        <v>253</v>
      </c>
      <c r="E255" s="127"/>
      <c r="F255" s="46"/>
      <c r="G255" s="47"/>
      <c r="H255" s="47"/>
      <c r="I255" s="47"/>
      <c r="J255" s="127"/>
      <c r="K255" s="47"/>
      <c r="L255" s="47"/>
      <c r="M255" s="127"/>
      <c r="N255" s="47"/>
      <c r="O255" s="47"/>
      <c r="P255" s="127"/>
      <c r="Q255" s="47"/>
      <c r="R255" s="47"/>
      <c r="S255" s="127"/>
      <c r="T255" s="47"/>
      <c r="U255" s="47"/>
      <c r="V255" s="127"/>
      <c r="W255" s="47"/>
      <c r="X255" s="47"/>
      <c r="Y255" s="47"/>
      <c r="Z255" s="47"/>
      <c r="AA255" s="47"/>
    </row>
    <row r="256" spans="1:28">
      <c r="A256" s="591" t="s">
        <v>1275</v>
      </c>
      <c r="B256" s="591">
        <v>82420</v>
      </c>
      <c r="C256" s="595" t="s">
        <v>747</v>
      </c>
      <c r="D256" s="8" t="s">
        <v>254</v>
      </c>
      <c r="E256" s="120"/>
      <c r="F256" s="50" t="s">
        <v>255</v>
      </c>
      <c r="G256" s="44">
        <f>31146/4</f>
        <v>7786.5</v>
      </c>
      <c r="H256" s="44">
        <v>4</v>
      </c>
      <c r="I256" s="44">
        <f>G256*H256</f>
        <v>31146</v>
      </c>
      <c r="J256" s="120"/>
      <c r="K256" s="44">
        <f>G256</f>
        <v>7786.5</v>
      </c>
      <c r="L256" s="44">
        <f>K256*H256</f>
        <v>31146</v>
      </c>
      <c r="M256" s="120"/>
      <c r="N256" s="44">
        <f>G256</f>
        <v>7786.5</v>
      </c>
      <c r="O256" s="44">
        <f>N256*H256</f>
        <v>31146</v>
      </c>
      <c r="P256" s="120"/>
      <c r="Q256" s="44">
        <f>G256</f>
        <v>7786.5</v>
      </c>
      <c r="R256" s="44">
        <f>Q256*H256</f>
        <v>31146</v>
      </c>
      <c r="S256" s="120"/>
      <c r="T256" s="44">
        <v>0</v>
      </c>
      <c r="U256" s="44">
        <f>T256*K256</f>
        <v>0</v>
      </c>
      <c r="V256" s="120"/>
      <c r="W256" s="44">
        <v>0</v>
      </c>
      <c r="X256" s="44">
        <f>W256*N256</f>
        <v>0</v>
      </c>
      <c r="Y256" s="44">
        <f t="shared" ref="Y256:Y259" si="243">SUM(R256,O256,L256,I256,U256,X256)</f>
        <v>124584</v>
      </c>
      <c r="Z256" s="44">
        <v>0</v>
      </c>
      <c r="AA256" s="44">
        <f>Y256+Z256</f>
        <v>124584</v>
      </c>
      <c r="AB256" s="222"/>
    </row>
    <row r="257" spans="1:30">
      <c r="A257" s="591" t="s">
        <v>1275</v>
      </c>
      <c r="B257" s="591">
        <v>82420</v>
      </c>
      <c r="C257" s="595" t="s">
        <v>747</v>
      </c>
      <c r="D257" s="8" t="s">
        <v>256</v>
      </c>
      <c r="E257" s="120"/>
      <c r="F257" s="50" t="s">
        <v>255</v>
      </c>
      <c r="G257" s="44">
        <v>10250</v>
      </c>
      <c r="H257" s="44">
        <v>1</v>
      </c>
      <c r="I257" s="44">
        <f>G257*H257</f>
        <v>10250</v>
      </c>
      <c r="J257" s="120"/>
      <c r="K257" s="44">
        <v>10250</v>
      </c>
      <c r="L257" s="44">
        <f>K257*H257</f>
        <v>10250</v>
      </c>
      <c r="M257" s="120"/>
      <c r="N257" s="44">
        <v>10250</v>
      </c>
      <c r="O257" s="44">
        <f>N257*H257</f>
        <v>10250</v>
      </c>
      <c r="P257" s="120"/>
      <c r="Q257" s="44">
        <v>10250</v>
      </c>
      <c r="R257" s="44">
        <f>Q257*H257</f>
        <v>10250</v>
      </c>
      <c r="S257" s="120"/>
      <c r="T257" s="44">
        <v>0</v>
      </c>
      <c r="U257" s="44">
        <f t="shared" ref="U257:U258" si="244">T257*K257</f>
        <v>0</v>
      </c>
      <c r="V257" s="120"/>
      <c r="W257" s="44">
        <v>0</v>
      </c>
      <c r="X257" s="44">
        <f t="shared" ref="X257:X259" si="245">W257*N257</f>
        <v>0</v>
      </c>
      <c r="Y257" s="44">
        <f t="shared" si="243"/>
        <v>41000</v>
      </c>
      <c r="Z257" s="44">
        <v>0</v>
      </c>
      <c r="AA257" s="44">
        <f>Y257+Z257</f>
        <v>41000</v>
      </c>
    </row>
    <row r="258" spans="1:30">
      <c r="A258" s="591" t="s">
        <v>1275</v>
      </c>
      <c r="B258" s="591">
        <v>82420</v>
      </c>
      <c r="C258" s="595" t="s">
        <v>747</v>
      </c>
      <c r="D258" s="8" t="s">
        <v>257</v>
      </c>
      <c r="E258" s="120"/>
      <c r="F258" s="50" t="s">
        <v>255</v>
      </c>
      <c r="G258" s="44">
        <v>0</v>
      </c>
      <c r="H258" s="44">
        <v>2</v>
      </c>
      <c r="I258" s="44">
        <f>G258*H258</f>
        <v>0</v>
      </c>
      <c r="J258" s="120"/>
      <c r="K258" s="44">
        <v>31367</v>
      </c>
      <c r="L258" s="44">
        <f>K258*H258</f>
        <v>62734</v>
      </c>
      <c r="M258" s="120"/>
      <c r="N258" s="44">
        <v>0</v>
      </c>
      <c r="O258" s="44">
        <f>N258*H258</f>
        <v>0</v>
      </c>
      <c r="P258" s="120"/>
      <c r="Q258" s="44">
        <v>0</v>
      </c>
      <c r="R258" s="44">
        <f>Q258*H258</f>
        <v>0</v>
      </c>
      <c r="S258" s="120"/>
      <c r="T258" s="44">
        <v>0</v>
      </c>
      <c r="U258" s="44">
        <f t="shared" si="244"/>
        <v>0</v>
      </c>
      <c r="V258" s="120"/>
      <c r="W258" s="44">
        <v>0</v>
      </c>
      <c r="X258" s="44">
        <f t="shared" si="245"/>
        <v>0</v>
      </c>
      <c r="Y258" s="44">
        <f t="shared" si="243"/>
        <v>62734</v>
      </c>
      <c r="Z258" s="44">
        <v>0</v>
      </c>
      <c r="AA258" s="44">
        <f>Y258+Z258</f>
        <v>62734</v>
      </c>
    </row>
    <row r="259" spans="1:30">
      <c r="A259" s="591" t="s">
        <v>1275</v>
      </c>
      <c r="B259" s="591">
        <v>82420</v>
      </c>
      <c r="C259" s="595" t="s">
        <v>747</v>
      </c>
      <c r="D259" s="8" t="s">
        <v>258</v>
      </c>
      <c r="E259" s="120"/>
      <c r="F259" s="50" t="s">
        <v>259</v>
      </c>
      <c r="G259" s="44">
        <v>7000</v>
      </c>
      <c r="H259" s="44">
        <v>1</v>
      </c>
      <c r="I259" s="44">
        <f>G259*H259</f>
        <v>7000</v>
      </c>
      <c r="J259" s="120"/>
      <c r="K259" s="44">
        <v>14300</v>
      </c>
      <c r="L259" s="44">
        <f>K259*H259</f>
        <v>14300</v>
      </c>
      <c r="M259" s="120"/>
      <c r="N259" s="44">
        <v>14300</v>
      </c>
      <c r="O259" s="44">
        <f>N259*H259</f>
        <v>14300</v>
      </c>
      <c r="P259" s="120"/>
      <c r="Q259" s="44">
        <v>14300</v>
      </c>
      <c r="R259" s="44">
        <f>Q259*H259</f>
        <v>14300</v>
      </c>
      <c r="S259" s="120"/>
      <c r="T259" s="44">
        <v>0</v>
      </c>
      <c r="U259" s="44">
        <f t="shared" ref="U259" si="246">T259*K259</f>
        <v>0</v>
      </c>
      <c r="V259" s="120"/>
      <c r="W259" s="44">
        <v>0</v>
      </c>
      <c r="X259" s="44">
        <f t="shared" si="245"/>
        <v>0</v>
      </c>
      <c r="Y259" s="44">
        <f t="shared" si="243"/>
        <v>49900</v>
      </c>
      <c r="Z259" s="44">
        <v>0</v>
      </c>
      <c r="AA259" s="44">
        <f>Y259+Z259</f>
        <v>49900</v>
      </c>
    </row>
    <row r="260" spans="1:30">
      <c r="A260" s="607"/>
      <c r="B260" s="607"/>
      <c r="C260" s="607"/>
      <c r="D260" s="41" t="s">
        <v>260</v>
      </c>
      <c r="E260" s="127"/>
      <c r="F260" s="46"/>
      <c r="G260" s="47"/>
      <c r="H260" s="48"/>
      <c r="I260" s="48">
        <f>SUM(I256:I259)</f>
        <v>48396</v>
      </c>
      <c r="J260" s="130"/>
      <c r="K260" s="48"/>
      <c r="L260" s="48">
        <f>SUM(L256:L259)</f>
        <v>118430</v>
      </c>
      <c r="M260" s="130"/>
      <c r="N260" s="48"/>
      <c r="O260" s="48">
        <f>SUM(O256:O259)</f>
        <v>55696</v>
      </c>
      <c r="P260" s="130"/>
      <c r="Q260" s="48"/>
      <c r="R260" s="48">
        <f>SUM(R256:R259)</f>
        <v>55696</v>
      </c>
      <c r="S260" s="130"/>
      <c r="T260" s="48"/>
      <c r="U260" s="48">
        <f>SUM(U256:U259)</f>
        <v>0</v>
      </c>
      <c r="V260" s="130"/>
      <c r="W260" s="48"/>
      <c r="X260" s="48">
        <f>SUM(X256:X259)</f>
        <v>0</v>
      </c>
      <c r="Y260" s="101">
        <f>SUM(Y256:Y259)</f>
        <v>278218</v>
      </c>
      <c r="Z260" s="48">
        <f>SUM(Z256:Z259)</f>
        <v>0</v>
      </c>
      <c r="AA260" s="48">
        <f>SUM(AA256:AA259)</f>
        <v>278218</v>
      </c>
    </row>
    <row r="261" spans="1:30">
      <c r="A261" s="608"/>
      <c r="B261" s="608"/>
      <c r="C261" s="608"/>
      <c r="D261" s="100"/>
      <c r="E261" s="128"/>
      <c r="F261" s="81"/>
      <c r="G261" s="63"/>
      <c r="H261" s="63"/>
      <c r="I261" s="63"/>
      <c r="J261" s="128"/>
      <c r="K261" s="63"/>
      <c r="L261" s="63"/>
      <c r="M261" s="128"/>
      <c r="N261" s="63"/>
      <c r="O261" s="63"/>
      <c r="P261" s="128"/>
      <c r="Q261" s="63"/>
      <c r="R261" s="63"/>
      <c r="S261" s="128"/>
      <c r="T261" s="63"/>
      <c r="U261" s="63"/>
      <c r="V261" s="128"/>
      <c r="W261" s="63"/>
      <c r="X261" s="63"/>
      <c r="Y261" s="63"/>
      <c r="Z261" s="63"/>
      <c r="AA261" s="63"/>
    </row>
    <row r="262" spans="1:30">
      <c r="A262" s="607"/>
      <c r="B262" s="607"/>
      <c r="C262" s="607"/>
      <c r="D262" s="41" t="s">
        <v>261</v>
      </c>
      <c r="E262" s="127"/>
      <c r="F262" s="46"/>
      <c r="G262" s="47"/>
      <c r="H262" s="47"/>
      <c r="I262" s="47"/>
      <c r="J262" s="127"/>
      <c r="K262" s="47"/>
      <c r="L262" s="47"/>
      <c r="M262" s="127"/>
      <c r="N262" s="47"/>
      <c r="O262" s="47"/>
      <c r="P262" s="127"/>
      <c r="Q262" s="47"/>
      <c r="R262" s="47"/>
      <c r="S262" s="127"/>
      <c r="T262" s="47"/>
      <c r="U262" s="47"/>
      <c r="V262" s="127"/>
      <c r="W262" s="47"/>
      <c r="X262" s="47"/>
      <c r="Y262" s="47"/>
      <c r="Z262" s="47"/>
      <c r="AA262" s="47"/>
    </row>
    <row r="263" spans="1:30">
      <c r="A263" s="591" t="s">
        <v>1276</v>
      </c>
      <c r="B263" s="591" t="s">
        <v>1265</v>
      </c>
      <c r="C263" s="591" t="s">
        <v>747</v>
      </c>
      <c r="D263" s="8" t="s">
        <v>160</v>
      </c>
      <c r="F263" s="8" t="s">
        <v>100</v>
      </c>
      <c r="G263" s="44">
        <v>3</v>
      </c>
      <c r="H263" s="237">
        <v>60</v>
      </c>
      <c r="I263" s="44">
        <f>G263*H263</f>
        <v>180</v>
      </c>
      <c r="J263" s="44"/>
      <c r="K263" s="44">
        <v>12</v>
      </c>
      <c r="L263" s="44">
        <f>H263*K263*$E$6</f>
        <v>756</v>
      </c>
      <c r="M263" s="123"/>
      <c r="N263" s="44">
        <v>12</v>
      </c>
      <c r="O263" s="44">
        <f>H263*N263*$E$6*$E$6</f>
        <v>793.80000000000007</v>
      </c>
      <c r="P263" s="123"/>
      <c r="Q263" s="44">
        <v>12</v>
      </c>
      <c r="R263" s="44">
        <f>H263*Q263*$E$6*$E$6*$E$6</f>
        <v>833.49000000000012</v>
      </c>
      <c r="S263" s="123"/>
      <c r="T263" s="44">
        <v>12</v>
      </c>
      <c r="U263" s="44">
        <f>H263*T263*$E$6*$E$6*$E$6*$E$6</f>
        <v>875.1645000000002</v>
      </c>
      <c r="V263" s="123"/>
      <c r="W263" s="44">
        <v>9</v>
      </c>
      <c r="X263" s="44">
        <f>W263*H263*$E$6*$E$6*$E$6*$E$6*$E$6</f>
        <v>689.19204375000015</v>
      </c>
      <c r="Y263" s="44">
        <f>SUM(R263,O263,L263,I263,U263,X263)</f>
        <v>4127.6465437500001</v>
      </c>
      <c r="Z263" s="44" t="s">
        <v>149</v>
      </c>
      <c r="AA263" s="44">
        <f>SUM(Y263:Z263)</f>
        <v>4127.6465437500001</v>
      </c>
    </row>
    <row r="264" spans="1:30">
      <c r="A264" s="591" t="s">
        <v>1262</v>
      </c>
      <c r="B264" s="591" t="s">
        <v>1265</v>
      </c>
      <c r="C264" s="591" t="s">
        <v>747</v>
      </c>
      <c r="D264" s="8" t="s">
        <v>262</v>
      </c>
      <c r="F264" s="8" t="s">
        <v>148</v>
      </c>
      <c r="G264" s="44">
        <v>2</v>
      </c>
      <c r="H264" s="44">
        <v>35</v>
      </c>
      <c r="I264" s="44">
        <f>G264*H264</f>
        <v>70</v>
      </c>
      <c r="J264" s="123"/>
      <c r="K264" s="44">
        <v>2</v>
      </c>
      <c r="L264" s="44">
        <f t="shared" ref="L264:L265" si="247">H264*K264*$E$6</f>
        <v>73.5</v>
      </c>
      <c r="M264" s="123"/>
      <c r="N264" s="44">
        <v>2</v>
      </c>
      <c r="O264" s="44">
        <f t="shared" ref="O264:O265" si="248">H264*N264*$E$6*$E$6</f>
        <v>77.174999999999997</v>
      </c>
      <c r="P264" s="123"/>
      <c r="Q264" s="44">
        <v>2</v>
      </c>
      <c r="R264" s="44">
        <f t="shared" ref="R264:R265" si="249">H264*Q264*$E$6*$E$6*$E$6</f>
        <v>81.033749999999998</v>
      </c>
      <c r="S264" s="123"/>
      <c r="T264" s="44">
        <v>2</v>
      </c>
      <c r="U264" s="44">
        <f t="shared" ref="U264:U265" si="250">T264*H264*$E$6*$E$6*$E$6*$E$6</f>
        <v>85.085437499999998</v>
      </c>
      <c r="V264" s="123"/>
      <c r="W264" s="44">
        <v>2</v>
      </c>
      <c r="X264" s="44">
        <f>W264*H264*$E$6*$E$6*$E$6*$E$6*$E$6</f>
        <v>89.339709374999998</v>
      </c>
      <c r="Y264" s="44">
        <f>SUM(R264,O264,L264,I264,U264,X264)</f>
        <v>476.133896875</v>
      </c>
      <c r="Z264" s="44" t="s">
        <v>149</v>
      </c>
      <c r="AA264" s="44">
        <f>SUM(Y264:Z264)</f>
        <v>476.133896875</v>
      </c>
    </row>
    <row r="265" spans="1:30" ht="25.2">
      <c r="A265" s="591" t="s">
        <v>1262</v>
      </c>
      <c r="B265" s="45" t="s">
        <v>794</v>
      </c>
      <c r="C265" s="591" t="s">
        <v>747</v>
      </c>
      <c r="D265" s="8" t="s">
        <v>263</v>
      </c>
      <c r="F265" s="8" t="s">
        <v>151</v>
      </c>
      <c r="G265" s="44">
        <f>2*G264</f>
        <v>4</v>
      </c>
      <c r="H265" s="44">
        <f xml:space="preserve"> 75 +  + (0.5*80)</f>
        <v>115</v>
      </c>
      <c r="I265" s="44">
        <f>G265*H265</f>
        <v>460</v>
      </c>
      <c r="J265" s="123"/>
      <c r="K265" s="44">
        <f>2*K264</f>
        <v>4</v>
      </c>
      <c r="L265" s="44">
        <f t="shared" si="247"/>
        <v>483</v>
      </c>
      <c r="M265" s="123"/>
      <c r="N265" s="44">
        <f>2*N264</f>
        <v>4</v>
      </c>
      <c r="O265" s="44">
        <f t="shared" si="248"/>
        <v>507.15000000000003</v>
      </c>
      <c r="P265" s="123"/>
      <c r="Q265" s="44">
        <f>2*Q264</f>
        <v>4</v>
      </c>
      <c r="R265" s="44">
        <f t="shared" si="249"/>
        <v>532.50750000000005</v>
      </c>
      <c r="S265" s="123"/>
      <c r="T265" s="44">
        <f>2*T264</f>
        <v>4</v>
      </c>
      <c r="U265" s="44">
        <f t="shared" si="250"/>
        <v>559.13287500000013</v>
      </c>
      <c r="V265" s="123"/>
      <c r="W265" s="44">
        <f>2*W264</f>
        <v>4</v>
      </c>
      <c r="X265" s="44">
        <f>W265*H265*$E$6*$E$6*$E$6*$E$6*$E$6</f>
        <v>587.08951875000014</v>
      </c>
      <c r="Y265" s="44">
        <f>SUM(R265,O265,L265,I265,U265,X265)</f>
        <v>3128.8798937500001</v>
      </c>
      <c r="Z265" s="44" t="s">
        <v>149</v>
      </c>
      <c r="AA265" s="44">
        <f>SUM(Y265:Z265)</f>
        <v>3128.8798937500001</v>
      </c>
      <c r="AB265" s="670"/>
      <c r="AC265" s="670"/>
    </row>
    <row r="266" spans="1:30">
      <c r="A266" s="591" t="s">
        <v>1277</v>
      </c>
      <c r="B266" s="591" t="s">
        <v>1265</v>
      </c>
      <c r="C266" s="591" t="s">
        <v>747</v>
      </c>
      <c r="D266" s="8" t="s">
        <v>264</v>
      </c>
      <c r="F266" s="8" t="s">
        <v>148</v>
      </c>
      <c r="G266" s="44">
        <v>6</v>
      </c>
      <c r="H266" s="44">
        <v>35</v>
      </c>
      <c r="I266" s="44">
        <f>G266*H266</f>
        <v>210</v>
      </c>
      <c r="J266" s="44"/>
      <c r="K266" s="44">
        <v>12</v>
      </c>
      <c r="L266" s="44">
        <f>H266*K266*$E$6</f>
        <v>441</v>
      </c>
      <c r="M266" s="123"/>
      <c r="N266" s="44">
        <v>12</v>
      </c>
      <c r="O266" s="44">
        <f>H266*N266*$E$6*$E$6</f>
        <v>463.05</v>
      </c>
      <c r="P266" s="123"/>
      <c r="Q266" s="44">
        <v>12</v>
      </c>
      <c r="R266" s="44">
        <f>H266*Q266*$E$6*$E$6*$E$6</f>
        <v>486.20250000000004</v>
      </c>
      <c r="S266" s="123"/>
      <c r="T266" s="44">
        <v>12</v>
      </c>
      <c r="U266" s="44">
        <f>H266*T266*$E$6*$E$6*$E$6*$E$6</f>
        <v>510.51262500000007</v>
      </c>
      <c r="V266" s="123"/>
      <c r="W266" s="44">
        <v>9</v>
      </c>
      <c r="X266" s="44">
        <f>W266*H266*$E$6*$E$6*$E$6*$E$6*$E$6</f>
        <v>402.0286921875001</v>
      </c>
      <c r="Y266" s="44">
        <f>SUM(R266,O266,L266,I266,U266,X266)</f>
        <v>2512.7938171874998</v>
      </c>
      <c r="Z266" s="44" t="s">
        <v>149</v>
      </c>
      <c r="AA266" s="44">
        <f>SUM(Y266:Z266)</f>
        <v>2512.7938171874998</v>
      </c>
    </row>
    <row r="267" spans="1:30">
      <c r="A267" s="607"/>
      <c r="B267" s="607"/>
      <c r="C267" s="607"/>
      <c r="D267" s="41" t="s">
        <v>265</v>
      </c>
      <c r="E267" s="127"/>
      <c r="F267" s="46"/>
      <c r="G267" s="47"/>
      <c r="H267" s="48"/>
      <c r="I267" s="48">
        <f>SUM(I263:I266)</f>
        <v>920</v>
      </c>
      <c r="J267" s="127"/>
      <c r="K267" s="48"/>
      <c r="L267" s="48">
        <f>SUM(L263:L266)</f>
        <v>1753.5</v>
      </c>
      <c r="M267" s="127"/>
      <c r="N267" s="48"/>
      <c r="O267" s="48">
        <f>SUM(O263:O266)</f>
        <v>1841.175</v>
      </c>
      <c r="P267" s="127"/>
      <c r="Q267" s="48"/>
      <c r="R267" s="48">
        <f>SUM(R263:R266)</f>
        <v>1933.2337500000001</v>
      </c>
      <c r="S267" s="127"/>
      <c r="T267" s="48"/>
      <c r="U267" s="48">
        <f>SUM(U263:U266)</f>
        <v>2029.8954375000005</v>
      </c>
      <c r="V267" s="127"/>
      <c r="W267" s="48"/>
      <c r="X267" s="48">
        <f>SUM(X263:X266)</f>
        <v>1767.6499640625004</v>
      </c>
      <c r="Y267" s="576">
        <f>SUM(Y263:Y266)</f>
        <v>10245.454151562499</v>
      </c>
      <c r="Z267" s="48">
        <f>SUM(Z263:Z266)</f>
        <v>0</v>
      </c>
      <c r="AA267" s="48">
        <f>SUM(AA263:AA266)</f>
        <v>10245.454151562499</v>
      </c>
      <c r="AB267" s="566"/>
    </row>
    <row r="268" spans="1:30">
      <c r="A268" s="608"/>
      <c r="B268" s="608"/>
      <c r="C268" s="608"/>
      <c r="D268" s="100"/>
      <c r="E268" s="128"/>
      <c r="F268" s="81"/>
      <c r="G268" s="63"/>
      <c r="H268" s="63"/>
      <c r="I268" s="63"/>
      <c r="J268" s="128"/>
      <c r="K268" s="63"/>
      <c r="L268" s="63"/>
      <c r="M268" s="128"/>
      <c r="N268" s="63"/>
      <c r="O268" s="63"/>
      <c r="P268" s="128"/>
      <c r="Q268" s="63"/>
      <c r="R268" s="63"/>
      <c r="S268" s="128"/>
      <c r="T268" s="63"/>
      <c r="U268" s="63"/>
      <c r="V268" s="128"/>
      <c r="W268" s="63"/>
      <c r="X268" s="63"/>
      <c r="Y268" s="63"/>
      <c r="Z268" s="63"/>
      <c r="AA268" s="63"/>
    </row>
    <row r="269" spans="1:30" ht="12.9" thickBot="1">
      <c r="A269" s="596"/>
      <c r="B269" s="596"/>
      <c r="C269" s="596"/>
      <c r="D269" s="54" t="s">
        <v>266</v>
      </c>
      <c r="E269" s="121"/>
      <c r="F269" s="54"/>
      <c r="G269" s="69"/>
      <c r="H269" s="69"/>
      <c r="I269" s="65">
        <f>SUM(I267+I253+I249+I260)</f>
        <v>62399.945</v>
      </c>
      <c r="J269" s="121"/>
      <c r="K269" s="65"/>
      <c r="L269" s="65">
        <f>SUM(L267+L253+L249+L260)</f>
        <v>141822.04699999999</v>
      </c>
      <c r="M269" s="121"/>
      <c r="N269" s="65"/>
      <c r="O269" s="65">
        <f>SUM(O267+O253+O249+O260)</f>
        <v>80257.649349999992</v>
      </c>
      <c r="P269" s="121"/>
      <c r="Q269" s="65"/>
      <c r="R269" s="65">
        <f>SUM(R267+R253+R249+R260)</f>
        <v>81485.731817499996</v>
      </c>
      <c r="S269" s="121"/>
      <c r="T269" s="65"/>
      <c r="U269" s="65">
        <f>SUM(U267+U253+U249+U260)</f>
        <v>27079.218408375003</v>
      </c>
      <c r="V269" s="121"/>
      <c r="W269" s="65"/>
      <c r="X269" s="65">
        <f>SUM(X267+X253+X249+X260)</f>
        <v>14098.584671128127</v>
      </c>
      <c r="Y269" s="65">
        <f>SUM(Y267+Y253+Y249+Y260)</f>
        <v>407143.17624700314</v>
      </c>
      <c r="Z269" s="65">
        <f>SUM(Z267+Z253+Z249+Z260)</f>
        <v>0</v>
      </c>
      <c r="AA269" s="65">
        <f>SUM(AA267+AA253+AA249+AA260)</f>
        <v>407143.17624700314</v>
      </c>
    </row>
    <row r="270" spans="1:30">
      <c r="A270" s="597"/>
      <c r="B270" s="597"/>
      <c r="C270" s="597"/>
      <c r="D270" s="81"/>
      <c r="E270" s="118"/>
      <c r="F270" s="81"/>
      <c r="G270" s="63"/>
      <c r="H270" s="63"/>
      <c r="I270" s="63"/>
      <c r="J270" s="118"/>
      <c r="K270" s="63"/>
      <c r="L270" s="63"/>
      <c r="M270" s="118"/>
      <c r="N270" s="63"/>
      <c r="O270" s="63"/>
      <c r="P270" s="118"/>
      <c r="Q270" s="63"/>
      <c r="R270" s="63"/>
      <c r="S270" s="118"/>
      <c r="T270" s="63"/>
      <c r="U270" s="63"/>
      <c r="V270" s="118"/>
      <c r="W270" s="63"/>
      <c r="X270" s="63"/>
      <c r="Y270" s="63"/>
      <c r="Z270" s="63"/>
      <c r="AA270" s="63"/>
      <c r="AD270" s="566"/>
    </row>
    <row r="271" spans="1:30">
      <c r="A271" s="605"/>
      <c r="B271" s="605"/>
      <c r="C271" s="605"/>
      <c r="D271" s="94" t="str">
        <f>'USDA Budget Summary'!A29</f>
        <v>Activity 3: Training: Teacher and Administrators</v>
      </c>
      <c r="E271" s="125"/>
      <c r="F271" s="38"/>
      <c r="G271" s="38"/>
      <c r="H271" s="39"/>
      <c r="I271" s="95"/>
      <c r="J271" s="125"/>
      <c r="K271" s="95"/>
      <c r="L271" s="95"/>
      <c r="M271" s="125"/>
      <c r="N271" s="95"/>
      <c r="O271" s="95"/>
      <c r="P271" s="125"/>
      <c r="Q271" s="95"/>
      <c r="R271" s="95"/>
      <c r="S271" s="125"/>
      <c r="T271" s="95"/>
      <c r="U271" s="95"/>
      <c r="V271" s="125"/>
      <c r="W271" s="95"/>
      <c r="X271" s="95"/>
      <c r="Y271" s="95"/>
      <c r="Z271" s="96"/>
      <c r="AA271" s="95"/>
    </row>
    <row r="272" spans="1:30">
      <c r="A272" s="606"/>
      <c r="B272" s="606"/>
      <c r="C272" s="606"/>
      <c r="D272" s="97" t="s">
        <v>227</v>
      </c>
      <c r="E272" s="126"/>
      <c r="F272" s="98"/>
      <c r="G272" s="99"/>
      <c r="H272" s="99"/>
      <c r="I272" s="99"/>
      <c r="J272" s="126"/>
      <c r="K272" s="99"/>
      <c r="L272" s="99"/>
      <c r="M272" s="126"/>
      <c r="N272" s="99"/>
      <c r="O272" s="99"/>
      <c r="P272" s="126"/>
      <c r="Q272" s="99"/>
      <c r="R272" s="99"/>
      <c r="S272" s="126"/>
      <c r="T272" s="99"/>
      <c r="U272" s="99"/>
      <c r="V272" s="126"/>
      <c r="W272" s="99"/>
      <c r="X272" s="99"/>
      <c r="Y272" s="99"/>
      <c r="Z272" s="99"/>
      <c r="AA272" s="99"/>
    </row>
    <row r="273" spans="1:27">
      <c r="A273" s="607"/>
      <c r="B273" s="607"/>
      <c r="C273" s="607"/>
      <c r="D273" s="41" t="s">
        <v>267</v>
      </c>
      <c r="E273" s="127"/>
      <c r="F273" s="46"/>
      <c r="G273" s="47"/>
      <c r="H273" s="47"/>
      <c r="I273" s="47"/>
      <c r="J273" s="127"/>
      <c r="K273" s="47"/>
      <c r="L273" s="47"/>
      <c r="M273" s="127"/>
      <c r="N273" s="47"/>
      <c r="O273" s="47"/>
      <c r="P273" s="127"/>
      <c r="Q273" s="47"/>
      <c r="R273" s="47"/>
      <c r="S273" s="127"/>
      <c r="T273" s="47"/>
      <c r="U273" s="47"/>
      <c r="V273" s="127"/>
      <c r="W273" s="47"/>
      <c r="X273" s="47"/>
      <c r="Y273" s="47"/>
      <c r="Z273" s="47"/>
      <c r="AA273" s="47"/>
    </row>
    <row r="274" spans="1:27" hidden="1">
      <c r="A274" s="595" t="s">
        <v>910</v>
      </c>
      <c r="B274" s="595">
        <v>70000</v>
      </c>
      <c r="C274" s="595" t="s">
        <v>747</v>
      </c>
      <c r="D274" s="8" t="str">
        <f t="shared" ref="D274:D307" si="251">D12</f>
        <v xml:space="preserve">Key Personnel: Chief of Party - Roger Sanchez O’Neill </v>
      </c>
      <c r="E274" s="123">
        <f>'LOE Breakdown by Year'!G11</f>
        <v>0</v>
      </c>
      <c r="F274" s="50" t="s">
        <v>100</v>
      </c>
      <c r="G274" s="44">
        <f t="shared" ref="G274:H293" si="252">G12</f>
        <v>11</v>
      </c>
      <c r="H274" s="44">
        <f t="shared" si="252"/>
        <v>9583.3333333333339</v>
      </c>
      <c r="I274" s="44">
        <f>G274*H274*E274</f>
        <v>0</v>
      </c>
      <c r="J274" s="115">
        <f>'LOE Breakdown by Year'!G57</f>
        <v>0</v>
      </c>
      <c r="K274" s="44">
        <f t="shared" ref="K274:K307" si="253">K12</f>
        <v>12</v>
      </c>
      <c r="L274" s="44">
        <f>K274*H274*$E$7*$J274</f>
        <v>0</v>
      </c>
      <c r="M274" s="115">
        <f>'LOE Breakdown by Year'!G103</f>
        <v>0</v>
      </c>
      <c r="N274" s="44">
        <f t="shared" ref="N274:N307" si="254">N12</f>
        <v>12</v>
      </c>
      <c r="O274" s="44">
        <f>N274*H274*$M274*$E$7*$E$7</f>
        <v>0</v>
      </c>
      <c r="P274" s="115">
        <f>'LOE Breakdown by Year'!G149</f>
        <v>0</v>
      </c>
      <c r="Q274" s="44">
        <f t="shared" ref="Q274:Q307" si="255">Q12</f>
        <v>12</v>
      </c>
      <c r="R274" s="44">
        <f>Q274*H274*$P274*$E$7*$E$7*$E$7</f>
        <v>0</v>
      </c>
      <c r="S274" s="115">
        <f>'LOE Breakdown by Year'!G195</f>
        <v>0</v>
      </c>
      <c r="T274" s="44">
        <f t="shared" ref="T274:T307" si="256">T12</f>
        <v>12</v>
      </c>
      <c r="U274" s="44">
        <f>T274*H274*$S274*$E$7*$E$7*$E$7*$E$7</f>
        <v>0</v>
      </c>
      <c r="V274" s="115">
        <f>'LOE Breakdown by Year'!G241</f>
        <v>0</v>
      </c>
      <c r="W274" s="44">
        <f t="shared" ref="W274:W307" si="257">W12</f>
        <v>12</v>
      </c>
      <c r="X274" s="44">
        <f>W274*H274*$V274*$E$7*$E$7*$E$7*$E$7*$E$7</f>
        <v>0</v>
      </c>
      <c r="Y274" s="44">
        <f>SUM(R274,O274,L274,I274,U274,X274)</f>
        <v>0</v>
      </c>
      <c r="Z274" s="44">
        <v>0</v>
      </c>
      <c r="AA274" s="44">
        <f t="shared" ref="AA274" si="258">SUM(Y274:Z274)</f>
        <v>0</v>
      </c>
    </row>
    <row r="275" spans="1:27" hidden="1">
      <c r="A275" s="595" t="s">
        <v>911</v>
      </c>
      <c r="B275" s="595">
        <v>70000</v>
      </c>
      <c r="C275" s="595" t="s">
        <v>747</v>
      </c>
      <c r="D275" s="8" t="str">
        <f t="shared" si="251"/>
        <v>Key Personnel: Deputy Chief of Party - David Medina Mayo</v>
      </c>
      <c r="E275" s="123">
        <f>'LOE Breakdown by Year'!G12</f>
        <v>0</v>
      </c>
      <c r="F275" s="50" t="s">
        <v>100</v>
      </c>
      <c r="G275" s="44">
        <f t="shared" si="252"/>
        <v>11</v>
      </c>
      <c r="H275" s="44">
        <f t="shared" si="252"/>
        <v>6500</v>
      </c>
      <c r="I275" s="44">
        <f t="shared" ref="I275:I307" si="259">G275*H275*E275</f>
        <v>0</v>
      </c>
      <c r="J275" s="115">
        <f>'LOE Breakdown by Year'!G58</f>
        <v>0</v>
      </c>
      <c r="K275" s="44">
        <f t="shared" si="253"/>
        <v>12</v>
      </c>
      <c r="L275" s="44">
        <f t="shared" ref="L275:L307" si="260">K275*H275*$E$7*$J275</f>
        <v>0</v>
      </c>
      <c r="M275" s="115">
        <f>'LOE Breakdown by Year'!G104</f>
        <v>0</v>
      </c>
      <c r="N275" s="44">
        <f t="shared" si="254"/>
        <v>12</v>
      </c>
      <c r="O275" s="44">
        <f t="shared" ref="O275:O307" si="261">N275*H275*$M275*$E$7*$E$7</f>
        <v>0</v>
      </c>
      <c r="P275" s="115">
        <f>'LOE Breakdown by Year'!G150</f>
        <v>0</v>
      </c>
      <c r="Q275" s="44">
        <f t="shared" si="255"/>
        <v>12</v>
      </c>
      <c r="R275" s="44">
        <f t="shared" ref="R275:R307" si="262">Q275*H275*$P275*$E$7*$E$7*$E$7</f>
        <v>0</v>
      </c>
      <c r="S275" s="115">
        <f>'LOE Breakdown by Year'!G196</f>
        <v>0</v>
      </c>
      <c r="T275" s="44">
        <f t="shared" si="256"/>
        <v>12</v>
      </c>
      <c r="U275" s="44">
        <f t="shared" ref="U275:U307" si="263">T275*H275*$S275*$E$7*$E$7*$E$7*$E$7</f>
        <v>0</v>
      </c>
      <c r="V275" s="115">
        <f>'LOE Breakdown by Year'!G242</f>
        <v>0</v>
      </c>
      <c r="W275" s="44">
        <f t="shared" si="257"/>
        <v>12</v>
      </c>
      <c r="X275" s="44">
        <f t="shared" ref="X275:X307" si="264">W275*H275*$V275*$E$7*$E$7*$E$7*$E$7*$E$7</f>
        <v>0</v>
      </c>
      <c r="Y275" s="44">
        <f t="shared" ref="Y275:Y307" si="265">SUM(R275,O275,L275,I275,U275,X275)</f>
        <v>0</v>
      </c>
      <c r="Z275" s="44">
        <v>0</v>
      </c>
      <c r="AA275" s="44">
        <f t="shared" ref="AA275:AA307" si="266">SUM(Y275:Z275)</f>
        <v>0</v>
      </c>
    </row>
    <row r="276" spans="1:27" ht="12.75" hidden="1" customHeight="1">
      <c r="A276" s="595" t="s">
        <v>912</v>
      </c>
      <c r="B276" s="595">
        <v>70000</v>
      </c>
      <c r="C276" s="595" t="s">
        <v>747</v>
      </c>
      <c r="D276" s="8" t="str">
        <f t="shared" si="251"/>
        <v>Policy &amp; Sustainability Specialist</v>
      </c>
      <c r="E276" s="123">
        <f>'LOE Breakdown by Year'!G13</f>
        <v>0</v>
      </c>
      <c r="F276" s="50" t="s">
        <v>100</v>
      </c>
      <c r="G276" s="44">
        <f t="shared" si="252"/>
        <v>0</v>
      </c>
      <c r="H276" s="44">
        <f t="shared" si="252"/>
        <v>1500</v>
      </c>
      <c r="I276" s="44">
        <f t="shared" si="259"/>
        <v>0</v>
      </c>
      <c r="J276" s="115">
        <f>'LOE Breakdown by Year'!G59</f>
        <v>0</v>
      </c>
      <c r="K276" s="44">
        <f t="shared" si="253"/>
        <v>0</v>
      </c>
      <c r="L276" s="44">
        <f t="shared" si="260"/>
        <v>0</v>
      </c>
      <c r="M276" s="115">
        <f>'LOE Breakdown by Year'!G105</f>
        <v>0</v>
      </c>
      <c r="N276" s="44">
        <f t="shared" si="254"/>
        <v>7</v>
      </c>
      <c r="O276" s="44">
        <f t="shared" si="261"/>
        <v>0</v>
      </c>
      <c r="P276" s="115">
        <f>'LOE Breakdown by Year'!G151</f>
        <v>0</v>
      </c>
      <c r="Q276" s="44">
        <f t="shared" si="255"/>
        <v>12</v>
      </c>
      <c r="R276" s="44">
        <f t="shared" si="262"/>
        <v>0</v>
      </c>
      <c r="S276" s="115">
        <f>'LOE Breakdown by Year'!G197</f>
        <v>0</v>
      </c>
      <c r="T276" s="44">
        <f t="shared" si="256"/>
        <v>12</v>
      </c>
      <c r="U276" s="44">
        <f t="shared" si="263"/>
        <v>0</v>
      </c>
      <c r="V276" s="115">
        <f>'LOE Breakdown by Year'!G243</f>
        <v>0</v>
      </c>
      <c r="W276" s="44">
        <f t="shared" si="257"/>
        <v>6</v>
      </c>
      <c r="X276" s="44">
        <f t="shared" si="264"/>
        <v>0</v>
      </c>
      <c r="Y276" s="44">
        <f t="shared" si="265"/>
        <v>0</v>
      </c>
      <c r="Z276" s="44">
        <v>0</v>
      </c>
      <c r="AA276" s="44">
        <f t="shared" si="266"/>
        <v>0</v>
      </c>
    </row>
    <row r="277" spans="1:27">
      <c r="A277" s="595" t="s">
        <v>913</v>
      </c>
      <c r="B277" s="595">
        <v>70000</v>
      </c>
      <c r="C277" s="595" t="s">
        <v>747</v>
      </c>
      <c r="D277" s="8" t="str">
        <f t="shared" si="251"/>
        <v xml:space="preserve">Education Director </v>
      </c>
      <c r="E277" s="123">
        <f>'LOE Breakdown by Year'!G14</f>
        <v>0.2</v>
      </c>
      <c r="F277" s="50" t="s">
        <v>100</v>
      </c>
      <c r="G277" s="44">
        <f t="shared" si="252"/>
        <v>9</v>
      </c>
      <c r="H277" s="44">
        <f t="shared" si="252"/>
        <v>4583.333333333333</v>
      </c>
      <c r="I277" s="44">
        <f t="shared" si="259"/>
        <v>8250</v>
      </c>
      <c r="J277" s="115">
        <f>'LOE Breakdown by Year'!G60</f>
        <v>0.2</v>
      </c>
      <c r="K277" s="44">
        <f t="shared" si="253"/>
        <v>12</v>
      </c>
      <c r="L277" s="44">
        <f t="shared" si="260"/>
        <v>11550</v>
      </c>
      <c r="M277" s="115">
        <f>'LOE Breakdown by Year'!G106</f>
        <v>0.2</v>
      </c>
      <c r="N277" s="44">
        <f t="shared" si="254"/>
        <v>12</v>
      </c>
      <c r="O277" s="44">
        <f t="shared" si="261"/>
        <v>12127.5</v>
      </c>
      <c r="P277" s="115">
        <f>'LOE Breakdown by Year'!G152</f>
        <v>0.2</v>
      </c>
      <c r="Q277" s="44">
        <f t="shared" si="255"/>
        <v>12</v>
      </c>
      <c r="R277" s="44">
        <f t="shared" si="262"/>
        <v>12733.875</v>
      </c>
      <c r="S277" s="115">
        <f>'LOE Breakdown by Year'!G198</f>
        <v>0.2</v>
      </c>
      <c r="T277" s="44">
        <f t="shared" si="256"/>
        <v>12</v>
      </c>
      <c r="U277" s="44">
        <f t="shared" si="263"/>
        <v>13370.56875</v>
      </c>
      <c r="V277" s="115">
        <f>'LOE Breakdown by Year'!G244</f>
        <v>0.2</v>
      </c>
      <c r="W277" s="44">
        <f t="shared" si="257"/>
        <v>8</v>
      </c>
      <c r="X277" s="44">
        <f t="shared" si="264"/>
        <v>9359.3981249999997</v>
      </c>
      <c r="Y277" s="44">
        <f t="shared" si="265"/>
        <v>67391.341874999998</v>
      </c>
      <c r="Z277" s="44">
        <v>0</v>
      </c>
      <c r="AA277" s="44">
        <f t="shared" si="266"/>
        <v>67391.341874999998</v>
      </c>
    </row>
    <row r="278" spans="1:27">
      <c r="A278" s="595" t="s">
        <v>914</v>
      </c>
      <c r="B278" s="595">
        <v>70000</v>
      </c>
      <c r="C278" s="595" t="s">
        <v>747</v>
      </c>
      <c r="D278" s="8" t="str">
        <f t="shared" si="251"/>
        <v>Education Specialist</v>
      </c>
      <c r="E278" s="123">
        <f>'LOE Breakdown by Year'!G15</f>
        <v>0.2</v>
      </c>
      <c r="F278" s="50" t="s">
        <v>100</v>
      </c>
      <c r="G278" s="44">
        <f t="shared" si="252"/>
        <v>8</v>
      </c>
      <c r="H278" s="44">
        <f t="shared" si="252"/>
        <v>2500</v>
      </c>
      <c r="I278" s="44">
        <f t="shared" si="259"/>
        <v>4000</v>
      </c>
      <c r="J278" s="115">
        <f>'LOE Breakdown by Year'!G61</f>
        <v>0.2</v>
      </c>
      <c r="K278" s="44">
        <f t="shared" si="253"/>
        <v>12</v>
      </c>
      <c r="L278" s="44">
        <f t="shared" si="260"/>
        <v>6300</v>
      </c>
      <c r="M278" s="115">
        <f>'LOE Breakdown by Year'!G107</f>
        <v>0.2</v>
      </c>
      <c r="N278" s="44">
        <f t="shared" si="254"/>
        <v>12</v>
      </c>
      <c r="O278" s="44">
        <f t="shared" si="261"/>
        <v>6615</v>
      </c>
      <c r="P278" s="115">
        <f>'LOE Breakdown by Year'!G153</f>
        <v>0.2</v>
      </c>
      <c r="Q278" s="44">
        <f t="shared" si="255"/>
        <v>12</v>
      </c>
      <c r="R278" s="44">
        <f t="shared" si="262"/>
        <v>6945.75</v>
      </c>
      <c r="S278" s="115">
        <f>'LOE Breakdown by Year'!G199</f>
        <v>0.2</v>
      </c>
      <c r="T278" s="44">
        <f t="shared" si="256"/>
        <v>12</v>
      </c>
      <c r="U278" s="44">
        <f t="shared" si="263"/>
        <v>7293.0375000000004</v>
      </c>
      <c r="V278" s="115">
        <f>'LOE Breakdown by Year'!G245</f>
        <v>0.2</v>
      </c>
      <c r="W278" s="44">
        <f t="shared" si="257"/>
        <v>3</v>
      </c>
      <c r="X278" s="44">
        <f t="shared" si="264"/>
        <v>1914.4223437500002</v>
      </c>
      <c r="Y278" s="44">
        <f t="shared" si="265"/>
        <v>33068.209843749995</v>
      </c>
      <c r="Z278" s="44">
        <v>0</v>
      </c>
      <c r="AA278" s="44">
        <f t="shared" si="266"/>
        <v>33068.209843749995</v>
      </c>
    </row>
    <row r="279" spans="1:27">
      <c r="A279" s="595" t="s">
        <v>915</v>
      </c>
      <c r="B279" s="595">
        <v>70000</v>
      </c>
      <c r="C279" s="595" t="s">
        <v>747</v>
      </c>
      <c r="D279" s="8" t="str">
        <f t="shared" si="251"/>
        <v>Education Officer</v>
      </c>
      <c r="E279" s="123">
        <f>'LOE Breakdown by Year'!G16</f>
        <v>0.2</v>
      </c>
      <c r="F279" s="50" t="s">
        <v>100</v>
      </c>
      <c r="G279" s="44">
        <f t="shared" si="252"/>
        <v>6</v>
      </c>
      <c r="H279" s="44">
        <f t="shared" si="252"/>
        <v>1000</v>
      </c>
      <c r="I279" s="44">
        <f t="shared" si="259"/>
        <v>1200</v>
      </c>
      <c r="J279" s="115">
        <f>'LOE Breakdown by Year'!G62</f>
        <v>0.2</v>
      </c>
      <c r="K279" s="44">
        <f t="shared" si="253"/>
        <v>12</v>
      </c>
      <c r="L279" s="44">
        <f t="shared" si="260"/>
        <v>2520</v>
      </c>
      <c r="M279" s="115">
        <f>'LOE Breakdown by Year'!G108</f>
        <v>0.2</v>
      </c>
      <c r="N279" s="44">
        <f t="shared" si="254"/>
        <v>12</v>
      </c>
      <c r="O279" s="44">
        <f t="shared" si="261"/>
        <v>2646</v>
      </c>
      <c r="P279" s="115">
        <f>'LOE Breakdown by Year'!G154</f>
        <v>0.2</v>
      </c>
      <c r="Q279" s="44">
        <f t="shared" si="255"/>
        <v>12</v>
      </c>
      <c r="R279" s="44">
        <f t="shared" si="262"/>
        <v>2778.3</v>
      </c>
      <c r="S279" s="115">
        <f>'LOE Breakdown by Year'!G200</f>
        <v>0.2</v>
      </c>
      <c r="T279" s="44">
        <f t="shared" si="256"/>
        <v>12</v>
      </c>
      <c r="U279" s="44">
        <f t="shared" si="263"/>
        <v>2917.2150000000001</v>
      </c>
      <c r="V279" s="115">
        <f>'LOE Breakdown by Year'!G246</f>
        <v>0.2</v>
      </c>
      <c r="W279" s="44">
        <f t="shared" si="257"/>
        <v>3</v>
      </c>
      <c r="X279" s="44">
        <f t="shared" si="264"/>
        <v>765.76893750000011</v>
      </c>
      <c r="Y279" s="44">
        <f t="shared" si="265"/>
        <v>12827.2839375</v>
      </c>
      <c r="Z279" s="44">
        <v>0</v>
      </c>
      <c r="AA279" s="44">
        <f t="shared" si="266"/>
        <v>12827.2839375</v>
      </c>
    </row>
    <row r="280" spans="1:27" hidden="1">
      <c r="A280" s="595" t="s">
        <v>916</v>
      </c>
      <c r="B280" s="595">
        <v>70000</v>
      </c>
      <c r="C280" s="595" t="s">
        <v>747</v>
      </c>
      <c r="D280" s="8" t="str">
        <f t="shared" si="251"/>
        <v>Nutrition and Health Specialist</v>
      </c>
      <c r="E280" s="123">
        <f>'LOE Breakdown by Year'!G17</f>
        <v>0</v>
      </c>
      <c r="F280" s="50" t="s">
        <v>100</v>
      </c>
      <c r="G280" s="44">
        <f t="shared" si="252"/>
        <v>9</v>
      </c>
      <c r="H280" s="44">
        <f t="shared" si="252"/>
        <v>1500</v>
      </c>
      <c r="I280" s="44">
        <f t="shared" si="259"/>
        <v>0</v>
      </c>
      <c r="J280" s="115">
        <f>'LOE Breakdown by Year'!G63</f>
        <v>0</v>
      </c>
      <c r="K280" s="44">
        <f t="shared" si="253"/>
        <v>12</v>
      </c>
      <c r="L280" s="44">
        <f t="shared" si="260"/>
        <v>0</v>
      </c>
      <c r="M280" s="115">
        <f>'LOE Breakdown by Year'!G109</f>
        <v>0</v>
      </c>
      <c r="N280" s="44">
        <f t="shared" si="254"/>
        <v>12</v>
      </c>
      <c r="O280" s="44">
        <f t="shared" si="261"/>
        <v>0</v>
      </c>
      <c r="P280" s="115">
        <f>'LOE Breakdown by Year'!G155</f>
        <v>0</v>
      </c>
      <c r="Q280" s="44">
        <f t="shared" si="255"/>
        <v>12</v>
      </c>
      <c r="R280" s="44">
        <f t="shared" si="262"/>
        <v>0</v>
      </c>
      <c r="S280" s="115">
        <f>'LOE Breakdown by Year'!G201</f>
        <v>0</v>
      </c>
      <c r="T280" s="44">
        <f t="shared" si="256"/>
        <v>12</v>
      </c>
      <c r="U280" s="44">
        <f t="shared" si="263"/>
        <v>0</v>
      </c>
      <c r="V280" s="115">
        <f>'LOE Breakdown by Year'!G247</f>
        <v>0</v>
      </c>
      <c r="W280" s="44">
        <f t="shared" si="257"/>
        <v>6</v>
      </c>
      <c r="X280" s="44">
        <f t="shared" si="264"/>
        <v>0</v>
      </c>
      <c r="Y280" s="44">
        <f t="shared" si="265"/>
        <v>0</v>
      </c>
      <c r="Z280" s="44">
        <v>0</v>
      </c>
      <c r="AA280" s="44">
        <f t="shared" si="266"/>
        <v>0</v>
      </c>
    </row>
    <row r="281" spans="1:27" hidden="1">
      <c r="A281" s="595" t="s">
        <v>917</v>
      </c>
      <c r="B281" s="595">
        <v>70000</v>
      </c>
      <c r="C281" s="595" t="s">
        <v>747</v>
      </c>
      <c r="D281" s="8" t="str">
        <f t="shared" si="251"/>
        <v>Nutrition Officer - (2 Individuals)</v>
      </c>
      <c r="E281" s="123">
        <f>'LOE Breakdown by Year'!G18</f>
        <v>0</v>
      </c>
      <c r="F281" s="50" t="s">
        <v>100</v>
      </c>
      <c r="G281" s="44">
        <f t="shared" si="252"/>
        <v>6</v>
      </c>
      <c r="H281" s="44">
        <f t="shared" si="252"/>
        <v>1000</v>
      </c>
      <c r="I281" s="44">
        <f t="shared" si="259"/>
        <v>0</v>
      </c>
      <c r="J281" s="115">
        <f>'LOE Breakdown by Year'!G64</f>
        <v>0</v>
      </c>
      <c r="K281" s="44">
        <f t="shared" si="253"/>
        <v>24</v>
      </c>
      <c r="L281" s="44">
        <f t="shared" si="260"/>
        <v>0</v>
      </c>
      <c r="M281" s="115">
        <f>'LOE Breakdown by Year'!G110</f>
        <v>0</v>
      </c>
      <c r="N281" s="44">
        <f t="shared" si="254"/>
        <v>24</v>
      </c>
      <c r="O281" s="44">
        <f t="shared" si="261"/>
        <v>0</v>
      </c>
      <c r="P281" s="115">
        <f>'LOE Breakdown by Year'!G156</f>
        <v>0</v>
      </c>
      <c r="Q281" s="44">
        <f t="shared" si="255"/>
        <v>24</v>
      </c>
      <c r="R281" s="44">
        <f t="shared" si="262"/>
        <v>0</v>
      </c>
      <c r="S281" s="115">
        <f>'LOE Breakdown by Year'!G202</f>
        <v>0</v>
      </c>
      <c r="T281" s="44">
        <f t="shared" si="256"/>
        <v>24</v>
      </c>
      <c r="U281" s="44">
        <f t="shared" si="263"/>
        <v>0</v>
      </c>
      <c r="V281" s="115">
        <f>'LOE Breakdown by Year'!G248</f>
        <v>0</v>
      </c>
      <c r="W281" s="44">
        <f t="shared" si="257"/>
        <v>6</v>
      </c>
      <c r="X281" s="44">
        <f t="shared" si="264"/>
        <v>0</v>
      </c>
      <c r="Y281" s="44">
        <f t="shared" si="265"/>
        <v>0</v>
      </c>
      <c r="Z281" s="44">
        <v>0</v>
      </c>
      <c r="AA281" s="44">
        <f t="shared" si="266"/>
        <v>0</v>
      </c>
    </row>
    <row r="282" spans="1:27" hidden="1">
      <c r="A282" s="595" t="s">
        <v>918</v>
      </c>
      <c r="B282" s="595">
        <v>70000</v>
      </c>
      <c r="C282" s="595" t="s">
        <v>747</v>
      </c>
      <c r="D282" s="8" t="str">
        <f t="shared" si="251"/>
        <v>School Feeding Specialist</v>
      </c>
      <c r="E282" s="123">
        <f>'LOE Breakdown by Year'!G19</f>
        <v>0</v>
      </c>
      <c r="F282" s="50" t="s">
        <v>100</v>
      </c>
      <c r="G282" s="44">
        <f t="shared" si="252"/>
        <v>9</v>
      </c>
      <c r="H282" s="44">
        <f t="shared" si="252"/>
        <v>1500</v>
      </c>
      <c r="I282" s="44">
        <f t="shared" si="259"/>
        <v>0</v>
      </c>
      <c r="J282" s="115">
        <f>'LOE Breakdown by Year'!G65</f>
        <v>0</v>
      </c>
      <c r="K282" s="44">
        <f t="shared" si="253"/>
        <v>12</v>
      </c>
      <c r="L282" s="44">
        <f t="shared" si="260"/>
        <v>0</v>
      </c>
      <c r="M282" s="115">
        <f>'LOE Breakdown by Year'!G111</f>
        <v>0</v>
      </c>
      <c r="N282" s="44">
        <f t="shared" si="254"/>
        <v>12</v>
      </c>
      <c r="O282" s="44">
        <f t="shared" si="261"/>
        <v>0</v>
      </c>
      <c r="P282" s="115">
        <f>'LOE Breakdown by Year'!G157</f>
        <v>0</v>
      </c>
      <c r="Q282" s="44">
        <f t="shared" si="255"/>
        <v>12</v>
      </c>
      <c r="R282" s="44">
        <f t="shared" si="262"/>
        <v>0</v>
      </c>
      <c r="S282" s="115">
        <f>'LOE Breakdown by Year'!G203</f>
        <v>0</v>
      </c>
      <c r="T282" s="44">
        <f t="shared" si="256"/>
        <v>6</v>
      </c>
      <c r="U282" s="44">
        <f t="shared" si="263"/>
        <v>0</v>
      </c>
      <c r="V282" s="115">
        <f>'LOE Breakdown by Year'!G249</f>
        <v>0</v>
      </c>
      <c r="W282" s="44">
        <f t="shared" si="257"/>
        <v>6</v>
      </c>
      <c r="X282" s="44">
        <f t="shared" si="264"/>
        <v>0</v>
      </c>
      <c r="Y282" s="44">
        <f t="shared" si="265"/>
        <v>0</v>
      </c>
      <c r="Z282" s="44">
        <v>0</v>
      </c>
      <c r="AA282" s="44">
        <f t="shared" si="266"/>
        <v>0</v>
      </c>
    </row>
    <row r="283" spans="1:27" hidden="1">
      <c r="A283" s="595" t="s">
        <v>919</v>
      </c>
      <c r="B283" s="595">
        <v>70000</v>
      </c>
      <c r="C283" s="595" t="s">
        <v>747</v>
      </c>
      <c r="D283" s="8" t="str">
        <f t="shared" si="251"/>
        <v>Food Aid Monitors - (2 Individuals)</v>
      </c>
      <c r="E283" s="123">
        <f>'LOE Breakdown by Year'!G20</f>
        <v>0</v>
      </c>
      <c r="F283" s="50" t="s">
        <v>100</v>
      </c>
      <c r="G283" s="44">
        <f t="shared" si="252"/>
        <v>6</v>
      </c>
      <c r="H283" s="44">
        <f t="shared" si="252"/>
        <v>1000</v>
      </c>
      <c r="I283" s="44">
        <f t="shared" si="259"/>
        <v>0</v>
      </c>
      <c r="J283" s="115">
        <f>'LOE Breakdown by Year'!G66</f>
        <v>0</v>
      </c>
      <c r="K283" s="44">
        <f t="shared" si="253"/>
        <v>24</v>
      </c>
      <c r="L283" s="44">
        <f t="shared" si="260"/>
        <v>0</v>
      </c>
      <c r="M283" s="115">
        <f>'LOE Breakdown by Year'!G112</f>
        <v>0</v>
      </c>
      <c r="N283" s="44">
        <f t="shared" si="254"/>
        <v>24</v>
      </c>
      <c r="O283" s="44">
        <f t="shared" si="261"/>
        <v>0</v>
      </c>
      <c r="P283" s="115">
        <f>'LOE Breakdown by Year'!G158</f>
        <v>0</v>
      </c>
      <c r="Q283" s="44">
        <f t="shared" si="255"/>
        <v>24</v>
      </c>
      <c r="R283" s="44">
        <f t="shared" si="262"/>
        <v>0</v>
      </c>
      <c r="S283" s="115">
        <f>'LOE Breakdown by Year'!G204</f>
        <v>0</v>
      </c>
      <c r="T283" s="44">
        <f t="shared" si="256"/>
        <v>24</v>
      </c>
      <c r="U283" s="44">
        <f t="shared" si="263"/>
        <v>0</v>
      </c>
      <c r="V283" s="115">
        <f>'LOE Breakdown by Year'!G250</f>
        <v>0</v>
      </c>
      <c r="W283" s="44">
        <f t="shared" si="257"/>
        <v>12</v>
      </c>
      <c r="X283" s="44">
        <f t="shared" si="264"/>
        <v>0</v>
      </c>
      <c r="Y283" s="44">
        <f t="shared" si="265"/>
        <v>0</v>
      </c>
      <c r="Z283" s="44">
        <v>0</v>
      </c>
      <c r="AA283" s="44">
        <f t="shared" si="266"/>
        <v>0</v>
      </c>
    </row>
    <row r="284" spans="1:27" hidden="1">
      <c r="A284" s="595" t="s">
        <v>920</v>
      </c>
      <c r="B284" s="595">
        <v>70000</v>
      </c>
      <c r="C284" s="595" t="s">
        <v>747</v>
      </c>
      <c r="D284" s="8" t="str">
        <f t="shared" si="251"/>
        <v>WASH Officer</v>
      </c>
      <c r="E284" s="123">
        <f>'LOE Breakdown by Year'!G21</f>
        <v>0</v>
      </c>
      <c r="F284" s="50" t="s">
        <v>100</v>
      </c>
      <c r="G284" s="44">
        <f t="shared" si="252"/>
        <v>6</v>
      </c>
      <c r="H284" s="44">
        <f t="shared" si="252"/>
        <v>1000</v>
      </c>
      <c r="I284" s="44">
        <f t="shared" si="259"/>
        <v>0</v>
      </c>
      <c r="J284" s="115">
        <f>'LOE Breakdown by Year'!G67</f>
        <v>0</v>
      </c>
      <c r="K284" s="44">
        <f t="shared" si="253"/>
        <v>12</v>
      </c>
      <c r="L284" s="44">
        <f t="shared" si="260"/>
        <v>0</v>
      </c>
      <c r="M284" s="115">
        <f>'LOE Breakdown by Year'!G113</f>
        <v>0</v>
      </c>
      <c r="N284" s="44">
        <f t="shared" si="254"/>
        <v>12</v>
      </c>
      <c r="O284" s="44">
        <f t="shared" si="261"/>
        <v>0</v>
      </c>
      <c r="P284" s="115">
        <f>'LOE Breakdown by Year'!G159</f>
        <v>0</v>
      </c>
      <c r="Q284" s="44">
        <f t="shared" si="255"/>
        <v>12</v>
      </c>
      <c r="R284" s="44">
        <f t="shared" si="262"/>
        <v>0</v>
      </c>
      <c r="S284" s="115">
        <f>'LOE Breakdown by Year'!G205</f>
        <v>0</v>
      </c>
      <c r="T284" s="44">
        <f t="shared" si="256"/>
        <v>12</v>
      </c>
      <c r="U284" s="44">
        <f t="shared" si="263"/>
        <v>0</v>
      </c>
      <c r="V284" s="115">
        <f>'LOE Breakdown by Year'!G251</f>
        <v>0</v>
      </c>
      <c r="W284" s="44">
        <f t="shared" si="257"/>
        <v>3</v>
      </c>
      <c r="X284" s="44">
        <f t="shared" si="264"/>
        <v>0</v>
      </c>
      <c r="Y284" s="44">
        <f t="shared" si="265"/>
        <v>0</v>
      </c>
      <c r="Z284" s="44">
        <v>0</v>
      </c>
      <c r="AA284" s="44">
        <f t="shared" si="266"/>
        <v>0</v>
      </c>
    </row>
    <row r="285" spans="1:27" hidden="1">
      <c r="A285" s="595" t="s">
        <v>921</v>
      </c>
      <c r="B285" s="595">
        <v>70000</v>
      </c>
      <c r="C285" s="595" t="s">
        <v>747</v>
      </c>
      <c r="D285" s="8" t="str">
        <f t="shared" si="251"/>
        <v>Communications Specialist</v>
      </c>
      <c r="E285" s="123">
        <f>'LOE Breakdown by Year'!G22</f>
        <v>0</v>
      </c>
      <c r="F285" s="50" t="s">
        <v>100</v>
      </c>
      <c r="G285" s="44">
        <f t="shared" si="252"/>
        <v>8</v>
      </c>
      <c r="H285" s="44">
        <f t="shared" si="252"/>
        <v>1500</v>
      </c>
      <c r="I285" s="44">
        <f t="shared" si="259"/>
        <v>0</v>
      </c>
      <c r="J285" s="115">
        <f>'LOE Breakdown by Year'!G68</f>
        <v>0</v>
      </c>
      <c r="K285" s="44">
        <f t="shared" si="253"/>
        <v>12</v>
      </c>
      <c r="L285" s="44">
        <f t="shared" si="260"/>
        <v>0</v>
      </c>
      <c r="M285" s="115">
        <f>'LOE Breakdown by Year'!G114</f>
        <v>0</v>
      </c>
      <c r="N285" s="44">
        <f t="shared" si="254"/>
        <v>12</v>
      </c>
      <c r="O285" s="44">
        <f t="shared" si="261"/>
        <v>0</v>
      </c>
      <c r="P285" s="115">
        <f>'LOE Breakdown by Year'!G160</f>
        <v>0</v>
      </c>
      <c r="Q285" s="44">
        <f t="shared" si="255"/>
        <v>12</v>
      </c>
      <c r="R285" s="44">
        <f t="shared" si="262"/>
        <v>0</v>
      </c>
      <c r="S285" s="115">
        <f>'LOE Breakdown by Year'!G206</f>
        <v>0</v>
      </c>
      <c r="T285" s="44">
        <f t="shared" si="256"/>
        <v>12</v>
      </c>
      <c r="U285" s="44">
        <f t="shared" si="263"/>
        <v>0</v>
      </c>
      <c r="V285" s="115">
        <f>'LOE Breakdown by Year'!G252</f>
        <v>0</v>
      </c>
      <c r="W285" s="44">
        <f t="shared" si="257"/>
        <v>8</v>
      </c>
      <c r="X285" s="44">
        <f t="shared" si="264"/>
        <v>0</v>
      </c>
      <c r="Y285" s="44">
        <f t="shared" si="265"/>
        <v>0</v>
      </c>
      <c r="Z285" s="44">
        <v>0</v>
      </c>
      <c r="AA285" s="44">
        <f t="shared" si="266"/>
        <v>0</v>
      </c>
    </row>
    <row r="286" spans="1:27" hidden="1">
      <c r="A286" s="595" t="s">
        <v>922</v>
      </c>
      <c r="B286" s="595">
        <v>70000</v>
      </c>
      <c r="C286" s="595" t="s">
        <v>747</v>
      </c>
      <c r="D286" s="8" t="str">
        <f t="shared" si="251"/>
        <v>Communications Officer</v>
      </c>
      <c r="E286" s="123">
        <f>'LOE Breakdown by Year'!G23</f>
        <v>0</v>
      </c>
      <c r="F286" s="50" t="s">
        <v>100</v>
      </c>
      <c r="G286" s="44">
        <f t="shared" si="252"/>
        <v>0</v>
      </c>
      <c r="H286" s="44">
        <f t="shared" si="252"/>
        <v>1000</v>
      </c>
      <c r="I286" s="44">
        <f t="shared" si="259"/>
        <v>0</v>
      </c>
      <c r="J286" s="115">
        <f>'LOE Breakdown by Year'!G69</f>
        <v>0</v>
      </c>
      <c r="K286" s="44">
        <f t="shared" si="253"/>
        <v>12</v>
      </c>
      <c r="L286" s="44">
        <f t="shared" si="260"/>
        <v>0</v>
      </c>
      <c r="M286" s="115">
        <f>'LOE Breakdown by Year'!G115</f>
        <v>0</v>
      </c>
      <c r="N286" s="44">
        <f t="shared" si="254"/>
        <v>12</v>
      </c>
      <c r="O286" s="44">
        <f t="shared" si="261"/>
        <v>0</v>
      </c>
      <c r="P286" s="115">
        <f>'LOE Breakdown by Year'!G161</f>
        <v>0</v>
      </c>
      <c r="Q286" s="44">
        <f t="shared" si="255"/>
        <v>12</v>
      </c>
      <c r="R286" s="44">
        <f t="shared" si="262"/>
        <v>0</v>
      </c>
      <c r="S286" s="115">
        <f>'LOE Breakdown by Year'!G207</f>
        <v>0</v>
      </c>
      <c r="T286" s="44">
        <f t="shared" si="256"/>
        <v>12</v>
      </c>
      <c r="U286" s="44">
        <f t="shared" si="263"/>
        <v>0</v>
      </c>
      <c r="V286" s="115">
        <f>'LOE Breakdown by Year'!G253</f>
        <v>0</v>
      </c>
      <c r="W286" s="44">
        <f t="shared" si="257"/>
        <v>0</v>
      </c>
      <c r="X286" s="44">
        <f t="shared" si="264"/>
        <v>0</v>
      </c>
      <c r="Y286" s="44">
        <f t="shared" si="265"/>
        <v>0</v>
      </c>
      <c r="Z286" s="44">
        <v>0</v>
      </c>
      <c r="AA286" s="44">
        <f t="shared" si="266"/>
        <v>0</v>
      </c>
    </row>
    <row r="287" spans="1:27">
      <c r="A287" s="595" t="s">
        <v>923</v>
      </c>
      <c r="B287" s="595">
        <v>70000</v>
      </c>
      <c r="C287" s="595" t="s">
        <v>747</v>
      </c>
      <c r="D287" s="8" t="str">
        <f t="shared" si="251"/>
        <v>Education &amp; Community Engagement Specialist</v>
      </c>
      <c r="E287" s="123">
        <f>'LOE Breakdown by Year'!G24</f>
        <v>0.1</v>
      </c>
      <c r="F287" s="50" t="s">
        <v>100</v>
      </c>
      <c r="G287" s="44">
        <f t="shared" si="252"/>
        <v>6</v>
      </c>
      <c r="H287" s="44">
        <f t="shared" si="252"/>
        <v>1500</v>
      </c>
      <c r="I287" s="44">
        <f t="shared" si="259"/>
        <v>900</v>
      </c>
      <c r="J287" s="115">
        <f>'LOE Breakdown by Year'!G70</f>
        <v>0.1</v>
      </c>
      <c r="K287" s="44">
        <f t="shared" si="253"/>
        <v>12</v>
      </c>
      <c r="L287" s="44">
        <f t="shared" si="260"/>
        <v>1890</v>
      </c>
      <c r="M287" s="115">
        <f>'LOE Breakdown by Year'!G116</f>
        <v>0.1</v>
      </c>
      <c r="N287" s="44">
        <f t="shared" si="254"/>
        <v>12</v>
      </c>
      <c r="O287" s="44">
        <f t="shared" si="261"/>
        <v>1984.5</v>
      </c>
      <c r="P287" s="115">
        <f>'LOE Breakdown by Year'!G162</f>
        <v>0.1</v>
      </c>
      <c r="Q287" s="44">
        <f t="shared" si="255"/>
        <v>12</v>
      </c>
      <c r="R287" s="44">
        <f t="shared" si="262"/>
        <v>2083.7249999999999</v>
      </c>
      <c r="S287" s="115">
        <f>'LOE Breakdown by Year'!G208</f>
        <v>0.1</v>
      </c>
      <c r="T287" s="44">
        <f t="shared" si="256"/>
        <v>12</v>
      </c>
      <c r="U287" s="44">
        <f t="shared" si="263"/>
        <v>2187.9112500000001</v>
      </c>
      <c r="V287" s="115">
        <f>'LOE Breakdown by Year'!G254</f>
        <v>0.1</v>
      </c>
      <c r="W287" s="44">
        <f t="shared" si="257"/>
        <v>8</v>
      </c>
      <c r="X287" s="44">
        <f t="shared" si="264"/>
        <v>1531.5378750000002</v>
      </c>
      <c r="Y287" s="44">
        <f t="shared" si="265"/>
        <v>10577.674125</v>
      </c>
      <c r="Z287" s="44">
        <v>0</v>
      </c>
      <c r="AA287" s="44">
        <f t="shared" si="266"/>
        <v>10577.674125</v>
      </c>
    </row>
    <row r="288" spans="1:27">
      <c r="A288" s="595" t="s">
        <v>924</v>
      </c>
      <c r="B288" s="595">
        <v>70000</v>
      </c>
      <c r="C288" s="595" t="s">
        <v>747</v>
      </c>
      <c r="D288" s="8" t="str">
        <f t="shared" si="251"/>
        <v>Education &amp; Community Engagement Officer</v>
      </c>
      <c r="E288" s="123">
        <f>'LOE Breakdown by Year'!G25</f>
        <v>0.1</v>
      </c>
      <c r="F288" s="50" t="s">
        <v>100</v>
      </c>
      <c r="G288" s="44">
        <f t="shared" si="252"/>
        <v>3</v>
      </c>
      <c r="H288" s="44">
        <f t="shared" si="252"/>
        <v>1000</v>
      </c>
      <c r="I288" s="44">
        <f t="shared" si="259"/>
        <v>300</v>
      </c>
      <c r="J288" s="115">
        <f>'LOE Breakdown by Year'!G71</f>
        <v>0.1</v>
      </c>
      <c r="K288" s="44">
        <f t="shared" si="253"/>
        <v>12</v>
      </c>
      <c r="L288" s="44">
        <f t="shared" si="260"/>
        <v>1260</v>
      </c>
      <c r="M288" s="115">
        <f>'LOE Breakdown by Year'!G117</f>
        <v>0.1</v>
      </c>
      <c r="N288" s="44">
        <f t="shared" si="254"/>
        <v>12</v>
      </c>
      <c r="O288" s="44">
        <f t="shared" si="261"/>
        <v>1323</v>
      </c>
      <c r="P288" s="115">
        <f>'LOE Breakdown by Year'!G163</f>
        <v>0.1</v>
      </c>
      <c r="Q288" s="44">
        <f t="shared" si="255"/>
        <v>12</v>
      </c>
      <c r="R288" s="44">
        <f t="shared" si="262"/>
        <v>1389.15</v>
      </c>
      <c r="S288" s="115">
        <f>'LOE Breakdown by Year'!G209</f>
        <v>0.1</v>
      </c>
      <c r="T288" s="44">
        <f t="shared" si="256"/>
        <v>12</v>
      </c>
      <c r="U288" s="44">
        <f t="shared" si="263"/>
        <v>1458.6075000000001</v>
      </c>
      <c r="V288" s="115">
        <f>'LOE Breakdown by Year'!G255</f>
        <v>0.1</v>
      </c>
      <c r="W288" s="44">
        <f t="shared" si="257"/>
        <v>0</v>
      </c>
      <c r="X288" s="44">
        <f t="shared" si="264"/>
        <v>0</v>
      </c>
      <c r="Y288" s="44">
        <f t="shared" si="265"/>
        <v>5730.7574999999997</v>
      </c>
      <c r="Z288" s="44">
        <v>0</v>
      </c>
      <c r="AA288" s="44">
        <f t="shared" si="266"/>
        <v>5730.7574999999997</v>
      </c>
    </row>
    <row r="289" spans="1:27" hidden="1">
      <c r="A289" s="595" t="s">
        <v>925</v>
      </c>
      <c r="B289" s="595">
        <v>70000</v>
      </c>
      <c r="C289" s="595" t="s">
        <v>747</v>
      </c>
      <c r="D289" s="8" t="str">
        <f t="shared" si="251"/>
        <v>Private Sector Specialist</v>
      </c>
      <c r="E289" s="123">
        <f>'LOE Breakdown by Year'!G26</f>
        <v>0</v>
      </c>
      <c r="F289" s="50" t="s">
        <v>100</v>
      </c>
      <c r="G289" s="44">
        <f t="shared" si="252"/>
        <v>9</v>
      </c>
      <c r="H289" s="44">
        <f t="shared" si="252"/>
        <v>2000</v>
      </c>
      <c r="I289" s="44">
        <f t="shared" si="259"/>
        <v>0</v>
      </c>
      <c r="J289" s="115">
        <f>'LOE Breakdown by Year'!G72</f>
        <v>0</v>
      </c>
      <c r="K289" s="44">
        <f t="shared" si="253"/>
        <v>12</v>
      </c>
      <c r="L289" s="44">
        <f t="shared" si="260"/>
        <v>0</v>
      </c>
      <c r="M289" s="115">
        <f>'LOE Breakdown by Year'!G118</f>
        <v>0</v>
      </c>
      <c r="N289" s="44">
        <f t="shared" si="254"/>
        <v>12</v>
      </c>
      <c r="O289" s="44">
        <f t="shared" si="261"/>
        <v>0</v>
      </c>
      <c r="P289" s="115">
        <f>'LOE Breakdown by Year'!G164</f>
        <v>0</v>
      </c>
      <c r="Q289" s="44">
        <f t="shared" si="255"/>
        <v>12</v>
      </c>
      <c r="R289" s="44">
        <f t="shared" si="262"/>
        <v>0</v>
      </c>
      <c r="S289" s="115">
        <f>'LOE Breakdown by Year'!G210</f>
        <v>0</v>
      </c>
      <c r="T289" s="44">
        <f t="shared" si="256"/>
        <v>12</v>
      </c>
      <c r="U289" s="44">
        <f t="shared" si="263"/>
        <v>0</v>
      </c>
      <c r="V289" s="115">
        <f>'LOE Breakdown by Year'!G256</f>
        <v>0</v>
      </c>
      <c r="W289" s="44">
        <f t="shared" si="257"/>
        <v>6</v>
      </c>
      <c r="X289" s="44">
        <f t="shared" si="264"/>
        <v>0</v>
      </c>
      <c r="Y289" s="44">
        <f t="shared" si="265"/>
        <v>0</v>
      </c>
      <c r="Z289" s="44">
        <v>0</v>
      </c>
      <c r="AA289" s="44">
        <f t="shared" si="266"/>
        <v>0</v>
      </c>
    </row>
    <row r="290" spans="1:27" hidden="1">
      <c r="A290" s="595" t="s">
        <v>926</v>
      </c>
      <c r="B290" s="595">
        <v>70000</v>
      </c>
      <c r="C290" s="595" t="s">
        <v>747</v>
      </c>
      <c r="D290" s="8" t="str">
        <f t="shared" si="251"/>
        <v xml:space="preserve">Key Personnel: M&amp;E Director </v>
      </c>
      <c r="E290" s="123">
        <f>'LOE Breakdown by Year'!G27</f>
        <v>0</v>
      </c>
      <c r="F290" s="50" t="s">
        <v>100</v>
      </c>
      <c r="G290" s="44">
        <f t="shared" si="252"/>
        <v>11</v>
      </c>
      <c r="H290" s="44">
        <f t="shared" si="252"/>
        <v>4583.333333333333</v>
      </c>
      <c r="I290" s="44">
        <f t="shared" si="259"/>
        <v>0</v>
      </c>
      <c r="J290" s="115">
        <f>'LOE Breakdown by Year'!G73</f>
        <v>0</v>
      </c>
      <c r="K290" s="44">
        <f t="shared" si="253"/>
        <v>12</v>
      </c>
      <c r="L290" s="44">
        <f t="shared" si="260"/>
        <v>0</v>
      </c>
      <c r="M290" s="115">
        <f>'LOE Breakdown by Year'!G119</f>
        <v>0</v>
      </c>
      <c r="N290" s="44">
        <f t="shared" si="254"/>
        <v>12</v>
      </c>
      <c r="O290" s="44">
        <f t="shared" si="261"/>
        <v>0</v>
      </c>
      <c r="P290" s="115">
        <f>'LOE Breakdown by Year'!G165</f>
        <v>0</v>
      </c>
      <c r="Q290" s="44">
        <f t="shared" si="255"/>
        <v>12</v>
      </c>
      <c r="R290" s="44">
        <f t="shared" si="262"/>
        <v>0</v>
      </c>
      <c r="S290" s="115">
        <f>'LOE Breakdown by Year'!G211</f>
        <v>0</v>
      </c>
      <c r="T290" s="44">
        <f t="shared" si="256"/>
        <v>12</v>
      </c>
      <c r="U290" s="44">
        <f t="shared" si="263"/>
        <v>0</v>
      </c>
      <c r="V290" s="115">
        <f>'LOE Breakdown by Year'!G257</f>
        <v>0</v>
      </c>
      <c r="W290" s="44">
        <f t="shared" si="257"/>
        <v>12</v>
      </c>
      <c r="X290" s="44">
        <f t="shared" si="264"/>
        <v>0</v>
      </c>
      <c r="Y290" s="44">
        <f t="shared" si="265"/>
        <v>0</v>
      </c>
      <c r="Z290" s="44">
        <v>0</v>
      </c>
      <c r="AA290" s="44">
        <f t="shared" si="266"/>
        <v>0</v>
      </c>
    </row>
    <row r="291" spans="1:27" hidden="1">
      <c r="A291" s="595" t="s">
        <v>927</v>
      </c>
      <c r="B291" s="595">
        <v>70000</v>
      </c>
      <c r="C291" s="595" t="s">
        <v>747</v>
      </c>
      <c r="D291" s="8" t="str">
        <f t="shared" si="251"/>
        <v>M&amp;E Specialist</v>
      </c>
      <c r="E291" s="123">
        <f>'LOE Breakdown by Year'!G28</f>
        <v>0</v>
      </c>
      <c r="F291" s="50" t="s">
        <v>100</v>
      </c>
      <c r="G291" s="44">
        <f t="shared" si="252"/>
        <v>6</v>
      </c>
      <c r="H291" s="44">
        <f t="shared" si="252"/>
        <v>2000</v>
      </c>
      <c r="I291" s="44">
        <f t="shared" si="259"/>
        <v>0</v>
      </c>
      <c r="J291" s="115">
        <f>'LOE Breakdown by Year'!G74</f>
        <v>0</v>
      </c>
      <c r="K291" s="44">
        <f t="shared" si="253"/>
        <v>12</v>
      </c>
      <c r="L291" s="44">
        <f t="shared" si="260"/>
        <v>0</v>
      </c>
      <c r="M291" s="115">
        <f>'LOE Breakdown by Year'!G120</f>
        <v>0</v>
      </c>
      <c r="N291" s="44">
        <f t="shared" si="254"/>
        <v>12</v>
      </c>
      <c r="O291" s="44">
        <f t="shared" si="261"/>
        <v>0</v>
      </c>
      <c r="P291" s="115">
        <f>'LOE Breakdown by Year'!G166</f>
        <v>0</v>
      </c>
      <c r="Q291" s="44">
        <f t="shared" si="255"/>
        <v>12</v>
      </c>
      <c r="R291" s="44">
        <f t="shared" si="262"/>
        <v>0</v>
      </c>
      <c r="S291" s="115">
        <f>'LOE Breakdown by Year'!G212</f>
        <v>0</v>
      </c>
      <c r="T291" s="44">
        <f t="shared" si="256"/>
        <v>12</v>
      </c>
      <c r="U291" s="44">
        <f t="shared" si="263"/>
        <v>0</v>
      </c>
      <c r="V291" s="115">
        <f>'LOE Breakdown by Year'!G258</f>
        <v>0</v>
      </c>
      <c r="W291" s="44">
        <f t="shared" si="257"/>
        <v>11</v>
      </c>
      <c r="X291" s="44">
        <f t="shared" si="264"/>
        <v>0</v>
      </c>
      <c r="Y291" s="44">
        <f t="shared" si="265"/>
        <v>0</v>
      </c>
      <c r="Z291" s="44">
        <v>0</v>
      </c>
      <c r="AA291" s="44">
        <f t="shared" si="266"/>
        <v>0</v>
      </c>
    </row>
    <row r="292" spans="1:27" hidden="1">
      <c r="A292" s="595" t="s">
        <v>928</v>
      </c>
      <c r="B292" s="595">
        <v>70000</v>
      </c>
      <c r="C292" s="595" t="s">
        <v>747</v>
      </c>
      <c r="D292" s="8" t="str">
        <f t="shared" si="251"/>
        <v>M&amp;E Officer</v>
      </c>
      <c r="E292" s="123">
        <f>'LOE Breakdown by Year'!G29</f>
        <v>0</v>
      </c>
      <c r="F292" s="50" t="s">
        <v>100</v>
      </c>
      <c r="G292" s="44">
        <f t="shared" si="252"/>
        <v>2</v>
      </c>
      <c r="H292" s="44">
        <f t="shared" si="252"/>
        <v>1250</v>
      </c>
      <c r="I292" s="44">
        <f t="shared" si="259"/>
        <v>0</v>
      </c>
      <c r="J292" s="115">
        <f>'LOE Breakdown by Year'!G75</f>
        <v>0</v>
      </c>
      <c r="K292" s="44">
        <f t="shared" si="253"/>
        <v>12</v>
      </c>
      <c r="L292" s="44">
        <f t="shared" si="260"/>
        <v>0</v>
      </c>
      <c r="M292" s="115">
        <f>'LOE Breakdown by Year'!G121</f>
        <v>0</v>
      </c>
      <c r="N292" s="44">
        <f t="shared" si="254"/>
        <v>12</v>
      </c>
      <c r="O292" s="44">
        <f t="shared" si="261"/>
        <v>0</v>
      </c>
      <c r="P292" s="115">
        <f>'LOE Breakdown by Year'!G167</f>
        <v>0</v>
      </c>
      <c r="Q292" s="44">
        <f t="shared" si="255"/>
        <v>12</v>
      </c>
      <c r="R292" s="44">
        <f t="shared" si="262"/>
        <v>0</v>
      </c>
      <c r="S292" s="115">
        <f>'LOE Breakdown by Year'!G213</f>
        <v>0</v>
      </c>
      <c r="T292" s="44">
        <f t="shared" si="256"/>
        <v>12</v>
      </c>
      <c r="U292" s="44">
        <f t="shared" si="263"/>
        <v>0</v>
      </c>
      <c r="V292" s="115">
        <f>'LOE Breakdown by Year'!G259</f>
        <v>0</v>
      </c>
      <c r="W292" s="44">
        <f t="shared" si="257"/>
        <v>3</v>
      </c>
      <c r="X292" s="44">
        <f t="shared" si="264"/>
        <v>0</v>
      </c>
      <c r="Y292" s="44">
        <f t="shared" si="265"/>
        <v>0</v>
      </c>
      <c r="Z292" s="44">
        <v>0</v>
      </c>
      <c r="AA292" s="44">
        <f t="shared" si="266"/>
        <v>0</v>
      </c>
    </row>
    <row r="293" spans="1:27" hidden="1">
      <c r="A293" s="595" t="s">
        <v>929</v>
      </c>
      <c r="B293" s="595">
        <v>70000</v>
      </c>
      <c r="C293" s="595" t="s">
        <v>747</v>
      </c>
      <c r="D293" s="8" t="str">
        <f t="shared" si="251"/>
        <v>Supply Chain Manager</v>
      </c>
      <c r="E293" s="123">
        <f>'LOE Breakdown by Year'!G30</f>
        <v>0</v>
      </c>
      <c r="F293" s="50" t="s">
        <v>100</v>
      </c>
      <c r="G293" s="44">
        <f t="shared" si="252"/>
        <v>11</v>
      </c>
      <c r="H293" s="44">
        <f t="shared" si="252"/>
        <v>5000</v>
      </c>
      <c r="I293" s="44">
        <f t="shared" si="259"/>
        <v>0</v>
      </c>
      <c r="J293" s="115">
        <f>'LOE Breakdown by Year'!G76</f>
        <v>0</v>
      </c>
      <c r="K293" s="44">
        <f t="shared" si="253"/>
        <v>12</v>
      </c>
      <c r="L293" s="44">
        <f t="shared" si="260"/>
        <v>0</v>
      </c>
      <c r="M293" s="115">
        <f>'LOE Breakdown by Year'!G122</f>
        <v>0</v>
      </c>
      <c r="N293" s="44">
        <f t="shared" si="254"/>
        <v>12</v>
      </c>
      <c r="O293" s="44">
        <f t="shared" si="261"/>
        <v>0</v>
      </c>
      <c r="P293" s="115">
        <f>'LOE Breakdown by Year'!G168</f>
        <v>0</v>
      </c>
      <c r="Q293" s="44">
        <f t="shared" si="255"/>
        <v>12</v>
      </c>
      <c r="R293" s="44">
        <f t="shared" si="262"/>
        <v>0</v>
      </c>
      <c r="S293" s="115">
        <f>'LOE Breakdown by Year'!G214</f>
        <v>0</v>
      </c>
      <c r="T293" s="44">
        <f t="shared" si="256"/>
        <v>12</v>
      </c>
      <c r="U293" s="44">
        <f t="shared" si="263"/>
        <v>0</v>
      </c>
      <c r="V293" s="115">
        <f>'LOE Breakdown by Year'!G260</f>
        <v>0</v>
      </c>
      <c r="W293" s="44">
        <f t="shared" si="257"/>
        <v>8</v>
      </c>
      <c r="X293" s="44">
        <f t="shared" si="264"/>
        <v>0</v>
      </c>
      <c r="Y293" s="44">
        <f t="shared" si="265"/>
        <v>0</v>
      </c>
      <c r="Z293" s="44">
        <v>0</v>
      </c>
      <c r="AA293" s="44">
        <f t="shared" si="266"/>
        <v>0</v>
      </c>
    </row>
    <row r="294" spans="1:27" hidden="1">
      <c r="A294" s="595" t="s">
        <v>930</v>
      </c>
      <c r="B294" s="595">
        <v>70000</v>
      </c>
      <c r="C294" s="595" t="s">
        <v>747</v>
      </c>
      <c r="D294" s="8" t="str">
        <f t="shared" si="251"/>
        <v>In-Country Logistics Specialist</v>
      </c>
      <c r="E294" s="123">
        <f>'LOE Breakdown by Year'!G31</f>
        <v>0</v>
      </c>
      <c r="F294" s="50" t="s">
        <v>100</v>
      </c>
      <c r="G294" s="44">
        <f t="shared" ref="G294:H307" si="267">G32</f>
        <v>9</v>
      </c>
      <c r="H294" s="44">
        <f t="shared" si="267"/>
        <v>2000</v>
      </c>
      <c r="I294" s="44">
        <f t="shared" si="259"/>
        <v>0</v>
      </c>
      <c r="J294" s="115">
        <f>'LOE Breakdown by Year'!G77</f>
        <v>0</v>
      </c>
      <c r="K294" s="44">
        <f t="shared" si="253"/>
        <v>12</v>
      </c>
      <c r="L294" s="44">
        <f t="shared" si="260"/>
        <v>0</v>
      </c>
      <c r="M294" s="115">
        <f>'LOE Breakdown by Year'!G123</f>
        <v>0</v>
      </c>
      <c r="N294" s="44">
        <f t="shared" si="254"/>
        <v>12</v>
      </c>
      <c r="O294" s="44">
        <f t="shared" si="261"/>
        <v>0</v>
      </c>
      <c r="P294" s="115">
        <f>'LOE Breakdown by Year'!G169</f>
        <v>0</v>
      </c>
      <c r="Q294" s="44">
        <f t="shared" si="255"/>
        <v>12</v>
      </c>
      <c r="R294" s="44">
        <f t="shared" si="262"/>
        <v>0</v>
      </c>
      <c r="S294" s="115">
        <f>'LOE Breakdown by Year'!G215</f>
        <v>0</v>
      </c>
      <c r="T294" s="44">
        <f t="shared" si="256"/>
        <v>12</v>
      </c>
      <c r="U294" s="44">
        <f t="shared" si="263"/>
        <v>0</v>
      </c>
      <c r="V294" s="115">
        <f>'LOE Breakdown by Year'!G261</f>
        <v>0</v>
      </c>
      <c r="W294" s="44">
        <f t="shared" si="257"/>
        <v>8</v>
      </c>
      <c r="X294" s="44">
        <f t="shared" si="264"/>
        <v>0</v>
      </c>
      <c r="Y294" s="44">
        <f t="shared" si="265"/>
        <v>0</v>
      </c>
      <c r="Z294" s="44">
        <v>0</v>
      </c>
      <c r="AA294" s="44">
        <f t="shared" si="266"/>
        <v>0</v>
      </c>
    </row>
    <row r="295" spans="1:27" hidden="1">
      <c r="A295" s="595" t="s">
        <v>931</v>
      </c>
      <c r="B295" s="595">
        <v>70000</v>
      </c>
      <c r="C295" s="595" t="s">
        <v>747</v>
      </c>
      <c r="D295" s="8" t="str">
        <f t="shared" si="251"/>
        <v>US Commodity Logistics Specialist</v>
      </c>
      <c r="E295" s="123">
        <f>'LOE Breakdown by Year'!G32</f>
        <v>0</v>
      </c>
      <c r="F295" s="50" t="s">
        <v>100</v>
      </c>
      <c r="G295" s="44">
        <f t="shared" si="267"/>
        <v>9</v>
      </c>
      <c r="H295" s="44">
        <f t="shared" si="267"/>
        <v>2000</v>
      </c>
      <c r="I295" s="44">
        <f t="shared" si="259"/>
        <v>0</v>
      </c>
      <c r="J295" s="115">
        <f>'LOE Breakdown by Year'!G78</f>
        <v>0</v>
      </c>
      <c r="K295" s="44">
        <f t="shared" si="253"/>
        <v>12</v>
      </c>
      <c r="L295" s="44">
        <f t="shared" si="260"/>
        <v>0</v>
      </c>
      <c r="M295" s="115">
        <f>'LOE Breakdown by Year'!G124</f>
        <v>0</v>
      </c>
      <c r="N295" s="44">
        <f t="shared" si="254"/>
        <v>12</v>
      </c>
      <c r="O295" s="44">
        <f t="shared" si="261"/>
        <v>0</v>
      </c>
      <c r="P295" s="115">
        <f>'LOE Breakdown by Year'!G170</f>
        <v>0</v>
      </c>
      <c r="Q295" s="44">
        <f t="shared" si="255"/>
        <v>12</v>
      </c>
      <c r="R295" s="44">
        <f t="shared" si="262"/>
        <v>0</v>
      </c>
      <c r="S295" s="115">
        <f>'LOE Breakdown by Year'!G216</f>
        <v>0</v>
      </c>
      <c r="T295" s="44">
        <f t="shared" si="256"/>
        <v>12</v>
      </c>
      <c r="U295" s="44">
        <f t="shared" si="263"/>
        <v>0</v>
      </c>
      <c r="V295" s="115">
        <f>'LOE Breakdown by Year'!G262</f>
        <v>0</v>
      </c>
      <c r="W295" s="44">
        <f t="shared" si="257"/>
        <v>8</v>
      </c>
      <c r="X295" s="44">
        <f t="shared" si="264"/>
        <v>0</v>
      </c>
      <c r="Y295" s="44">
        <f t="shared" si="265"/>
        <v>0</v>
      </c>
      <c r="Z295" s="44">
        <v>0</v>
      </c>
      <c r="AA295" s="44">
        <f t="shared" si="266"/>
        <v>0</v>
      </c>
    </row>
    <row r="296" spans="1:27" hidden="1">
      <c r="A296" s="595" t="s">
        <v>932</v>
      </c>
      <c r="B296" s="595">
        <v>70000</v>
      </c>
      <c r="C296" s="595" t="s">
        <v>747</v>
      </c>
      <c r="D296" s="8" t="str">
        <f t="shared" si="251"/>
        <v>Warehouse Manager</v>
      </c>
      <c r="E296" s="123">
        <f>'LOE Breakdown by Year'!G33</f>
        <v>0</v>
      </c>
      <c r="F296" s="50" t="s">
        <v>100</v>
      </c>
      <c r="G296" s="44">
        <f t="shared" si="267"/>
        <v>8</v>
      </c>
      <c r="H296" s="44">
        <f t="shared" si="267"/>
        <v>1250</v>
      </c>
      <c r="I296" s="44">
        <f t="shared" si="259"/>
        <v>0</v>
      </c>
      <c r="J296" s="115">
        <f>'LOE Breakdown by Year'!G79</f>
        <v>0</v>
      </c>
      <c r="K296" s="44">
        <f t="shared" si="253"/>
        <v>12</v>
      </c>
      <c r="L296" s="44">
        <f t="shared" si="260"/>
        <v>0</v>
      </c>
      <c r="M296" s="115">
        <f>'LOE Breakdown by Year'!G125</f>
        <v>0</v>
      </c>
      <c r="N296" s="44">
        <f t="shared" si="254"/>
        <v>12</v>
      </c>
      <c r="O296" s="44">
        <f t="shared" si="261"/>
        <v>0</v>
      </c>
      <c r="P296" s="115">
        <f>'LOE Breakdown by Year'!G171</f>
        <v>0</v>
      </c>
      <c r="Q296" s="44">
        <f t="shared" si="255"/>
        <v>12</v>
      </c>
      <c r="R296" s="44">
        <f t="shared" si="262"/>
        <v>0</v>
      </c>
      <c r="S296" s="115">
        <f>'LOE Breakdown by Year'!G217</f>
        <v>0</v>
      </c>
      <c r="T296" s="44">
        <f t="shared" si="256"/>
        <v>12</v>
      </c>
      <c r="U296" s="44">
        <f t="shared" si="263"/>
        <v>0</v>
      </c>
      <c r="V296" s="115">
        <f>'LOE Breakdown by Year'!G263</f>
        <v>0</v>
      </c>
      <c r="W296" s="44">
        <f t="shared" si="257"/>
        <v>8</v>
      </c>
      <c r="X296" s="44">
        <f t="shared" si="264"/>
        <v>0</v>
      </c>
      <c r="Y296" s="44">
        <f t="shared" si="265"/>
        <v>0</v>
      </c>
      <c r="Z296" s="44">
        <v>0</v>
      </c>
      <c r="AA296" s="44">
        <f t="shared" si="266"/>
        <v>0</v>
      </c>
    </row>
    <row r="297" spans="1:27" hidden="1">
      <c r="A297" s="595" t="s">
        <v>933</v>
      </c>
      <c r="B297" s="595">
        <v>70000</v>
      </c>
      <c r="C297" s="595" t="s">
        <v>747</v>
      </c>
      <c r="D297" s="8" t="str">
        <f t="shared" si="251"/>
        <v>Warehouse Officer - (2 Individuals)</v>
      </c>
      <c r="E297" s="123">
        <f>'LOE Breakdown by Year'!G34</f>
        <v>0</v>
      </c>
      <c r="F297" s="50" t="s">
        <v>100</v>
      </c>
      <c r="G297" s="44">
        <f t="shared" si="267"/>
        <v>8</v>
      </c>
      <c r="H297" s="44">
        <f t="shared" si="267"/>
        <v>1000</v>
      </c>
      <c r="I297" s="44">
        <f t="shared" si="259"/>
        <v>0</v>
      </c>
      <c r="J297" s="115">
        <f>'LOE Breakdown by Year'!G80</f>
        <v>0</v>
      </c>
      <c r="K297" s="44">
        <f t="shared" si="253"/>
        <v>24</v>
      </c>
      <c r="L297" s="44">
        <f t="shared" si="260"/>
        <v>0</v>
      </c>
      <c r="M297" s="115">
        <f>'LOE Breakdown by Year'!G126</f>
        <v>0</v>
      </c>
      <c r="N297" s="44">
        <f t="shared" si="254"/>
        <v>24</v>
      </c>
      <c r="O297" s="44">
        <f t="shared" si="261"/>
        <v>0</v>
      </c>
      <c r="P297" s="115">
        <f>'LOE Breakdown by Year'!G172</f>
        <v>0</v>
      </c>
      <c r="Q297" s="44">
        <f t="shared" si="255"/>
        <v>24</v>
      </c>
      <c r="R297" s="44">
        <f t="shared" si="262"/>
        <v>0</v>
      </c>
      <c r="S297" s="115">
        <f>'LOE Breakdown by Year'!G218</f>
        <v>0</v>
      </c>
      <c r="T297" s="44">
        <f t="shared" si="256"/>
        <v>24</v>
      </c>
      <c r="U297" s="44">
        <f t="shared" si="263"/>
        <v>0</v>
      </c>
      <c r="V297" s="115">
        <f>'LOE Breakdown by Year'!G264</f>
        <v>0</v>
      </c>
      <c r="W297" s="44">
        <f t="shared" si="257"/>
        <v>8</v>
      </c>
      <c r="X297" s="44">
        <f t="shared" si="264"/>
        <v>0</v>
      </c>
      <c r="Y297" s="44">
        <f t="shared" si="265"/>
        <v>0</v>
      </c>
      <c r="Z297" s="44">
        <v>0</v>
      </c>
      <c r="AA297" s="44">
        <f t="shared" si="266"/>
        <v>0</v>
      </c>
    </row>
    <row r="298" spans="1:27" hidden="1">
      <c r="A298" s="595" t="s">
        <v>934</v>
      </c>
      <c r="B298" s="595">
        <v>70000</v>
      </c>
      <c r="C298" s="595" t="s">
        <v>747</v>
      </c>
      <c r="D298" s="8" t="str">
        <f t="shared" si="251"/>
        <v xml:space="preserve">LRP Technical Specialist </v>
      </c>
      <c r="E298" s="123">
        <f>'LOE Breakdown by Year'!G35</f>
        <v>0</v>
      </c>
      <c r="F298" s="50" t="s">
        <v>100</v>
      </c>
      <c r="G298" s="44">
        <f t="shared" si="267"/>
        <v>8</v>
      </c>
      <c r="H298" s="44">
        <f t="shared" si="267"/>
        <v>1500</v>
      </c>
      <c r="I298" s="44">
        <f t="shared" si="259"/>
        <v>0</v>
      </c>
      <c r="J298" s="115">
        <f>'LOE Breakdown by Year'!G81</f>
        <v>0</v>
      </c>
      <c r="K298" s="44">
        <f t="shared" si="253"/>
        <v>12</v>
      </c>
      <c r="L298" s="44">
        <f t="shared" si="260"/>
        <v>0</v>
      </c>
      <c r="M298" s="115">
        <f>'LOE Breakdown by Year'!G127</f>
        <v>0</v>
      </c>
      <c r="N298" s="44">
        <f t="shared" si="254"/>
        <v>12</v>
      </c>
      <c r="O298" s="44">
        <f t="shared" si="261"/>
        <v>0</v>
      </c>
      <c r="P298" s="115">
        <f>'LOE Breakdown by Year'!G173</f>
        <v>0</v>
      </c>
      <c r="Q298" s="44">
        <f t="shared" si="255"/>
        <v>12</v>
      </c>
      <c r="R298" s="44">
        <f t="shared" si="262"/>
        <v>0</v>
      </c>
      <c r="S298" s="115">
        <f>'LOE Breakdown by Year'!G219</f>
        <v>0</v>
      </c>
      <c r="T298" s="44">
        <f t="shared" si="256"/>
        <v>12</v>
      </c>
      <c r="U298" s="44">
        <f t="shared" si="263"/>
        <v>0</v>
      </c>
      <c r="V298" s="115">
        <f>'LOE Breakdown by Year'!G265</f>
        <v>0</v>
      </c>
      <c r="W298" s="44">
        <f t="shared" si="257"/>
        <v>0</v>
      </c>
      <c r="X298" s="44">
        <f t="shared" si="264"/>
        <v>0</v>
      </c>
      <c r="Y298" s="44">
        <f t="shared" si="265"/>
        <v>0</v>
      </c>
      <c r="Z298" s="44">
        <v>0</v>
      </c>
      <c r="AA298" s="44">
        <f t="shared" si="266"/>
        <v>0</v>
      </c>
    </row>
    <row r="299" spans="1:27" hidden="1">
      <c r="A299" s="595" t="s">
        <v>935</v>
      </c>
      <c r="B299" s="595">
        <v>70000</v>
      </c>
      <c r="C299" s="595" t="s">
        <v>747</v>
      </c>
      <c r="D299" s="8" t="str">
        <f t="shared" si="251"/>
        <v>Finance &amp; Administration Director</v>
      </c>
      <c r="E299" s="123">
        <f>'LOE Breakdown by Year'!G36</f>
        <v>0</v>
      </c>
      <c r="F299" s="50" t="s">
        <v>100</v>
      </c>
      <c r="G299" s="44">
        <f t="shared" si="267"/>
        <v>9</v>
      </c>
      <c r="H299" s="44">
        <f t="shared" si="267"/>
        <v>5000</v>
      </c>
      <c r="I299" s="44">
        <f t="shared" si="259"/>
        <v>0</v>
      </c>
      <c r="J299" s="115">
        <f>'LOE Breakdown by Year'!G82</f>
        <v>0</v>
      </c>
      <c r="K299" s="44">
        <f t="shared" si="253"/>
        <v>12</v>
      </c>
      <c r="L299" s="44">
        <f t="shared" si="260"/>
        <v>0</v>
      </c>
      <c r="M299" s="115">
        <f>'LOE Breakdown by Year'!G128</f>
        <v>0</v>
      </c>
      <c r="N299" s="44">
        <f t="shared" si="254"/>
        <v>12</v>
      </c>
      <c r="O299" s="44">
        <f t="shared" si="261"/>
        <v>0</v>
      </c>
      <c r="P299" s="115">
        <f>'LOE Breakdown by Year'!G174</f>
        <v>0</v>
      </c>
      <c r="Q299" s="44">
        <f t="shared" si="255"/>
        <v>12</v>
      </c>
      <c r="R299" s="44">
        <f t="shared" si="262"/>
        <v>0</v>
      </c>
      <c r="S299" s="115">
        <f>'LOE Breakdown by Year'!G220</f>
        <v>0</v>
      </c>
      <c r="T299" s="44">
        <f t="shared" si="256"/>
        <v>12</v>
      </c>
      <c r="U299" s="44">
        <f t="shared" si="263"/>
        <v>0</v>
      </c>
      <c r="V299" s="115">
        <f>'LOE Breakdown by Year'!G266</f>
        <v>0</v>
      </c>
      <c r="W299" s="44">
        <f t="shared" si="257"/>
        <v>12</v>
      </c>
      <c r="X299" s="44">
        <f t="shared" si="264"/>
        <v>0</v>
      </c>
      <c r="Y299" s="44">
        <f t="shared" si="265"/>
        <v>0</v>
      </c>
      <c r="Z299" s="44">
        <v>0</v>
      </c>
      <c r="AA299" s="44">
        <f t="shared" si="266"/>
        <v>0</v>
      </c>
    </row>
    <row r="300" spans="1:27" hidden="1">
      <c r="A300" s="595" t="s">
        <v>936</v>
      </c>
      <c r="B300" s="595">
        <v>70000</v>
      </c>
      <c r="C300" s="595" t="s">
        <v>747</v>
      </c>
      <c r="D300" s="8" t="str">
        <f t="shared" si="251"/>
        <v>Contracts &amp; Compliance Manager</v>
      </c>
      <c r="E300" s="123">
        <f>'LOE Breakdown by Year'!G37</f>
        <v>0</v>
      </c>
      <c r="F300" s="50" t="s">
        <v>100</v>
      </c>
      <c r="G300" s="44">
        <f t="shared" si="267"/>
        <v>9</v>
      </c>
      <c r="H300" s="44">
        <f t="shared" si="267"/>
        <v>2633.3333333333335</v>
      </c>
      <c r="I300" s="44">
        <f t="shared" si="259"/>
        <v>0</v>
      </c>
      <c r="J300" s="115">
        <f>'LOE Breakdown by Year'!G83</f>
        <v>0</v>
      </c>
      <c r="K300" s="44">
        <f t="shared" si="253"/>
        <v>12</v>
      </c>
      <c r="L300" s="44">
        <f t="shared" si="260"/>
        <v>0</v>
      </c>
      <c r="M300" s="115">
        <f>'LOE Breakdown by Year'!G129</f>
        <v>0</v>
      </c>
      <c r="N300" s="44">
        <f t="shared" si="254"/>
        <v>12</v>
      </c>
      <c r="O300" s="44">
        <f t="shared" si="261"/>
        <v>0</v>
      </c>
      <c r="P300" s="115">
        <f>'LOE Breakdown by Year'!G175</f>
        <v>0</v>
      </c>
      <c r="Q300" s="44">
        <f t="shared" si="255"/>
        <v>12</v>
      </c>
      <c r="R300" s="44">
        <f t="shared" si="262"/>
        <v>0</v>
      </c>
      <c r="S300" s="115">
        <f>'LOE Breakdown by Year'!G221</f>
        <v>0</v>
      </c>
      <c r="T300" s="44">
        <f t="shared" si="256"/>
        <v>12</v>
      </c>
      <c r="U300" s="44">
        <f t="shared" si="263"/>
        <v>0</v>
      </c>
      <c r="V300" s="115">
        <f>'LOE Breakdown by Year'!G267</f>
        <v>0</v>
      </c>
      <c r="W300" s="44">
        <f t="shared" si="257"/>
        <v>11</v>
      </c>
      <c r="X300" s="44">
        <f t="shared" si="264"/>
        <v>0</v>
      </c>
      <c r="Y300" s="44">
        <f t="shared" si="265"/>
        <v>0</v>
      </c>
      <c r="Z300" s="44">
        <v>0</v>
      </c>
      <c r="AA300" s="44">
        <f t="shared" si="266"/>
        <v>0</v>
      </c>
    </row>
    <row r="301" spans="1:27" hidden="1">
      <c r="A301" s="595" t="s">
        <v>937</v>
      </c>
      <c r="B301" s="595">
        <v>70000</v>
      </c>
      <c r="C301" s="595" t="s">
        <v>747</v>
      </c>
      <c r="D301" s="8" t="str">
        <f t="shared" si="251"/>
        <v>Grants &amp; Procurement Specialist</v>
      </c>
      <c r="E301" s="123">
        <f>'LOE Breakdown by Year'!G38</f>
        <v>0</v>
      </c>
      <c r="F301" s="50" t="s">
        <v>100</v>
      </c>
      <c r="G301" s="44">
        <f t="shared" si="267"/>
        <v>6</v>
      </c>
      <c r="H301" s="44">
        <f t="shared" si="267"/>
        <v>1500</v>
      </c>
      <c r="I301" s="44">
        <f t="shared" si="259"/>
        <v>0</v>
      </c>
      <c r="J301" s="115">
        <f>'LOE Breakdown by Year'!G84</f>
        <v>0</v>
      </c>
      <c r="K301" s="44">
        <f t="shared" si="253"/>
        <v>12</v>
      </c>
      <c r="L301" s="44">
        <f t="shared" si="260"/>
        <v>0</v>
      </c>
      <c r="M301" s="115">
        <f>'LOE Breakdown by Year'!G130</f>
        <v>0</v>
      </c>
      <c r="N301" s="44">
        <f t="shared" si="254"/>
        <v>12</v>
      </c>
      <c r="O301" s="44">
        <f t="shared" si="261"/>
        <v>0</v>
      </c>
      <c r="P301" s="115">
        <f>'LOE Breakdown by Year'!G176</f>
        <v>0</v>
      </c>
      <c r="Q301" s="44">
        <f t="shared" si="255"/>
        <v>12</v>
      </c>
      <c r="R301" s="44">
        <f t="shared" si="262"/>
        <v>0</v>
      </c>
      <c r="S301" s="115">
        <f>'LOE Breakdown by Year'!G222</f>
        <v>0</v>
      </c>
      <c r="T301" s="44">
        <f t="shared" si="256"/>
        <v>12</v>
      </c>
      <c r="U301" s="44">
        <f t="shared" si="263"/>
        <v>0</v>
      </c>
      <c r="V301" s="115">
        <f>'LOE Breakdown by Year'!G268</f>
        <v>0</v>
      </c>
      <c r="W301" s="44">
        <f t="shared" si="257"/>
        <v>6</v>
      </c>
      <c r="X301" s="44">
        <f t="shared" si="264"/>
        <v>0</v>
      </c>
      <c r="Y301" s="44">
        <f t="shared" si="265"/>
        <v>0</v>
      </c>
      <c r="Z301" s="44">
        <v>0</v>
      </c>
      <c r="AA301" s="44">
        <f t="shared" si="266"/>
        <v>0</v>
      </c>
    </row>
    <row r="302" spans="1:27" hidden="1">
      <c r="A302" s="595" t="s">
        <v>938</v>
      </c>
      <c r="B302" s="595">
        <v>70000</v>
      </c>
      <c r="C302" s="595" t="s">
        <v>747</v>
      </c>
      <c r="D302" s="8" t="str">
        <f t="shared" si="251"/>
        <v>Grants &amp; Procurement Officer</v>
      </c>
      <c r="E302" s="123">
        <f>'LOE Breakdown by Year'!G39</f>
        <v>0</v>
      </c>
      <c r="F302" s="50" t="s">
        <v>100</v>
      </c>
      <c r="G302" s="44">
        <f t="shared" si="267"/>
        <v>2</v>
      </c>
      <c r="H302" s="44">
        <f t="shared" si="267"/>
        <v>1000</v>
      </c>
      <c r="I302" s="44">
        <f t="shared" si="259"/>
        <v>0</v>
      </c>
      <c r="J302" s="115">
        <f>'LOE Breakdown by Year'!G85</f>
        <v>0</v>
      </c>
      <c r="K302" s="44">
        <f t="shared" si="253"/>
        <v>12</v>
      </c>
      <c r="L302" s="44">
        <f t="shared" si="260"/>
        <v>0</v>
      </c>
      <c r="M302" s="115">
        <f>'LOE Breakdown by Year'!G131</f>
        <v>0</v>
      </c>
      <c r="N302" s="44">
        <f t="shared" si="254"/>
        <v>12</v>
      </c>
      <c r="O302" s="44">
        <f t="shared" si="261"/>
        <v>0</v>
      </c>
      <c r="P302" s="115">
        <f>'LOE Breakdown by Year'!G177</f>
        <v>0</v>
      </c>
      <c r="Q302" s="44">
        <f t="shared" si="255"/>
        <v>12</v>
      </c>
      <c r="R302" s="44">
        <f t="shared" si="262"/>
        <v>0</v>
      </c>
      <c r="S302" s="115">
        <f>'LOE Breakdown by Year'!G223</f>
        <v>0</v>
      </c>
      <c r="T302" s="44">
        <f t="shared" si="256"/>
        <v>12</v>
      </c>
      <c r="U302" s="44">
        <f t="shared" si="263"/>
        <v>0</v>
      </c>
      <c r="V302" s="115">
        <f>'LOE Breakdown by Year'!G269</f>
        <v>0</v>
      </c>
      <c r="W302" s="44">
        <f t="shared" si="257"/>
        <v>3</v>
      </c>
      <c r="X302" s="44">
        <f t="shared" si="264"/>
        <v>0</v>
      </c>
      <c r="Y302" s="44">
        <f t="shared" si="265"/>
        <v>0</v>
      </c>
      <c r="Z302" s="44">
        <v>0</v>
      </c>
      <c r="AA302" s="44">
        <f t="shared" si="266"/>
        <v>0</v>
      </c>
    </row>
    <row r="303" spans="1:27" hidden="1">
      <c r="A303" s="595" t="s">
        <v>939</v>
      </c>
      <c r="B303" s="595">
        <v>70000</v>
      </c>
      <c r="C303" s="595" t="s">
        <v>747</v>
      </c>
      <c r="D303" s="8" t="str">
        <f t="shared" si="251"/>
        <v>Finance Officer</v>
      </c>
      <c r="E303" s="123">
        <f>'LOE Breakdown by Year'!G40</f>
        <v>0</v>
      </c>
      <c r="F303" s="50" t="s">
        <v>100</v>
      </c>
      <c r="G303" s="44">
        <f t="shared" si="267"/>
        <v>9</v>
      </c>
      <c r="H303" s="44">
        <f t="shared" si="267"/>
        <v>1250</v>
      </c>
      <c r="I303" s="44">
        <f t="shared" si="259"/>
        <v>0</v>
      </c>
      <c r="J303" s="115">
        <f>'LOE Breakdown by Year'!G86</f>
        <v>0</v>
      </c>
      <c r="K303" s="44">
        <f t="shared" si="253"/>
        <v>12</v>
      </c>
      <c r="L303" s="44">
        <f t="shared" si="260"/>
        <v>0</v>
      </c>
      <c r="M303" s="115">
        <f>'LOE Breakdown by Year'!G132</f>
        <v>0</v>
      </c>
      <c r="N303" s="44">
        <f t="shared" si="254"/>
        <v>12</v>
      </c>
      <c r="O303" s="44">
        <f t="shared" si="261"/>
        <v>0</v>
      </c>
      <c r="P303" s="115">
        <f>'LOE Breakdown by Year'!G178</f>
        <v>0</v>
      </c>
      <c r="Q303" s="44">
        <f t="shared" si="255"/>
        <v>12</v>
      </c>
      <c r="R303" s="44">
        <f t="shared" si="262"/>
        <v>0</v>
      </c>
      <c r="S303" s="115">
        <f>'LOE Breakdown by Year'!G224</f>
        <v>0</v>
      </c>
      <c r="T303" s="44">
        <f t="shared" si="256"/>
        <v>12</v>
      </c>
      <c r="U303" s="44">
        <f t="shared" si="263"/>
        <v>0</v>
      </c>
      <c r="V303" s="115">
        <f>'LOE Breakdown by Year'!G270</f>
        <v>0</v>
      </c>
      <c r="W303" s="44">
        <f t="shared" si="257"/>
        <v>11</v>
      </c>
      <c r="X303" s="44">
        <f t="shared" si="264"/>
        <v>0</v>
      </c>
      <c r="Y303" s="44">
        <f t="shared" si="265"/>
        <v>0</v>
      </c>
      <c r="Z303" s="44">
        <v>0</v>
      </c>
      <c r="AA303" s="44">
        <f t="shared" si="266"/>
        <v>0</v>
      </c>
    </row>
    <row r="304" spans="1:27" hidden="1">
      <c r="A304" s="595" t="s">
        <v>940</v>
      </c>
      <c r="B304" s="595">
        <v>70000</v>
      </c>
      <c r="C304" s="595" t="s">
        <v>747</v>
      </c>
      <c r="D304" s="8" t="str">
        <f t="shared" si="251"/>
        <v>Accountant</v>
      </c>
      <c r="E304" s="123">
        <f>'LOE Breakdown by Year'!G41</f>
        <v>0</v>
      </c>
      <c r="F304" s="50" t="s">
        <v>100</v>
      </c>
      <c r="G304" s="44">
        <f t="shared" si="267"/>
        <v>3</v>
      </c>
      <c r="H304" s="44">
        <f t="shared" si="267"/>
        <v>1000</v>
      </c>
      <c r="I304" s="44">
        <f t="shared" si="259"/>
        <v>0</v>
      </c>
      <c r="J304" s="115">
        <f>'LOE Breakdown by Year'!G87</f>
        <v>0</v>
      </c>
      <c r="K304" s="44">
        <f t="shared" si="253"/>
        <v>12</v>
      </c>
      <c r="L304" s="44">
        <f t="shared" si="260"/>
        <v>0</v>
      </c>
      <c r="M304" s="115">
        <f>'LOE Breakdown by Year'!G133</f>
        <v>0</v>
      </c>
      <c r="N304" s="44">
        <f t="shared" si="254"/>
        <v>12</v>
      </c>
      <c r="O304" s="44">
        <f t="shared" si="261"/>
        <v>0</v>
      </c>
      <c r="P304" s="115">
        <f>'LOE Breakdown by Year'!G179</f>
        <v>0</v>
      </c>
      <c r="Q304" s="44">
        <f t="shared" si="255"/>
        <v>12</v>
      </c>
      <c r="R304" s="44">
        <f t="shared" si="262"/>
        <v>0</v>
      </c>
      <c r="S304" s="115">
        <f>'LOE Breakdown by Year'!G225</f>
        <v>0</v>
      </c>
      <c r="T304" s="44">
        <f t="shared" si="256"/>
        <v>12</v>
      </c>
      <c r="U304" s="44">
        <f t="shared" si="263"/>
        <v>0</v>
      </c>
      <c r="V304" s="115">
        <f>'LOE Breakdown by Year'!G271</f>
        <v>0</v>
      </c>
      <c r="W304" s="44">
        <f t="shared" si="257"/>
        <v>9</v>
      </c>
      <c r="X304" s="44">
        <f t="shared" si="264"/>
        <v>0</v>
      </c>
      <c r="Y304" s="44">
        <f t="shared" si="265"/>
        <v>0</v>
      </c>
      <c r="Z304" s="44">
        <v>0</v>
      </c>
      <c r="AA304" s="44">
        <f t="shared" si="266"/>
        <v>0</v>
      </c>
    </row>
    <row r="305" spans="1:27" hidden="1">
      <c r="A305" s="595" t="s">
        <v>941</v>
      </c>
      <c r="B305" s="595">
        <v>70000</v>
      </c>
      <c r="C305" s="595" t="s">
        <v>747</v>
      </c>
      <c r="D305" s="8" t="str">
        <f t="shared" si="251"/>
        <v>Operation &amp; HR Manager</v>
      </c>
      <c r="E305" s="123">
        <f>'LOE Breakdown by Year'!G42</f>
        <v>0</v>
      </c>
      <c r="F305" s="50" t="s">
        <v>100</v>
      </c>
      <c r="G305" s="44">
        <f t="shared" si="267"/>
        <v>9</v>
      </c>
      <c r="H305" s="44">
        <f t="shared" si="267"/>
        <v>1800</v>
      </c>
      <c r="I305" s="44">
        <f t="shared" si="259"/>
        <v>0</v>
      </c>
      <c r="J305" s="115">
        <f>'LOE Breakdown by Year'!G88</f>
        <v>0</v>
      </c>
      <c r="K305" s="44">
        <f t="shared" si="253"/>
        <v>12</v>
      </c>
      <c r="L305" s="44">
        <f t="shared" si="260"/>
        <v>0</v>
      </c>
      <c r="M305" s="115">
        <f>'LOE Breakdown by Year'!G134</f>
        <v>0</v>
      </c>
      <c r="N305" s="44">
        <f t="shared" si="254"/>
        <v>12</v>
      </c>
      <c r="O305" s="44">
        <f t="shared" si="261"/>
        <v>0</v>
      </c>
      <c r="P305" s="115">
        <f>'LOE Breakdown by Year'!G180</f>
        <v>0</v>
      </c>
      <c r="Q305" s="44">
        <f t="shared" si="255"/>
        <v>12</v>
      </c>
      <c r="R305" s="44">
        <f t="shared" si="262"/>
        <v>0</v>
      </c>
      <c r="S305" s="115">
        <f>'LOE Breakdown by Year'!G226</f>
        <v>0</v>
      </c>
      <c r="T305" s="44">
        <f t="shared" si="256"/>
        <v>12</v>
      </c>
      <c r="U305" s="44">
        <f t="shared" si="263"/>
        <v>0</v>
      </c>
      <c r="V305" s="115">
        <f>'LOE Breakdown by Year'!G272</f>
        <v>0</v>
      </c>
      <c r="W305" s="44">
        <f t="shared" si="257"/>
        <v>11</v>
      </c>
      <c r="X305" s="44">
        <f t="shared" si="264"/>
        <v>0</v>
      </c>
      <c r="Y305" s="44">
        <f t="shared" si="265"/>
        <v>0</v>
      </c>
      <c r="Z305" s="44">
        <v>0</v>
      </c>
      <c r="AA305" s="44">
        <f t="shared" si="266"/>
        <v>0</v>
      </c>
    </row>
    <row r="306" spans="1:27" hidden="1">
      <c r="A306" s="595" t="s">
        <v>942</v>
      </c>
      <c r="B306" s="595">
        <v>70000</v>
      </c>
      <c r="C306" s="595" t="s">
        <v>747</v>
      </c>
      <c r="D306" s="8" t="str">
        <f t="shared" si="251"/>
        <v>Administrative Assistant - (2 Individuals)</v>
      </c>
      <c r="E306" s="123">
        <f>'LOE Breakdown by Year'!G43</f>
        <v>0</v>
      </c>
      <c r="F306" s="50" t="s">
        <v>100</v>
      </c>
      <c r="G306" s="44">
        <f t="shared" si="267"/>
        <v>6</v>
      </c>
      <c r="H306" s="44">
        <f t="shared" si="267"/>
        <v>750</v>
      </c>
      <c r="I306" s="44">
        <f t="shared" si="259"/>
        <v>0</v>
      </c>
      <c r="J306" s="115">
        <f>'LOE Breakdown by Year'!G89</f>
        <v>0</v>
      </c>
      <c r="K306" s="44">
        <f t="shared" si="253"/>
        <v>24</v>
      </c>
      <c r="L306" s="44">
        <f t="shared" si="260"/>
        <v>0</v>
      </c>
      <c r="M306" s="115">
        <f>'LOE Breakdown by Year'!G135</f>
        <v>0</v>
      </c>
      <c r="N306" s="44">
        <f t="shared" si="254"/>
        <v>24</v>
      </c>
      <c r="O306" s="44">
        <f t="shared" si="261"/>
        <v>0</v>
      </c>
      <c r="P306" s="115">
        <f>'LOE Breakdown by Year'!G181</f>
        <v>0</v>
      </c>
      <c r="Q306" s="44">
        <f t="shared" si="255"/>
        <v>24</v>
      </c>
      <c r="R306" s="44">
        <f t="shared" si="262"/>
        <v>0</v>
      </c>
      <c r="S306" s="115">
        <f>'LOE Breakdown by Year'!G227</f>
        <v>0</v>
      </c>
      <c r="T306" s="44">
        <f t="shared" si="256"/>
        <v>24</v>
      </c>
      <c r="U306" s="44">
        <f t="shared" si="263"/>
        <v>0</v>
      </c>
      <c r="V306" s="115">
        <f>'LOE Breakdown by Year'!G273</f>
        <v>0</v>
      </c>
      <c r="W306" s="44">
        <f t="shared" si="257"/>
        <v>10</v>
      </c>
      <c r="X306" s="44">
        <f t="shared" si="264"/>
        <v>0</v>
      </c>
      <c r="Y306" s="44">
        <f t="shared" si="265"/>
        <v>0</v>
      </c>
      <c r="Z306" s="44">
        <v>0</v>
      </c>
      <c r="AA306" s="44">
        <f t="shared" si="266"/>
        <v>0</v>
      </c>
    </row>
    <row r="307" spans="1:27" hidden="1">
      <c r="A307" s="595" t="s">
        <v>943</v>
      </c>
      <c r="B307" s="595">
        <v>70000</v>
      </c>
      <c r="C307" s="595" t="s">
        <v>747</v>
      </c>
      <c r="D307" s="8" t="str">
        <f t="shared" si="251"/>
        <v>Driver - (2 Individuals)</v>
      </c>
      <c r="E307" s="123">
        <f>'LOE Breakdown by Year'!G44</f>
        <v>0</v>
      </c>
      <c r="F307" s="50" t="s">
        <v>100</v>
      </c>
      <c r="G307" s="44">
        <f t="shared" si="267"/>
        <v>6</v>
      </c>
      <c r="H307" s="44">
        <f t="shared" si="267"/>
        <v>500</v>
      </c>
      <c r="I307" s="44">
        <f t="shared" si="259"/>
        <v>0</v>
      </c>
      <c r="J307" s="115">
        <f>'LOE Breakdown by Year'!G90</f>
        <v>0</v>
      </c>
      <c r="K307" s="44">
        <f t="shared" si="253"/>
        <v>24</v>
      </c>
      <c r="L307" s="44">
        <f t="shared" si="260"/>
        <v>0</v>
      </c>
      <c r="M307" s="115">
        <f>'LOE Breakdown by Year'!G136</f>
        <v>0</v>
      </c>
      <c r="N307" s="44">
        <f t="shared" si="254"/>
        <v>24</v>
      </c>
      <c r="O307" s="44">
        <f t="shared" si="261"/>
        <v>0</v>
      </c>
      <c r="P307" s="115">
        <f>'LOE Breakdown by Year'!G182</f>
        <v>0</v>
      </c>
      <c r="Q307" s="44">
        <f t="shared" si="255"/>
        <v>24</v>
      </c>
      <c r="R307" s="44">
        <f t="shared" si="262"/>
        <v>0</v>
      </c>
      <c r="S307" s="115">
        <f>'LOE Breakdown by Year'!G228</f>
        <v>0</v>
      </c>
      <c r="T307" s="44">
        <f t="shared" si="256"/>
        <v>24</v>
      </c>
      <c r="U307" s="44">
        <f t="shared" si="263"/>
        <v>0</v>
      </c>
      <c r="V307" s="115">
        <f>'LOE Breakdown by Year'!G274</f>
        <v>0</v>
      </c>
      <c r="W307" s="44">
        <f t="shared" si="257"/>
        <v>18</v>
      </c>
      <c r="X307" s="44">
        <f t="shared" si="264"/>
        <v>0</v>
      </c>
      <c r="Y307" s="44">
        <f t="shared" si="265"/>
        <v>0</v>
      </c>
      <c r="Z307" s="44">
        <v>0</v>
      </c>
      <c r="AA307" s="44">
        <f t="shared" si="266"/>
        <v>0</v>
      </c>
    </row>
    <row r="308" spans="1:27">
      <c r="A308" s="607"/>
      <c r="B308" s="607"/>
      <c r="C308" s="607"/>
      <c r="D308" s="41" t="s">
        <v>268</v>
      </c>
      <c r="E308" s="127"/>
      <c r="F308" s="46"/>
      <c r="G308" s="47"/>
      <c r="H308" s="47"/>
      <c r="I308" s="48">
        <f>SUM(I274:I307)</f>
        <v>14650</v>
      </c>
      <c r="J308" s="127"/>
      <c r="K308" s="48"/>
      <c r="L308" s="48">
        <f>SUM(L274:L307)</f>
        <v>23520</v>
      </c>
      <c r="M308" s="127"/>
      <c r="N308" s="48"/>
      <c r="O308" s="48">
        <f>SUM(O274:O307)</f>
        <v>24696</v>
      </c>
      <c r="P308" s="127"/>
      <c r="Q308" s="48"/>
      <c r="R308" s="48">
        <f>SUM(R274:R307)</f>
        <v>25930.799999999999</v>
      </c>
      <c r="S308" s="127"/>
      <c r="T308" s="48"/>
      <c r="U308" s="48">
        <f>SUM(U274:U307)</f>
        <v>27227.340000000004</v>
      </c>
      <c r="V308" s="127"/>
      <c r="W308" s="48"/>
      <c r="X308" s="48">
        <f>SUM(X274:X307)</f>
        <v>13571.127281250001</v>
      </c>
      <c r="Y308" s="48">
        <f>SUM(Y274:Y307)</f>
        <v>129595.26728125001</v>
      </c>
      <c r="Z308" s="48">
        <f>SUM(Z274:Z307)</f>
        <v>0</v>
      </c>
      <c r="AA308" s="48">
        <f>SUM(AA274:AA307)</f>
        <v>129595.26728125001</v>
      </c>
    </row>
    <row r="309" spans="1:27">
      <c r="A309" s="608"/>
      <c r="B309" s="608"/>
      <c r="C309" s="608"/>
      <c r="D309" s="100"/>
      <c r="E309" s="128"/>
      <c r="F309" s="81"/>
      <c r="G309" s="63"/>
      <c r="H309" s="63"/>
      <c r="I309" s="63"/>
      <c r="J309" s="128"/>
      <c r="K309" s="63"/>
      <c r="L309" s="63"/>
      <c r="M309" s="128"/>
      <c r="N309" s="63"/>
      <c r="O309" s="63"/>
      <c r="P309" s="128"/>
      <c r="Q309" s="63"/>
      <c r="R309" s="63"/>
      <c r="S309" s="128"/>
      <c r="T309" s="63"/>
      <c r="U309" s="63"/>
      <c r="V309" s="128"/>
      <c r="W309" s="63"/>
      <c r="X309" s="63"/>
      <c r="Y309" s="63"/>
      <c r="Z309" s="63"/>
      <c r="AA309" s="63"/>
    </row>
    <row r="310" spans="1:27">
      <c r="A310" s="607"/>
      <c r="B310" s="607"/>
      <c r="C310" s="607"/>
      <c r="D310" s="41" t="s">
        <v>269</v>
      </c>
      <c r="E310" s="127"/>
      <c r="F310" s="46"/>
      <c r="G310" s="47"/>
      <c r="H310" s="47"/>
      <c r="I310" s="48"/>
      <c r="J310" s="127"/>
      <c r="K310" s="48"/>
      <c r="L310" s="48"/>
      <c r="M310" s="127"/>
      <c r="N310" s="48"/>
      <c r="O310" s="48"/>
      <c r="P310" s="127"/>
      <c r="Q310" s="48"/>
      <c r="R310" s="48"/>
      <c r="S310" s="127"/>
      <c r="T310" s="48"/>
      <c r="U310" s="48"/>
      <c r="V310" s="127"/>
      <c r="W310" s="48"/>
      <c r="X310" s="48"/>
      <c r="Y310" s="48"/>
      <c r="Z310" s="48"/>
      <c r="AA310" s="48"/>
    </row>
    <row r="311" spans="1:27">
      <c r="A311" s="591" t="s">
        <v>866</v>
      </c>
      <c r="B311" s="591" t="s">
        <v>791</v>
      </c>
      <c r="C311" s="591" t="s">
        <v>747</v>
      </c>
      <c r="D311" s="8" t="str">
        <f>D56</f>
        <v>Fringe Benefits CCN - Honduras</v>
      </c>
      <c r="E311" s="116"/>
      <c r="F311" s="82" t="str">
        <f>F56</f>
        <v>%</v>
      </c>
      <c r="G311" s="44">
        <f>G56</f>
        <v>0</v>
      </c>
      <c r="H311" s="60">
        <f>H56</f>
        <v>0.48259999999999997</v>
      </c>
      <c r="I311" s="44">
        <f>(SUM(I274:I307))*$H$311</f>
        <v>7070.0899999999992</v>
      </c>
      <c r="J311" s="116"/>
      <c r="K311" s="44">
        <f>K56</f>
        <v>0</v>
      </c>
      <c r="L311" s="44">
        <f>(SUM(L274:L307))*$H$311</f>
        <v>11350.751999999999</v>
      </c>
      <c r="M311" s="116"/>
      <c r="N311" s="44">
        <f>N56</f>
        <v>0</v>
      </c>
      <c r="O311" s="44">
        <f>(SUM(O274:O307))*$H$311</f>
        <v>11918.2896</v>
      </c>
      <c r="P311" s="116"/>
      <c r="Q311" s="44">
        <f>Q56</f>
        <v>0</v>
      </c>
      <c r="R311" s="44">
        <f>(SUM(R274:R307))*$H$311</f>
        <v>12514.20408</v>
      </c>
      <c r="S311" s="116"/>
      <c r="T311" s="44">
        <f>T56</f>
        <v>0</v>
      </c>
      <c r="U311" s="44">
        <f>(SUM(U274:U307))*$H$311</f>
        <v>13139.914284</v>
      </c>
      <c r="V311" s="116"/>
      <c r="W311" s="44">
        <f>W56</f>
        <v>0</v>
      </c>
      <c r="X311" s="44">
        <f>(SUM(X274:X307))*$H$311</f>
        <v>6549.4260259312505</v>
      </c>
      <c r="Y311" s="44">
        <f>SUM(R311,O311,L311,I311,U311,X311)</f>
        <v>62542.675989931246</v>
      </c>
      <c r="Z311" s="63">
        <v>0</v>
      </c>
      <c r="AA311" s="44">
        <f>SUM(Y311:Z311)</f>
        <v>62542.675989931246</v>
      </c>
    </row>
    <row r="312" spans="1:27">
      <c r="A312" s="607"/>
      <c r="B312" s="607"/>
      <c r="C312" s="607"/>
      <c r="D312" s="41" t="s">
        <v>270</v>
      </c>
      <c r="E312" s="127"/>
      <c r="F312" s="46"/>
      <c r="G312" s="47"/>
      <c r="H312" s="47"/>
      <c r="I312" s="48">
        <f>SUM(I311:I311)</f>
        <v>7070.0899999999992</v>
      </c>
      <c r="J312" s="127"/>
      <c r="K312" s="48"/>
      <c r="L312" s="48">
        <f>SUM(L311:L311)</f>
        <v>11350.751999999999</v>
      </c>
      <c r="M312" s="127"/>
      <c r="N312" s="48"/>
      <c r="O312" s="48">
        <f>SUM(O311:O311)</f>
        <v>11918.2896</v>
      </c>
      <c r="P312" s="127"/>
      <c r="Q312" s="48"/>
      <c r="R312" s="48">
        <f>SUM(R311:R311)</f>
        <v>12514.20408</v>
      </c>
      <c r="S312" s="127"/>
      <c r="T312" s="48"/>
      <c r="U312" s="48">
        <f>SUM(U311:U311)</f>
        <v>13139.914284</v>
      </c>
      <c r="V312" s="127"/>
      <c r="W312" s="48"/>
      <c r="X312" s="48">
        <f>SUM(X311:X311)</f>
        <v>6549.4260259312505</v>
      </c>
      <c r="Y312" s="48">
        <f>SUM(Y311:Y311)</f>
        <v>62542.675989931246</v>
      </c>
      <c r="Z312" s="48">
        <f>SUM(Z311:Z311)</f>
        <v>0</v>
      </c>
      <c r="AA312" s="48">
        <f>SUM(AA311:AA311)</f>
        <v>62542.675989931246</v>
      </c>
    </row>
    <row r="313" spans="1:27">
      <c r="A313" s="608"/>
      <c r="B313" s="608"/>
      <c r="C313" s="608"/>
      <c r="D313" s="100"/>
      <c r="E313" s="128"/>
      <c r="F313" s="81"/>
      <c r="G313" s="63"/>
      <c r="H313" s="63"/>
      <c r="I313" s="63"/>
      <c r="J313" s="128"/>
      <c r="K313" s="63"/>
      <c r="L313" s="63"/>
      <c r="M313" s="128"/>
      <c r="N313" s="63"/>
      <c r="O313" s="63"/>
      <c r="P313" s="128"/>
      <c r="Q313" s="63"/>
      <c r="R313" s="63"/>
      <c r="S313" s="128"/>
      <c r="T313" s="63"/>
      <c r="U313" s="63"/>
      <c r="V313" s="128"/>
      <c r="W313" s="63"/>
      <c r="X313" s="63"/>
      <c r="Y313" s="63"/>
      <c r="Z313" s="63"/>
      <c r="AA313" s="63"/>
    </row>
    <row r="314" spans="1:27">
      <c r="A314" s="607"/>
      <c r="B314" s="607"/>
      <c r="C314" s="607"/>
      <c r="D314" s="41" t="s">
        <v>271</v>
      </c>
      <c r="E314" s="127"/>
      <c r="F314" s="46"/>
      <c r="G314" s="47"/>
      <c r="H314" s="47"/>
      <c r="I314" s="47"/>
      <c r="J314" s="127"/>
      <c r="K314" s="47"/>
      <c r="L314" s="47"/>
      <c r="M314" s="127"/>
      <c r="N314" s="47"/>
      <c r="O314" s="47"/>
      <c r="P314" s="127"/>
      <c r="Q314" s="47"/>
      <c r="R314" s="47"/>
      <c r="S314" s="127"/>
      <c r="T314" s="47"/>
      <c r="U314" s="47"/>
      <c r="V314" s="127"/>
      <c r="W314" s="47"/>
      <c r="X314" s="47"/>
      <c r="Y314" s="47"/>
      <c r="Z314" s="47"/>
      <c r="AA314" s="47"/>
    </row>
    <row r="315" spans="1:27">
      <c r="A315" s="591" t="s">
        <v>1278</v>
      </c>
      <c r="B315" s="591" t="s">
        <v>1265</v>
      </c>
      <c r="C315" s="591" t="s">
        <v>747</v>
      </c>
      <c r="D315" s="8" t="s">
        <v>160</v>
      </c>
      <c r="F315" s="8" t="s">
        <v>100</v>
      </c>
      <c r="G315" s="44">
        <v>0</v>
      </c>
      <c r="H315" s="237">
        <v>150</v>
      </c>
      <c r="I315" s="44">
        <f t="shared" ref="I315:I325" si="268">G315*H315</f>
        <v>0</v>
      </c>
      <c r="J315" s="44"/>
      <c r="K315" s="44">
        <v>12</v>
      </c>
      <c r="L315" s="44">
        <f t="shared" ref="L315:L325" si="269">H315*K315*$E$6</f>
        <v>1890</v>
      </c>
      <c r="M315" s="123"/>
      <c r="N315" s="44">
        <v>12</v>
      </c>
      <c r="O315" s="44">
        <f t="shared" ref="O315:O325" si="270">H315*N315*$E$6*$E$6</f>
        <v>1984.5</v>
      </c>
      <c r="P315" s="123"/>
      <c r="Q315" s="44">
        <v>12</v>
      </c>
      <c r="R315" s="44">
        <f t="shared" ref="R315:R325" si="271">H315*Q315*$E$6*$E$6*$E$6</f>
        <v>2083.7249999999999</v>
      </c>
      <c r="S315" s="123"/>
      <c r="T315" s="44">
        <v>12</v>
      </c>
      <c r="U315" s="44">
        <f t="shared" ref="U315:U325" si="272">H315*T315*$E$6*$E$6*$E$6*$E$6</f>
        <v>2187.9112500000001</v>
      </c>
      <c r="V315" s="123"/>
      <c r="W315" s="44">
        <v>9</v>
      </c>
      <c r="X315" s="44">
        <f>W315*H315*$E$6*$E$6*$E$6*$E$6*$E$6</f>
        <v>1722.9801093750002</v>
      </c>
      <c r="Y315" s="44">
        <f>SUM(R315,O315,L315,I315,U315,X315)</f>
        <v>9869.1163593750007</v>
      </c>
      <c r="Z315" s="44" t="s">
        <v>149</v>
      </c>
      <c r="AA315" s="44">
        <f t="shared" ref="AA315:AA325" si="273">SUM(Y315:Z315)</f>
        <v>9869.1163593750007</v>
      </c>
    </row>
    <row r="316" spans="1:27">
      <c r="A316" s="591" t="s">
        <v>1263</v>
      </c>
      <c r="B316" s="591" t="s">
        <v>1265</v>
      </c>
      <c r="C316" s="591" t="s">
        <v>747</v>
      </c>
      <c r="D316" s="8" t="s">
        <v>272</v>
      </c>
      <c r="F316" s="8" t="s">
        <v>148</v>
      </c>
      <c r="G316" s="44">
        <v>2</v>
      </c>
      <c r="H316" s="44">
        <v>35</v>
      </c>
      <c r="I316" s="44">
        <f>G316*H316</f>
        <v>70</v>
      </c>
      <c r="J316" s="123"/>
      <c r="K316" s="44">
        <v>2</v>
      </c>
      <c r="L316" s="44">
        <f t="shared" si="269"/>
        <v>73.5</v>
      </c>
      <c r="M316" s="123"/>
      <c r="N316" s="44">
        <v>2</v>
      </c>
      <c r="O316" s="44">
        <f t="shared" si="270"/>
        <v>77.174999999999997</v>
      </c>
      <c r="P316" s="123"/>
      <c r="Q316" s="44">
        <v>2</v>
      </c>
      <c r="R316" s="44">
        <f t="shared" si="271"/>
        <v>81.033749999999998</v>
      </c>
      <c r="S316" s="123"/>
      <c r="T316" s="44">
        <v>2</v>
      </c>
      <c r="U316" s="44">
        <f t="shared" ref="U316:U317" si="274">T316*H316*$E$6*$E$6*$E$6*$E$6</f>
        <v>85.085437499999998</v>
      </c>
      <c r="V316" s="123"/>
      <c r="W316" s="44">
        <v>2</v>
      </c>
      <c r="X316" s="44">
        <f>W316*H316*$E$6*$E$6*$E$6*$E$6*$E$6</f>
        <v>89.339709374999998</v>
      </c>
      <c r="Y316" s="44">
        <f>SUM(R316,O316,L316,I316,U316,X316)</f>
        <v>476.133896875</v>
      </c>
      <c r="Z316" s="44" t="s">
        <v>149</v>
      </c>
      <c r="AA316" s="44">
        <f>SUM(Y316:Z316)</f>
        <v>476.133896875</v>
      </c>
    </row>
    <row r="317" spans="1:27" ht="25.2">
      <c r="A317" s="591" t="s">
        <v>1263</v>
      </c>
      <c r="B317" s="45" t="s">
        <v>794</v>
      </c>
      <c r="C317" s="591" t="s">
        <v>747</v>
      </c>
      <c r="D317" s="8" t="s">
        <v>273</v>
      </c>
      <c r="F317" s="8" t="s">
        <v>151</v>
      </c>
      <c r="G317" s="44">
        <f>2*G316</f>
        <v>4</v>
      </c>
      <c r="H317" s="44">
        <f xml:space="preserve"> 75 +  + (0.5*80)</f>
        <v>115</v>
      </c>
      <c r="I317" s="44">
        <f>G317*H317</f>
        <v>460</v>
      </c>
      <c r="J317" s="123"/>
      <c r="K317" s="44">
        <f>2*K316</f>
        <v>4</v>
      </c>
      <c r="L317" s="44">
        <f t="shared" si="269"/>
        <v>483</v>
      </c>
      <c r="M317" s="123"/>
      <c r="N317" s="44">
        <f>2*N316</f>
        <v>4</v>
      </c>
      <c r="O317" s="44">
        <f t="shared" si="270"/>
        <v>507.15000000000003</v>
      </c>
      <c r="P317" s="123"/>
      <c r="Q317" s="44">
        <f>2*Q316</f>
        <v>4</v>
      </c>
      <c r="R317" s="44">
        <f t="shared" si="271"/>
        <v>532.50750000000005</v>
      </c>
      <c r="S317" s="123"/>
      <c r="T317" s="44">
        <f>2*T316</f>
        <v>4</v>
      </c>
      <c r="U317" s="44">
        <f t="shared" si="274"/>
        <v>559.13287500000013</v>
      </c>
      <c r="V317" s="123"/>
      <c r="W317" s="44">
        <f>2*W316</f>
        <v>4</v>
      </c>
      <c r="X317" s="44">
        <f>W317*H317*$E$6*$E$6*$E$6*$E$6*$E$6</f>
        <v>587.08951875000014</v>
      </c>
      <c r="Y317" s="44">
        <f>SUM(R317,O317,L317,I317,U317,X317)</f>
        <v>3128.8798937500001</v>
      </c>
      <c r="Z317" s="44" t="s">
        <v>149</v>
      </c>
      <c r="AA317" s="44">
        <f>SUM(Y317:Z317)</f>
        <v>3128.8798937500001</v>
      </c>
    </row>
    <row r="318" spans="1:27">
      <c r="A318" s="591" t="s">
        <v>1279</v>
      </c>
      <c r="B318" s="591" t="s">
        <v>1265</v>
      </c>
      <c r="C318" s="591" t="s">
        <v>747</v>
      </c>
      <c r="D318" s="8" t="s">
        <v>274</v>
      </c>
      <c r="F318" s="8" t="s">
        <v>148</v>
      </c>
      <c r="G318" s="44">
        <f>G330*12</f>
        <v>96</v>
      </c>
      <c r="H318" s="44">
        <v>35</v>
      </c>
      <c r="I318" s="44">
        <f t="shared" si="268"/>
        <v>3360</v>
      </c>
      <c r="J318" s="44"/>
      <c r="K318" s="44">
        <f>K330*12</f>
        <v>24</v>
      </c>
      <c r="L318" s="44">
        <f t="shared" si="269"/>
        <v>882</v>
      </c>
      <c r="M318" s="123"/>
      <c r="N318" s="44">
        <f>N330*12</f>
        <v>24</v>
      </c>
      <c r="O318" s="44">
        <f t="shared" si="270"/>
        <v>926.1</v>
      </c>
      <c r="P318" s="123"/>
      <c r="Q318" s="44">
        <f>Q330*12</f>
        <v>24</v>
      </c>
      <c r="R318" s="44">
        <f t="shared" si="271"/>
        <v>972.40500000000009</v>
      </c>
      <c r="S318" s="123"/>
      <c r="T318" s="44">
        <f>T330*12</f>
        <v>24</v>
      </c>
      <c r="U318" s="44">
        <f t="shared" si="272"/>
        <v>1021.0252500000001</v>
      </c>
      <c r="V318" s="123"/>
      <c r="W318" s="44">
        <f>W330*12</f>
        <v>12</v>
      </c>
      <c r="X318" s="44">
        <f t="shared" ref="X318:X325" si="275">W318*H318*$E$6*$E$6*$E$6*$E$6*$E$6</f>
        <v>536.03825625000013</v>
      </c>
      <c r="Y318" s="44">
        <f t="shared" ref="Y318:Y325" si="276">SUM(R318,O318,L318,I318,U318,X318)</f>
        <v>7697.5685062499997</v>
      </c>
      <c r="Z318" s="44" t="s">
        <v>149</v>
      </c>
      <c r="AA318" s="44">
        <f t="shared" si="273"/>
        <v>7697.5685062499997</v>
      </c>
    </row>
    <row r="319" spans="1:27" ht="25.2">
      <c r="A319" s="591" t="s">
        <v>1279</v>
      </c>
      <c r="B319" s="45" t="s">
        <v>794</v>
      </c>
      <c r="C319" s="591" t="s">
        <v>747</v>
      </c>
      <c r="D319" s="8" t="s">
        <v>275</v>
      </c>
      <c r="F319" s="8" t="s">
        <v>151</v>
      </c>
      <c r="G319" s="44">
        <f>G318*2</f>
        <v>192</v>
      </c>
      <c r="H319" s="44">
        <f xml:space="preserve"> 75 +  + (0.5*80)</f>
        <v>115</v>
      </c>
      <c r="I319" s="44">
        <f t="shared" si="268"/>
        <v>22080</v>
      </c>
      <c r="J319" s="44"/>
      <c r="K319" s="44">
        <f>K318*2</f>
        <v>48</v>
      </c>
      <c r="L319" s="44">
        <f t="shared" si="269"/>
        <v>5796</v>
      </c>
      <c r="M319" s="123"/>
      <c r="N319" s="44">
        <f>N318*2</f>
        <v>48</v>
      </c>
      <c r="O319" s="44">
        <f t="shared" si="270"/>
        <v>6085.8</v>
      </c>
      <c r="P319" s="123"/>
      <c r="Q319" s="44">
        <f>Q318*2</f>
        <v>48</v>
      </c>
      <c r="R319" s="44">
        <f t="shared" si="271"/>
        <v>6390.09</v>
      </c>
      <c r="S319" s="123"/>
      <c r="T319" s="44">
        <f>T318*2</f>
        <v>48</v>
      </c>
      <c r="U319" s="44">
        <f t="shared" si="272"/>
        <v>6709.5945000000002</v>
      </c>
      <c r="V319" s="123"/>
      <c r="W319" s="44">
        <f>W318*2</f>
        <v>24</v>
      </c>
      <c r="X319" s="44">
        <f t="shared" si="275"/>
        <v>3522.5371125000001</v>
      </c>
      <c r="Y319" s="44">
        <f t="shared" si="276"/>
        <v>50584.021612500001</v>
      </c>
      <c r="Z319" s="44" t="s">
        <v>149</v>
      </c>
      <c r="AA319" s="44">
        <f t="shared" si="273"/>
        <v>50584.021612500001</v>
      </c>
    </row>
    <row r="320" spans="1:27" ht="22.5" customHeight="1">
      <c r="A320" s="591" t="s">
        <v>1280</v>
      </c>
      <c r="B320" s="591" t="s">
        <v>1265</v>
      </c>
      <c r="C320" s="591" t="s">
        <v>747</v>
      </c>
      <c r="D320" s="8" t="s">
        <v>276</v>
      </c>
      <c r="F320" s="8" t="s">
        <v>148</v>
      </c>
      <c r="G320" s="44">
        <f>G331*15</f>
        <v>45</v>
      </c>
      <c r="H320" s="44">
        <v>35</v>
      </c>
      <c r="I320" s="44">
        <f t="shared" si="268"/>
        <v>1575</v>
      </c>
      <c r="J320" s="44"/>
      <c r="K320" s="44">
        <f>K331*15</f>
        <v>30</v>
      </c>
      <c r="L320" s="44">
        <f t="shared" si="269"/>
        <v>1102.5</v>
      </c>
      <c r="M320" s="123"/>
      <c r="N320" s="44">
        <f>N331*15</f>
        <v>30</v>
      </c>
      <c r="O320" s="44">
        <f t="shared" si="270"/>
        <v>1157.625</v>
      </c>
      <c r="P320" s="123"/>
      <c r="Q320" s="44">
        <f>Q331*15</f>
        <v>30</v>
      </c>
      <c r="R320" s="44">
        <f t="shared" si="271"/>
        <v>1215.5062500000001</v>
      </c>
      <c r="S320" s="123"/>
      <c r="T320" s="44">
        <f>T331*15</f>
        <v>30</v>
      </c>
      <c r="U320" s="44">
        <f t="shared" si="272"/>
        <v>1276.2815625000003</v>
      </c>
      <c r="V320" s="123"/>
      <c r="W320" s="44">
        <f>W331*15</f>
        <v>15</v>
      </c>
      <c r="X320" s="44">
        <f t="shared" si="275"/>
        <v>670.04782031250022</v>
      </c>
      <c r="Y320" s="44">
        <f t="shared" si="276"/>
        <v>6996.960632812501</v>
      </c>
      <c r="Z320" s="44" t="s">
        <v>149</v>
      </c>
      <c r="AA320" s="44">
        <f t="shared" si="273"/>
        <v>6996.960632812501</v>
      </c>
    </row>
    <row r="321" spans="1:29" ht="25.5" customHeight="1">
      <c r="A321" s="591" t="s">
        <v>1280</v>
      </c>
      <c r="B321" s="45" t="s">
        <v>794</v>
      </c>
      <c r="C321" s="591" t="s">
        <v>747</v>
      </c>
      <c r="D321" s="8" t="s">
        <v>277</v>
      </c>
      <c r="F321" s="8" t="s">
        <v>151</v>
      </c>
      <c r="G321" s="44">
        <f>G320*2</f>
        <v>90</v>
      </c>
      <c r="H321" s="44">
        <f xml:space="preserve"> 75 +  + (0.5*80)</f>
        <v>115</v>
      </c>
      <c r="I321" s="44">
        <f t="shared" si="268"/>
        <v>10350</v>
      </c>
      <c r="J321" s="44"/>
      <c r="K321" s="44">
        <f>K320*2</f>
        <v>60</v>
      </c>
      <c r="L321" s="44">
        <f t="shared" si="269"/>
        <v>7245</v>
      </c>
      <c r="M321" s="123"/>
      <c r="N321" s="44">
        <f>N320*2</f>
        <v>60</v>
      </c>
      <c r="O321" s="44">
        <f t="shared" si="270"/>
        <v>7607.25</v>
      </c>
      <c r="P321" s="123"/>
      <c r="Q321" s="44">
        <f>Q320*2</f>
        <v>60</v>
      </c>
      <c r="R321" s="44">
        <f t="shared" si="271"/>
        <v>7987.6125000000002</v>
      </c>
      <c r="S321" s="123"/>
      <c r="T321" s="44">
        <f>T320*2</f>
        <v>60</v>
      </c>
      <c r="U321" s="44">
        <f t="shared" si="272"/>
        <v>8386.9931250000009</v>
      </c>
      <c r="V321" s="123"/>
      <c r="W321" s="44">
        <f>W320*2</f>
        <v>30</v>
      </c>
      <c r="X321" s="44">
        <f t="shared" si="275"/>
        <v>4403.1713906250006</v>
      </c>
      <c r="Y321" s="44">
        <f t="shared" si="276"/>
        <v>45980.027015625004</v>
      </c>
      <c r="Z321" s="44" t="s">
        <v>149</v>
      </c>
      <c r="AA321" s="44">
        <f t="shared" si="273"/>
        <v>45980.027015625004</v>
      </c>
    </row>
    <row r="322" spans="1:29">
      <c r="A322" s="591" t="s">
        <v>1281</v>
      </c>
      <c r="B322" s="591" t="s">
        <v>1265</v>
      </c>
      <c r="C322" s="591" t="s">
        <v>747</v>
      </c>
      <c r="D322" s="8" t="s">
        <v>278</v>
      </c>
      <c r="F322" s="8" t="s">
        <v>148</v>
      </c>
      <c r="G322" s="44">
        <f>G332*5</f>
        <v>0</v>
      </c>
      <c r="H322" s="44">
        <v>35</v>
      </c>
      <c r="I322" s="44">
        <f t="shared" si="268"/>
        <v>0</v>
      </c>
      <c r="J322" s="44"/>
      <c r="K322" s="44">
        <f>K332*5</f>
        <v>10</v>
      </c>
      <c r="L322" s="44">
        <f t="shared" si="269"/>
        <v>367.5</v>
      </c>
      <c r="M322" s="123"/>
      <c r="N322" s="44">
        <f>N332*5</f>
        <v>10</v>
      </c>
      <c r="O322" s="44">
        <f t="shared" si="270"/>
        <v>385.875</v>
      </c>
      <c r="P322" s="123"/>
      <c r="Q322" s="44">
        <f>Q332*5</f>
        <v>10</v>
      </c>
      <c r="R322" s="44">
        <f t="shared" si="271"/>
        <v>405.16875000000005</v>
      </c>
      <c r="S322" s="123"/>
      <c r="T322" s="44">
        <f>T332*5</f>
        <v>10</v>
      </c>
      <c r="U322" s="44">
        <f t="shared" si="272"/>
        <v>425.42718750000006</v>
      </c>
      <c r="V322" s="123"/>
      <c r="W322" s="44">
        <f>W332*5</f>
        <v>5</v>
      </c>
      <c r="X322" s="44">
        <f t="shared" si="275"/>
        <v>223.34927343750005</v>
      </c>
      <c r="Y322" s="44">
        <f t="shared" si="276"/>
        <v>1807.3202109375002</v>
      </c>
      <c r="Z322" s="44" t="s">
        <v>149</v>
      </c>
      <c r="AA322" s="44">
        <f t="shared" si="273"/>
        <v>1807.3202109375002</v>
      </c>
    </row>
    <row r="323" spans="1:29" ht="25.2">
      <c r="A323" s="591" t="s">
        <v>1281</v>
      </c>
      <c r="B323" s="45" t="s">
        <v>794</v>
      </c>
      <c r="C323" s="591" t="s">
        <v>747</v>
      </c>
      <c r="D323" s="8" t="s">
        <v>279</v>
      </c>
      <c r="F323" s="8" t="s">
        <v>151</v>
      </c>
      <c r="G323" s="44">
        <f>G322*2</f>
        <v>0</v>
      </c>
      <c r="H323" s="44">
        <f xml:space="preserve"> 75 +  + (0.5*80)</f>
        <v>115</v>
      </c>
      <c r="I323" s="44">
        <f t="shared" si="268"/>
        <v>0</v>
      </c>
      <c r="J323" s="44"/>
      <c r="K323" s="44">
        <f>K322*2</f>
        <v>20</v>
      </c>
      <c r="L323" s="44">
        <f t="shared" si="269"/>
        <v>2415</v>
      </c>
      <c r="M323" s="123"/>
      <c r="N323" s="44">
        <f>N322*2</f>
        <v>20</v>
      </c>
      <c r="O323" s="44">
        <f t="shared" si="270"/>
        <v>2535.75</v>
      </c>
      <c r="P323" s="123"/>
      <c r="Q323" s="44">
        <f>Q322*2</f>
        <v>20</v>
      </c>
      <c r="R323" s="44">
        <f t="shared" si="271"/>
        <v>2662.5374999999999</v>
      </c>
      <c r="S323" s="123"/>
      <c r="T323" s="44">
        <f>T322*2</f>
        <v>20</v>
      </c>
      <c r="U323" s="44">
        <f t="shared" si="272"/>
        <v>2795.6643749999998</v>
      </c>
      <c r="V323" s="123"/>
      <c r="W323" s="44">
        <f>W322*2</f>
        <v>10</v>
      </c>
      <c r="X323" s="44">
        <f t="shared" si="275"/>
        <v>1467.7237968750001</v>
      </c>
      <c r="Y323" s="44">
        <f t="shared" si="276"/>
        <v>11876.675671875</v>
      </c>
      <c r="Z323" s="44" t="s">
        <v>149</v>
      </c>
      <c r="AA323" s="44">
        <f t="shared" si="273"/>
        <v>11876.675671875</v>
      </c>
    </row>
    <row r="324" spans="1:29">
      <c r="A324" s="591" t="s">
        <v>1282</v>
      </c>
      <c r="B324" s="591" t="s">
        <v>1265</v>
      </c>
      <c r="C324" s="591" t="s">
        <v>747</v>
      </c>
      <c r="D324" s="8" t="s">
        <v>280</v>
      </c>
      <c r="F324" s="8" t="s">
        <v>148</v>
      </c>
      <c r="G324" s="44">
        <f>G333*5</f>
        <v>0</v>
      </c>
      <c r="H324" s="44">
        <v>35</v>
      </c>
      <c r="I324" s="44">
        <f t="shared" si="268"/>
        <v>0</v>
      </c>
      <c r="J324" s="44"/>
      <c r="K324" s="44">
        <f>K333*5</f>
        <v>5</v>
      </c>
      <c r="L324" s="44">
        <f t="shared" si="269"/>
        <v>183.75</v>
      </c>
      <c r="M324" s="123"/>
      <c r="N324" s="44">
        <f>N333*5</f>
        <v>5</v>
      </c>
      <c r="O324" s="44">
        <f t="shared" si="270"/>
        <v>192.9375</v>
      </c>
      <c r="P324" s="123"/>
      <c r="Q324" s="44">
        <f>Q333*5</f>
        <v>5</v>
      </c>
      <c r="R324" s="44">
        <f t="shared" si="271"/>
        <v>202.58437500000002</v>
      </c>
      <c r="S324" s="123"/>
      <c r="T324" s="44">
        <f>T333*5</f>
        <v>5</v>
      </c>
      <c r="U324" s="44">
        <f t="shared" si="272"/>
        <v>212.71359375000003</v>
      </c>
      <c r="V324" s="123"/>
      <c r="W324" s="44">
        <f>W333*5</f>
        <v>5</v>
      </c>
      <c r="X324" s="44">
        <f t="shared" si="275"/>
        <v>223.34927343750005</v>
      </c>
      <c r="Y324" s="44">
        <f t="shared" si="276"/>
        <v>1015.3347421875002</v>
      </c>
      <c r="Z324" s="44" t="s">
        <v>149</v>
      </c>
      <c r="AA324" s="44">
        <f t="shared" si="273"/>
        <v>1015.3347421875002</v>
      </c>
    </row>
    <row r="325" spans="1:29" ht="25.2">
      <c r="A325" s="591" t="s">
        <v>1282</v>
      </c>
      <c r="B325" s="45" t="s">
        <v>794</v>
      </c>
      <c r="C325" s="591" t="s">
        <v>747</v>
      </c>
      <c r="D325" s="8" t="s">
        <v>281</v>
      </c>
      <c r="F325" s="8" t="s">
        <v>151</v>
      </c>
      <c r="G325" s="44">
        <f>G324*2</f>
        <v>0</v>
      </c>
      <c r="H325" s="44">
        <f xml:space="preserve"> 75 +  + (0.5*80)</f>
        <v>115</v>
      </c>
      <c r="I325" s="44">
        <f t="shared" si="268"/>
        <v>0</v>
      </c>
      <c r="J325" s="44"/>
      <c r="K325" s="44">
        <f>K324*2</f>
        <v>10</v>
      </c>
      <c r="L325" s="44">
        <f t="shared" si="269"/>
        <v>1207.5</v>
      </c>
      <c r="M325" s="123"/>
      <c r="N325" s="44">
        <f>N324*2</f>
        <v>10</v>
      </c>
      <c r="O325" s="44">
        <f t="shared" si="270"/>
        <v>1267.875</v>
      </c>
      <c r="P325" s="123"/>
      <c r="Q325" s="44">
        <f>Q324*2</f>
        <v>10</v>
      </c>
      <c r="R325" s="44">
        <f t="shared" si="271"/>
        <v>1331.26875</v>
      </c>
      <c r="S325" s="123"/>
      <c r="T325" s="44">
        <f>T324*2</f>
        <v>10</v>
      </c>
      <c r="U325" s="44">
        <f t="shared" si="272"/>
        <v>1397.8321874999999</v>
      </c>
      <c r="V325" s="123"/>
      <c r="W325" s="44">
        <f>W324*2</f>
        <v>10</v>
      </c>
      <c r="X325" s="44">
        <f t="shared" si="275"/>
        <v>1467.7237968750001</v>
      </c>
      <c r="Y325" s="44">
        <f t="shared" si="276"/>
        <v>6672.1997343750008</v>
      </c>
      <c r="Z325" s="44" t="s">
        <v>149</v>
      </c>
      <c r="AA325" s="44">
        <f t="shared" si="273"/>
        <v>6672.1997343750008</v>
      </c>
    </row>
    <row r="326" spans="1:29">
      <c r="A326" s="607"/>
      <c r="B326" s="607"/>
      <c r="C326" s="607"/>
      <c r="D326" s="41" t="s">
        <v>282</v>
      </c>
      <c r="E326" s="127"/>
      <c r="F326" s="46"/>
      <c r="G326" s="48"/>
      <c r="H326" s="48"/>
      <c r="I326" s="48">
        <f>SUM(I315:I325)</f>
        <v>37895</v>
      </c>
      <c r="J326" s="127"/>
      <c r="K326" s="48"/>
      <c r="L326" s="48">
        <f>SUM(L315:L325)</f>
        <v>21645.75</v>
      </c>
      <c r="M326" s="127"/>
      <c r="N326" s="48"/>
      <c r="O326" s="48">
        <f>SUM(O315:O325)</f>
        <v>22728.037499999999</v>
      </c>
      <c r="P326" s="127"/>
      <c r="Q326" s="48"/>
      <c r="R326" s="48">
        <f>SUM(R315:R325)</f>
        <v>23864.439374999998</v>
      </c>
      <c r="S326" s="127"/>
      <c r="T326" s="48"/>
      <c r="U326" s="48">
        <f>SUM(U315:U325)</f>
        <v>25057.661343750002</v>
      </c>
      <c r="V326" s="127"/>
      <c r="W326" s="48"/>
      <c r="X326" s="48">
        <f>SUM(X315:X325)</f>
        <v>14913.350057812499</v>
      </c>
      <c r="Y326" s="576">
        <f>SUM(Y315:Y325)</f>
        <v>146104.23827656251</v>
      </c>
      <c r="Z326" s="48">
        <f>SUM(Z315:Z325)</f>
        <v>0</v>
      </c>
      <c r="AA326" s="48">
        <f>SUM(AA315:AA325)</f>
        <v>146104.23827656251</v>
      </c>
    </row>
    <row r="327" spans="1:29">
      <c r="A327" s="608"/>
      <c r="B327" s="608"/>
      <c r="C327" s="608"/>
      <c r="D327" s="100"/>
      <c r="E327" s="128"/>
      <c r="F327" s="81"/>
      <c r="G327" s="63"/>
      <c r="H327" s="63"/>
      <c r="I327" s="63"/>
      <c r="J327" s="128"/>
      <c r="K327" s="63"/>
      <c r="L327" s="63"/>
      <c r="M327" s="128"/>
      <c r="N327" s="63"/>
      <c r="O327" s="63"/>
      <c r="P327" s="128"/>
      <c r="Q327" s="63"/>
      <c r="R327" s="63"/>
      <c r="S327" s="128"/>
      <c r="T327" s="63"/>
      <c r="U327" s="63"/>
      <c r="V327" s="128"/>
      <c r="W327" s="63"/>
      <c r="X327" s="63"/>
      <c r="Y327" s="63"/>
      <c r="Z327" s="63"/>
      <c r="AA327" s="63"/>
    </row>
    <row r="328" spans="1:29">
      <c r="A328" s="607"/>
      <c r="B328" s="607"/>
      <c r="C328" s="607"/>
      <c r="D328" s="41" t="s">
        <v>283</v>
      </c>
      <c r="E328" s="127"/>
      <c r="F328" s="46"/>
      <c r="G328" s="47"/>
      <c r="H328" s="47"/>
      <c r="I328" s="47"/>
      <c r="J328" s="127"/>
      <c r="K328" s="47"/>
      <c r="L328" s="47"/>
      <c r="M328" s="127"/>
      <c r="N328" s="47"/>
      <c r="O328" s="47"/>
      <c r="P328" s="127"/>
      <c r="Q328" s="47"/>
      <c r="R328" s="47"/>
      <c r="S328" s="127"/>
      <c r="T328" s="47"/>
      <c r="U328" s="47"/>
      <c r="V328" s="127"/>
      <c r="W328" s="47"/>
      <c r="X328" s="47"/>
      <c r="Y328" s="47"/>
      <c r="Z328" s="47"/>
      <c r="AA328" s="47"/>
    </row>
    <row r="329" spans="1:29">
      <c r="A329" s="603"/>
      <c r="B329" s="603"/>
      <c r="C329" s="603"/>
      <c r="D329" s="87" t="s">
        <v>284</v>
      </c>
      <c r="E329" s="122"/>
      <c r="F329" s="89"/>
      <c r="G329" s="90"/>
      <c r="H329" s="90"/>
      <c r="I329" s="90"/>
      <c r="J329" s="122"/>
      <c r="K329" s="90"/>
      <c r="L329" s="90"/>
      <c r="M329" s="122"/>
      <c r="N329" s="90"/>
      <c r="O329" s="90"/>
      <c r="P329" s="122"/>
      <c r="Q329" s="90"/>
      <c r="R329" s="90"/>
      <c r="S329" s="122"/>
      <c r="T329" s="90"/>
      <c r="U329" s="90"/>
      <c r="V329" s="122"/>
      <c r="W329" s="90"/>
      <c r="X329" s="90"/>
      <c r="Y329" s="80"/>
      <c r="Z329" s="80"/>
      <c r="AA329" s="90"/>
    </row>
    <row r="330" spans="1:29">
      <c r="A330" s="591" t="s">
        <v>1283</v>
      </c>
      <c r="B330" s="591" t="s">
        <v>819</v>
      </c>
      <c r="C330" s="591" t="s">
        <v>747</v>
      </c>
      <c r="D330" s="8" t="s">
        <v>285</v>
      </c>
      <c r="F330" s="8" t="s">
        <v>284</v>
      </c>
      <c r="G330" s="44">
        <v>8</v>
      </c>
      <c r="H330" s="44">
        <f>(12*5)+(12*8*1)</f>
        <v>156</v>
      </c>
      <c r="I330" s="44">
        <f>G330*H330</f>
        <v>1248</v>
      </c>
      <c r="J330" s="123"/>
      <c r="K330" s="44">
        <v>2</v>
      </c>
      <c r="L330" s="44">
        <f>H330*K330</f>
        <v>312</v>
      </c>
      <c r="M330" s="123"/>
      <c r="N330" s="44">
        <v>2</v>
      </c>
      <c r="O330" s="44">
        <f>H330*N330</f>
        <v>312</v>
      </c>
      <c r="P330" s="123"/>
      <c r="Q330" s="44">
        <v>2</v>
      </c>
      <c r="R330" s="44">
        <f>H330*Q330</f>
        <v>312</v>
      </c>
      <c r="S330" s="123"/>
      <c r="T330" s="44">
        <v>2</v>
      </c>
      <c r="U330" s="44">
        <f>H330*T330</f>
        <v>312</v>
      </c>
      <c r="V330" s="123"/>
      <c r="W330" s="44">
        <v>1</v>
      </c>
      <c r="X330" s="44">
        <f>W330*H330</f>
        <v>156</v>
      </c>
      <c r="Y330" s="44">
        <f t="shared" ref="Y330" si="277">SUM(R330,O330,L330,I330,U330,X330)</f>
        <v>2652</v>
      </c>
      <c r="Z330" s="44" t="s">
        <v>149</v>
      </c>
      <c r="AA330" s="44">
        <f t="shared" ref="AA330" si="278">SUM(Y330:Z330)</f>
        <v>2652</v>
      </c>
    </row>
    <row r="331" spans="1:29">
      <c r="A331" s="591" t="s">
        <v>1284</v>
      </c>
      <c r="B331" s="591" t="s">
        <v>819</v>
      </c>
      <c r="C331" s="591" t="s">
        <v>747</v>
      </c>
      <c r="D331" s="8" t="s">
        <v>286</v>
      </c>
      <c r="F331" s="8" t="s">
        <v>284</v>
      </c>
      <c r="G331" s="44">
        <v>3</v>
      </c>
      <c r="H331" s="44">
        <f>(18*5)+(18*8*1)</f>
        <v>234</v>
      </c>
      <c r="I331" s="44">
        <f>G331*H331</f>
        <v>702</v>
      </c>
      <c r="J331" s="123"/>
      <c r="K331" s="44">
        <v>2</v>
      </c>
      <c r="L331" s="44">
        <f>H331*K331</f>
        <v>468</v>
      </c>
      <c r="M331" s="123"/>
      <c r="N331" s="44">
        <v>2</v>
      </c>
      <c r="O331" s="44">
        <f>H331*N331</f>
        <v>468</v>
      </c>
      <c r="P331" s="123"/>
      <c r="Q331" s="44">
        <v>2</v>
      </c>
      <c r="R331" s="44">
        <f>H331*Q331</f>
        <v>468</v>
      </c>
      <c r="S331" s="123"/>
      <c r="T331" s="44">
        <v>2</v>
      </c>
      <c r="U331" s="44">
        <f>H331*T331</f>
        <v>468</v>
      </c>
      <c r="V331" s="123"/>
      <c r="W331" s="44">
        <v>1</v>
      </c>
      <c r="X331" s="44">
        <f>W331*H331</f>
        <v>234</v>
      </c>
      <c r="Y331" s="44">
        <f>SUM(R331,O331,L331,I331,U331,X331)</f>
        <v>2808</v>
      </c>
      <c r="Z331" s="44" t="s">
        <v>149</v>
      </c>
      <c r="AA331" s="44">
        <f t="shared" ref="AA331" si="279">SUM(Y331:Z331)</f>
        <v>2808</v>
      </c>
    </row>
    <row r="332" spans="1:29">
      <c r="A332" s="591" t="s">
        <v>1285</v>
      </c>
      <c r="B332" s="591" t="s">
        <v>819</v>
      </c>
      <c r="C332" s="591" t="s">
        <v>747</v>
      </c>
      <c r="D332" s="8" t="s">
        <v>287</v>
      </c>
      <c r="F332" s="8" t="s">
        <v>284</v>
      </c>
      <c r="G332" s="44">
        <v>0</v>
      </c>
      <c r="H332" s="44">
        <f>(1180*5)+(1180*8*1)</f>
        <v>15340</v>
      </c>
      <c r="I332" s="44">
        <f>G332*H332</f>
        <v>0</v>
      </c>
      <c r="J332" s="123"/>
      <c r="K332" s="44">
        <v>2</v>
      </c>
      <c r="L332" s="44">
        <f>H332*K332</f>
        <v>30680</v>
      </c>
      <c r="M332" s="123"/>
      <c r="N332" s="44">
        <v>2</v>
      </c>
      <c r="O332" s="44">
        <f>H332*N332</f>
        <v>30680</v>
      </c>
      <c r="P332" s="123"/>
      <c r="Q332" s="44">
        <v>2</v>
      </c>
      <c r="R332" s="44">
        <f>H332*Q332</f>
        <v>30680</v>
      </c>
      <c r="S332" s="123"/>
      <c r="T332" s="44">
        <v>2</v>
      </c>
      <c r="U332" s="44">
        <f>H332*T332</f>
        <v>30680</v>
      </c>
      <c r="V332" s="123"/>
      <c r="W332" s="44">
        <v>1</v>
      </c>
      <c r="X332" s="44">
        <f>W332*H332</f>
        <v>15340</v>
      </c>
      <c r="Y332" s="44">
        <f t="shared" ref="Y332:Y333" si="280">SUM(R332,O332,L332,I332,U332,X332)</f>
        <v>138060</v>
      </c>
      <c r="Z332" s="44" t="s">
        <v>149</v>
      </c>
      <c r="AA332" s="44">
        <f t="shared" ref="AA332" si="281">SUM(Y332:Z332)</f>
        <v>138060</v>
      </c>
    </row>
    <row r="333" spans="1:29">
      <c r="A333" s="591" t="s">
        <v>1286</v>
      </c>
      <c r="B333" s="591" t="s">
        <v>819</v>
      </c>
      <c r="C333" s="591" t="s">
        <v>747</v>
      </c>
      <c r="D333" s="8" t="s">
        <v>288</v>
      </c>
      <c r="F333" s="8" t="s">
        <v>284</v>
      </c>
      <c r="G333" s="44">
        <v>0</v>
      </c>
      <c r="H333" s="44">
        <f>(342*5)+(342*8*1)</f>
        <v>4446</v>
      </c>
      <c r="I333" s="44">
        <f>G333*H333</f>
        <v>0</v>
      </c>
      <c r="J333" s="123"/>
      <c r="K333" s="44">
        <v>1</v>
      </c>
      <c r="L333" s="44">
        <f>H333*K333</f>
        <v>4446</v>
      </c>
      <c r="M333" s="123"/>
      <c r="N333" s="44">
        <v>1</v>
      </c>
      <c r="O333" s="44">
        <f>H333*N333</f>
        <v>4446</v>
      </c>
      <c r="P333" s="123"/>
      <c r="Q333" s="44">
        <v>1</v>
      </c>
      <c r="R333" s="44">
        <f>H333*Q333</f>
        <v>4446</v>
      </c>
      <c r="S333" s="123"/>
      <c r="T333" s="44">
        <v>1</v>
      </c>
      <c r="U333" s="44">
        <f>H333*T333</f>
        <v>4446</v>
      </c>
      <c r="V333" s="123"/>
      <c r="W333" s="44">
        <v>1</v>
      </c>
      <c r="X333" s="44">
        <f>W333*H333</f>
        <v>4446</v>
      </c>
      <c r="Y333" s="44">
        <f t="shared" si="280"/>
        <v>22230</v>
      </c>
      <c r="Z333" s="44" t="s">
        <v>149</v>
      </c>
      <c r="AA333" s="44">
        <f t="shared" ref="AA333" si="282">SUM(Y333:Z333)</f>
        <v>22230</v>
      </c>
    </row>
    <row r="334" spans="1:29">
      <c r="A334" s="603"/>
      <c r="B334" s="603"/>
      <c r="C334" s="603"/>
      <c r="D334" s="87" t="s">
        <v>289</v>
      </c>
      <c r="E334" s="122"/>
      <c r="F334" s="89"/>
      <c r="G334" s="90"/>
      <c r="H334" s="90"/>
      <c r="I334" s="90"/>
      <c r="J334" s="122"/>
      <c r="K334" s="90"/>
      <c r="L334" s="90"/>
      <c r="M334" s="122"/>
      <c r="N334" s="90"/>
      <c r="O334" s="90"/>
      <c r="P334" s="122"/>
      <c r="Q334" s="90"/>
      <c r="R334" s="90"/>
      <c r="S334" s="122"/>
      <c r="T334" s="90"/>
      <c r="U334" s="90"/>
      <c r="V334" s="122"/>
      <c r="W334" s="90"/>
      <c r="X334" s="90"/>
      <c r="Y334" s="80"/>
      <c r="Z334" s="80"/>
      <c r="AA334" s="90"/>
    </row>
    <row r="335" spans="1:29">
      <c r="A335" s="591" t="s">
        <v>1289</v>
      </c>
      <c r="B335" s="591">
        <v>89050</v>
      </c>
      <c r="C335" s="591" t="s">
        <v>747</v>
      </c>
      <c r="D335" s="8" t="s">
        <v>290</v>
      </c>
      <c r="E335" s="120"/>
      <c r="F335" s="8" t="s">
        <v>234</v>
      </c>
      <c r="G335" s="44">
        <v>1</v>
      </c>
      <c r="H335" s="44">
        <v>0</v>
      </c>
      <c r="I335" s="44">
        <f>'FEREMA Sub Budget'!F120</f>
        <v>95924.50822036725</v>
      </c>
      <c r="J335" s="120"/>
      <c r="K335" s="44">
        <v>1</v>
      </c>
      <c r="L335" s="44">
        <f>'FEREMA Sub Budget'!J120</f>
        <v>555960.26740779588</v>
      </c>
      <c r="M335" s="120"/>
      <c r="N335" s="44">
        <v>1</v>
      </c>
      <c r="O335" s="44">
        <f>'FEREMA Sub Budget'!N120</f>
        <v>583758.2807781857</v>
      </c>
      <c r="P335" s="120"/>
      <c r="Q335" s="44">
        <v>1</v>
      </c>
      <c r="R335" s="44">
        <f>'FEREMA Sub Budget'!R120</f>
        <v>612946.19481709495</v>
      </c>
      <c r="S335" s="120"/>
      <c r="T335" s="44">
        <v>1</v>
      </c>
      <c r="U335" s="44">
        <f>'FEREMA Sub Budget'!V120</f>
        <v>48133.750849607997</v>
      </c>
      <c r="V335" s="120"/>
      <c r="W335" s="44">
        <v>0</v>
      </c>
      <c r="X335" s="44">
        <v>0</v>
      </c>
      <c r="Y335" s="44">
        <f>SUM(R335,O335,L335,I335,U335,X335)</f>
        <v>1896723.0020730516</v>
      </c>
      <c r="Z335" s="44" t="s">
        <v>149</v>
      </c>
      <c r="AA335" s="44">
        <f>SUM(Y335:Z335)</f>
        <v>1896723.0020730516</v>
      </c>
    </row>
    <row r="336" spans="1:29">
      <c r="A336" s="607"/>
      <c r="B336" s="607"/>
      <c r="C336" s="607"/>
      <c r="D336" s="41" t="s">
        <v>291</v>
      </c>
      <c r="E336" s="127"/>
      <c r="F336" s="46"/>
      <c r="G336" s="47"/>
      <c r="H336" s="48"/>
      <c r="I336" s="48">
        <f>SUM(I329:I335)</f>
        <v>97874.50822036725</v>
      </c>
      <c r="J336" s="130"/>
      <c r="K336" s="48"/>
      <c r="L336" s="48">
        <f>SUM(L329:L335)</f>
        <v>591866.26740779588</v>
      </c>
      <c r="M336" s="130"/>
      <c r="N336" s="48"/>
      <c r="O336" s="48">
        <f>SUM(O329:O335)</f>
        <v>619664.2807781857</v>
      </c>
      <c r="P336" s="130"/>
      <c r="Q336" s="48"/>
      <c r="R336" s="48">
        <f>SUM(R329:R335)</f>
        <v>648852.19481709495</v>
      </c>
      <c r="S336" s="130"/>
      <c r="T336" s="48"/>
      <c r="U336" s="48">
        <f>SUM(U329:U335)</f>
        <v>84039.750849607997</v>
      </c>
      <c r="V336" s="130"/>
      <c r="W336" s="48"/>
      <c r="X336" s="48">
        <f>SUM(X329:X335)</f>
        <v>20176</v>
      </c>
      <c r="Y336" s="101">
        <f>SUM(Y329:Y335)</f>
        <v>2062473.0020730516</v>
      </c>
      <c r="Z336" s="48">
        <f>SUM(Z329:Z335)</f>
        <v>0</v>
      </c>
      <c r="AA336" s="48">
        <f>SUM(AA329:AA335)</f>
        <v>2062473.0020730516</v>
      </c>
      <c r="AB336" s="566"/>
      <c r="AC336" s="566"/>
    </row>
    <row r="337" spans="1:27">
      <c r="A337" s="599"/>
      <c r="B337" s="599"/>
      <c r="C337" s="599"/>
      <c r="D337" s="45"/>
      <c r="E337" s="120"/>
      <c r="F337" s="49"/>
      <c r="G337" s="44"/>
      <c r="H337" s="44"/>
      <c r="I337" s="44"/>
      <c r="J337" s="120"/>
      <c r="K337" s="44"/>
      <c r="L337" s="44"/>
      <c r="M337" s="120"/>
      <c r="N337" s="44"/>
      <c r="O337" s="44"/>
      <c r="P337" s="120"/>
      <c r="Q337" s="44"/>
      <c r="R337" s="44"/>
      <c r="S337" s="120"/>
      <c r="T337" s="44"/>
      <c r="U337" s="44"/>
      <c r="V337" s="120"/>
      <c r="W337" s="44"/>
      <c r="X337" s="44"/>
      <c r="Y337" s="44"/>
      <c r="Z337" s="44"/>
      <c r="AA337" s="53"/>
    </row>
    <row r="338" spans="1:27" ht="12.9" thickBot="1">
      <c r="A338" s="596"/>
      <c r="B338" s="596"/>
      <c r="C338" s="596"/>
      <c r="D338" s="54" t="s">
        <v>292</v>
      </c>
      <c r="E338" s="121"/>
      <c r="F338" s="54"/>
      <c r="G338" s="69"/>
      <c r="H338" s="69"/>
      <c r="I338" s="65">
        <f>SUM(I336+I326+I312+I308)</f>
        <v>157489.59822036725</v>
      </c>
      <c r="J338" s="121"/>
      <c r="K338" s="65"/>
      <c r="L338" s="65">
        <f>SUM(L336+L326+L312+L308)</f>
        <v>648382.76940779586</v>
      </c>
      <c r="M338" s="121"/>
      <c r="N338" s="65"/>
      <c r="O338" s="65">
        <f>SUM(O336+O326+O312+O308)</f>
        <v>679006.60787818569</v>
      </c>
      <c r="P338" s="121"/>
      <c r="Q338" s="65"/>
      <c r="R338" s="65">
        <f>SUM(R336+R326+R312+R308)</f>
        <v>711161.63827209501</v>
      </c>
      <c r="S338" s="121"/>
      <c r="T338" s="65"/>
      <c r="U338" s="65">
        <f>SUM(U336+U326+U312+U308)</f>
        <v>149464.666477358</v>
      </c>
      <c r="V338" s="121"/>
      <c r="W338" s="65"/>
      <c r="X338" s="65">
        <f>SUM(X336+X326+X312+X308)</f>
        <v>55209.903364993748</v>
      </c>
      <c r="Y338" s="65">
        <f>SUM(Y336+Y326+Y312+Y308)</f>
        <v>2400715.1836207956</v>
      </c>
      <c r="Z338" s="65">
        <f>SUM(Z336+Z326+Z312+Z308)</f>
        <v>0</v>
      </c>
      <c r="AA338" s="65">
        <f>SUM(AA336+AA326+AA312+AA308)</f>
        <v>2400715.1836207956</v>
      </c>
    </row>
    <row r="339" spans="1:27">
      <c r="A339" s="597"/>
      <c r="B339" s="597"/>
      <c r="C339" s="597"/>
      <c r="D339" s="81"/>
      <c r="E339" s="118"/>
      <c r="F339" s="81"/>
      <c r="G339" s="63"/>
      <c r="H339" s="63"/>
      <c r="I339" s="63"/>
      <c r="J339" s="118"/>
      <c r="K339" s="63"/>
      <c r="L339" s="63"/>
      <c r="M339" s="118"/>
      <c r="N339" s="63"/>
      <c r="O339" s="63"/>
      <c r="P339" s="118"/>
      <c r="Q339" s="63"/>
      <c r="R339" s="63"/>
      <c r="S339" s="118"/>
      <c r="T339" s="63"/>
      <c r="U339" s="63"/>
      <c r="V339" s="118"/>
      <c r="W339" s="63"/>
      <c r="X339" s="63"/>
      <c r="Y339" s="63"/>
      <c r="Z339" s="63"/>
      <c r="AA339" s="63"/>
    </row>
    <row r="340" spans="1:27">
      <c r="A340" s="605"/>
      <c r="B340" s="605"/>
      <c r="C340" s="605"/>
      <c r="D340" s="94" t="str">
        <f>'USDA Budget Summary'!A30</f>
        <v>Activity 4: Enrollment Campaigns</v>
      </c>
      <c r="E340" s="125"/>
      <c r="F340" s="38"/>
      <c r="G340" s="38"/>
      <c r="H340" s="39"/>
      <c r="I340" s="95"/>
      <c r="J340" s="125"/>
      <c r="K340" s="95"/>
      <c r="L340" s="95"/>
      <c r="M340" s="125"/>
      <c r="N340" s="95"/>
      <c r="O340" s="95"/>
      <c r="P340" s="125"/>
      <c r="Q340" s="95"/>
      <c r="R340" s="95"/>
      <c r="S340" s="125"/>
      <c r="T340" s="95"/>
      <c r="U340" s="95"/>
      <c r="V340" s="125"/>
      <c r="W340" s="95"/>
      <c r="X340" s="95"/>
      <c r="Y340" s="95"/>
      <c r="Z340" s="96"/>
      <c r="AA340" s="95"/>
    </row>
    <row r="341" spans="1:27">
      <c r="A341" s="606"/>
      <c r="B341" s="606"/>
      <c r="C341" s="606"/>
      <c r="D341" s="97" t="s">
        <v>227</v>
      </c>
      <c r="E341" s="126"/>
      <c r="F341" s="98"/>
      <c r="G341" s="99"/>
      <c r="H341" s="99"/>
      <c r="I341" s="99"/>
      <c r="J341" s="126"/>
      <c r="K341" s="99"/>
      <c r="L341" s="99"/>
      <c r="M341" s="126"/>
      <c r="N341" s="99"/>
      <c r="O341" s="99"/>
      <c r="P341" s="126"/>
      <c r="Q341" s="99"/>
      <c r="R341" s="99"/>
      <c r="S341" s="126"/>
      <c r="T341" s="99"/>
      <c r="U341" s="99"/>
      <c r="V341" s="126"/>
      <c r="W341" s="99"/>
      <c r="X341" s="99"/>
      <c r="Y341" s="99"/>
      <c r="Z341" s="99"/>
      <c r="AA341" s="99"/>
    </row>
    <row r="342" spans="1:27">
      <c r="A342" s="607"/>
      <c r="B342" s="607"/>
      <c r="C342" s="607"/>
      <c r="D342" s="41" t="s">
        <v>293</v>
      </c>
      <c r="E342" s="127"/>
      <c r="F342" s="46"/>
      <c r="G342" s="47"/>
      <c r="H342" s="47"/>
      <c r="I342" s="47"/>
      <c r="J342" s="127"/>
      <c r="K342" s="47"/>
      <c r="L342" s="47"/>
      <c r="M342" s="127"/>
      <c r="N342" s="47"/>
      <c r="O342" s="47"/>
      <c r="P342" s="127"/>
      <c r="Q342" s="47"/>
      <c r="R342" s="47"/>
      <c r="S342" s="127"/>
      <c r="T342" s="47"/>
      <c r="U342" s="47"/>
      <c r="V342" s="127"/>
      <c r="W342" s="47"/>
      <c r="X342" s="47"/>
      <c r="Y342" s="47"/>
      <c r="Z342" s="47"/>
      <c r="AA342" s="47"/>
    </row>
    <row r="343" spans="1:27" hidden="1">
      <c r="A343" s="595" t="s">
        <v>944</v>
      </c>
      <c r="B343" s="595">
        <v>70000</v>
      </c>
      <c r="C343" s="595" t="s">
        <v>747</v>
      </c>
      <c r="D343" s="8" t="str">
        <f t="shared" ref="D343:D376" si="283">D12</f>
        <v xml:space="preserve">Key Personnel: Chief of Party - Roger Sanchez O’Neill </v>
      </c>
      <c r="E343" s="115">
        <f>'LOE Breakdown by Year'!H11</f>
        <v>0</v>
      </c>
      <c r="F343" s="50" t="s">
        <v>100</v>
      </c>
      <c r="G343" s="44">
        <f t="shared" ref="G343:H362" si="284">G12</f>
        <v>11</v>
      </c>
      <c r="H343" s="44">
        <f t="shared" si="284"/>
        <v>9583.3333333333339</v>
      </c>
      <c r="I343" s="44">
        <f>G343*H343*E343</f>
        <v>0</v>
      </c>
      <c r="J343" s="115">
        <f>'LOE Breakdown by Year'!H57</f>
        <v>0</v>
      </c>
      <c r="K343" s="44">
        <f t="shared" ref="K343:K376" si="285">K12</f>
        <v>12</v>
      </c>
      <c r="L343" s="44">
        <f>K343*H343*$E$7*$J343</f>
        <v>0</v>
      </c>
      <c r="M343" s="115">
        <f>'LOE Breakdown by Year'!H103</f>
        <v>0</v>
      </c>
      <c r="N343" s="44">
        <f t="shared" ref="N343:N376" si="286">N12</f>
        <v>12</v>
      </c>
      <c r="O343" s="44">
        <f>N343*H343*$M343*$E$7*$E$7</f>
        <v>0</v>
      </c>
      <c r="P343" s="115">
        <f>'LOE Breakdown by Year'!H149</f>
        <v>0</v>
      </c>
      <c r="Q343" s="44">
        <f t="shared" ref="Q343:Q376" si="287">Q12</f>
        <v>12</v>
      </c>
      <c r="R343" s="44">
        <f>Q343*H343*$P343*$E$7*$E$7*$E$7</f>
        <v>0</v>
      </c>
      <c r="S343" s="115">
        <f>'LOE Breakdown by Year'!H195</f>
        <v>0</v>
      </c>
      <c r="T343" s="44">
        <f t="shared" ref="T343:T376" si="288">T12</f>
        <v>12</v>
      </c>
      <c r="U343" s="44">
        <f>T343*H343*$S343*$E$7*$E$7*$E$7*$E$7</f>
        <v>0</v>
      </c>
      <c r="V343" s="115">
        <f>'LOE Breakdown by Year'!H241</f>
        <v>0</v>
      </c>
      <c r="W343" s="44">
        <f t="shared" ref="W343:W376" si="289">W12</f>
        <v>12</v>
      </c>
      <c r="X343" s="44">
        <f>W343*H343*$V343*$E$7*$E$7*$E$7*$E$7*$E$7</f>
        <v>0</v>
      </c>
      <c r="Y343" s="44">
        <f>SUM(R343,O343,L343,I343,U343,X343)</f>
        <v>0</v>
      </c>
      <c r="Z343" s="44">
        <v>0</v>
      </c>
      <c r="AA343" s="44">
        <f t="shared" ref="AA343" si="290">SUM(Y343:Z343)</f>
        <v>0</v>
      </c>
    </row>
    <row r="344" spans="1:27" hidden="1">
      <c r="A344" s="595" t="s">
        <v>945</v>
      </c>
      <c r="B344" s="595">
        <v>70000</v>
      </c>
      <c r="C344" s="595" t="s">
        <v>747</v>
      </c>
      <c r="D344" s="8" t="str">
        <f t="shared" si="283"/>
        <v>Key Personnel: Deputy Chief of Party - David Medina Mayo</v>
      </c>
      <c r="E344" s="115">
        <f>'LOE Breakdown by Year'!H12</f>
        <v>0</v>
      </c>
      <c r="F344" s="50" t="s">
        <v>100</v>
      </c>
      <c r="G344" s="44">
        <f t="shared" si="284"/>
        <v>11</v>
      </c>
      <c r="H344" s="44">
        <f t="shared" si="284"/>
        <v>6500</v>
      </c>
      <c r="I344" s="44">
        <f t="shared" ref="I344:I376" si="291">G344*H344*E344</f>
        <v>0</v>
      </c>
      <c r="J344" s="115">
        <f>'LOE Breakdown by Year'!H58</f>
        <v>0</v>
      </c>
      <c r="K344" s="44">
        <f t="shared" si="285"/>
        <v>12</v>
      </c>
      <c r="L344" s="44">
        <f t="shared" ref="L344:L376" si="292">K344*H344*$E$7*$J344</f>
        <v>0</v>
      </c>
      <c r="M344" s="115">
        <f>'LOE Breakdown by Year'!H104</f>
        <v>0</v>
      </c>
      <c r="N344" s="44">
        <f t="shared" si="286"/>
        <v>12</v>
      </c>
      <c r="O344" s="44">
        <f t="shared" ref="O344:O376" si="293">N344*H344*$M344*$E$7*$E$7</f>
        <v>0</v>
      </c>
      <c r="P344" s="115">
        <f>'LOE Breakdown by Year'!H150</f>
        <v>0</v>
      </c>
      <c r="Q344" s="44">
        <f t="shared" si="287"/>
        <v>12</v>
      </c>
      <c r="R344" s="44">
        <f t="shared" ref="R344:R376" si="294">Q344*H344*$P344*$E$7*$E$7*$E$7</f>
        <v>0</v>
      </c>
      <c r="S344" s="115">
        <f>'LOE Breakdown by Year'!H196</f>
        <v>0</v>
      </c>
      <c r="T344" s="44">
        <f t="shared" si="288"/>
        <v>12</v>
      </c>
      <c r="U344" s="44">
        <f t="shared" ref="U344:U376" si="295">T344*H344*$S344*$E$7*$E$7*$E$7*$E$7</f>
        <v>0</v>
      </c>
      <c r="V344" s="115">
        <f>'LOE Breakdown by Year'!H242</f>
        <v>0</v>
      </c>
      <c r="W344" s="44">
        <f t="shared" si="289"/>
        <v>12</v>
      </c>
      <c r="X344" s="44">
        <f t="shared" ref="X344:X376" si="296">W344*H344*$V344*$E$7*$E$7*$E$7*$E$7*$E$7</f>
        <v>0</v>
      </c>
      <c r="Y344" s="44">
        <f t="shared" ref="Y344:Y376" si="297">SUM(R344,O344,L344,I344,U344,X344)</f>
        <v>0</v>
      </c>
      <c r="Z344" s="44">
        <v>0</v>
      </c>
      <c r="AA344" s="44">
        <f t="shared" ref="AA344:AA376" si="298">SUM(Y344:Z344)</f>
        <v>0</v>
      </c>
    </row>
    <row r="345" spans="1:27" hidden="1">
      <c r="A345" s="595" t="s">
        <v>946</v>
      </c>
      <c r="B345" s="595">
        <v>70000</v>
      </c>
      <c r="C345" s="595" t="s">
        <v>747</v>
      </c>
      <c r="D345" s="8" t="str">
        <f t="shared" si="283"/>
        <v>Policy &amp; Sustainability Specialist</v>
      </c>
      <c r="E345" s="115">
        <f>'LOE Breakdown by Year'!H13</f>
        <v>0</v>
      </c>
      <c r="F345" s="50" t="s">
        <v>100</v>
      </c>
      <c r="G345" s="44">
        <f t="shared" si="284"/>
        <v>0</v>
      </c>
      <c r="H345" s="44">
        <f t="shared" si="284"/>
        <v>1500</v>
      </c>
      <c r="I345" s="44">
        <f t="shared" si="291"/>
        <v>0</v>
      </c>
      <c r="J345" s="115">
        <f>'LOE Breakdown by Year'!H59</f>
        <v>0</v>
      </c>
      <c r="K345" s="44">
        <f t="shared" si="285"/>
        <v>0</v>
      </c>
      <c r="L345" s="44">
        <f t="shared" si="292"/>
        <v>0</v>
      </c>
      <c r="M345" s="115">
        <f>'LOE Breakdown by Year'!H105</f>
        <v>0</v>
      </c>
      <c r="N345" s="44">
        <f t="shared" si="286"/>
        <v>7</v>
      </c>
      <c r="O345" s="44">
        <f t="shared" si="293"/>
        <v>0</v>
      </c>
      <c r="P345" s="115">
        <f>'LOE Breakdown by Year'!H151</f>
        <v>0</v>
      </c>
      <c r="Q345" s="44">
        <f t="shared" si="287"/>
        <v>12</v>
      </c>
      <c r="R345" s="44">
        <f t="shared" si="294"/>
        <v>0</v>
      </c>
      <c r="S345" s="115">
        <f>'LOE Breakdown by Year'!H197</f>
        <v>0</v>
      </c>
      <c r="T345" s="44">
        <f t="shared" si="288"/>
        <v>12</v>
      </c>
      <c r="U345" s="44">
        <f t="shared" si="295"/>
        <v>0</v>
      </c>
      <c r="V345" s="115">
        <f>'LOE Breakdown by Year'!H243</f>
        <v>0</v>
      </c>
      <c r="W345" s="44">
        <f t="shared" si="289"/>
        <v>6</v>
      </c>
      <c r="X345" s="44">
        <f t="shared" si="296"/>
        <v>0</v>
      </c>
      <c r="Y345" s="44">
        <f t="shared" si="297"/>
        <v>0</v>
      </c>
      <c r="Z345" s="44">
        <v>0</v>
      </c>
      <c r="AA345" s="44">
        <f t="shared" si="298"/>
        <v>0</v>
      </c>
    </row>
    <row r="346" spans="1:27">
      <c r="A346" s="595" t="s">
        <v>947</v>
      </c>
      <c r="B346" s="595">
        <v>70000</v>
      </c>
      <c r="C346" s="595" t="s">
        <v>747</v>
      </c>
      <c r="D346" s="8" t="str">
        <f t="shared" si="283"/>
        <v xml:space="preserve">Education Director </v>
      </c>
      <c r="E346" s="115">
        <f>'LOE Breakdown by Year'!H14</f>
        <v>0.2</v>
      </c>
      <c r="F346" s="50" t="s">
        <v>100</v>
      </c>
      <c r="G346" s="44">
        <f t="shared" si="284"/>
        <v>9</v>
      </c>
      <c r="H346" s="44">
        <f t="shared" si="284"/>
        <v>4583.333333333333</v>
      </c>
      <c r="I346" s="44">
        <f t="shared" si="291"/>
        <v>8250</v>
      </c>
      <c r="J346" s="115">
        <f>'LOE Breakdown by Year'!H60</f>
        <v>0.2</v>
      </c>
      <c r="K346" s="44">
        <f t="shared" si="285"/>
        <v>12</v>
      </c>
      <c r="L346" s="44">
        <f t="shared" si="292"/>
        <v>11550</v>
      </c>
      <c r="M346" s="115">
        <f>'LOE Breakdown by Year'!H106</f>
        <v>0.2</v>
      </c>
      <c r="N346" s="44">
        <f t="shared" si="286"/>
        <v>12</v>
      </c>
      <c r="O346" s="44">
        <f t="shared" si="293"/>
        <v>12127.5</v>
      </c>
      <c r="P346" s="115">
        <f>'LOE Breakdown by Year'!H152</f>
        <v>0.2</v>
      </c>
      <c r="Q346" s="44">
        <f t="shared" si="287"/>
        <v>12</v>
      </c>
      <c r="R346" s="44">
        <f t="shared" si="294"/>
        <v>12733.875</v>
      </c>
      <c r="S346" s="115">
        <f>'LOE Breakdown by Year'!H198</f>
        <v>0.2</v>
      </c>
      <c r="T346" s="44">
        <f t="shared" si="288"/>
        <v>12</v>
      </c>
      <c r="U346" s="44">
        <f t="shared" si="295"/>
        <v>13370.56875</v>
      </c>
      <c r="V346" s="115">
        <f>'LOE Breakdown by Year'!H244</f>
        <v>0.2</v>
      </c>
      <c r="W346" s="44">
        <f t="shared" si="289"/>
        <v>8</v>
      </c>
      <c r="X346" s="44">
        <f t="shared" si="296"/>
        <v>9359.3981249999997</v>
      </c>
      <c r="Y346" s="44">
        <f t="shared" si="297"/>
        <v>67391.341874999998</v>
      </c>
      <c r="Z346" s="44">
        <v>0</v>
      </c>
      <c r="AA346" s="44">
        <f t="shared" si="298"/>
        <v>67391.341874999998</v>
      </c>
    </row>
    <row r="347" spans="1:27">
      <c r="A347" s="595" t="s">
        <v>948</v>
      </c>
      <c r="B347" s="595">
        <v>70000</v>
      </c>
      <c r="C347" s="595" t="s">
        <v>747</v>
      </c>
      <c r="D347" s="8" t="str">
        <f t="shared" si="283"/>
        <v>Education Specialist</v>
      </c>
      <c r="E347" s="115">
        <f>'LOE Breakdown by Year'!H15</f>
        <v>0.2</v>
      </c>
      <c r="F347" s="50" t="s">
        <v>100</v>
      </c>
      <c r="G347" s="44">
        <f t="shared" si="284"/>
        <v>8</v>
      </c>
      <c r="H347" s="44">
        <f t="shared" si="284"/>
        <v>2500</v>
      </c>
      <c r="I347" s="44">
        <f t="shared" si="291"/>
        <v>4000</v>
      </c>
      <c r="J347" s="115">
        <f>'LOE Breakdown by Year'!H61</f>
        <v>0.2</v>
      </c>
      <c r="K347" s="44">
        <f t="shared" si="285"/>
        <v>12</v>
      </c>
      <c r="L347" s="44">
        <f t="shared" si="292"/>
        <v>6300</v>
      </c>
      <c r="M347" s="115">
        <f>'LOE Breakdown by Year'!H107</f>
        <v>0.2</v>
      </c>
      <c r="N347" s="44">
        <f t="shared" si="286"/>
        <v>12</v>
      </c>
      <c r="O347" s="44">
        <f t="shared" si="293"/>
        <v>6615</v>
      </c>
      <c r="P347" s="115">
        <f>'LOE Breakdown by Year'!H153</f>
        <v>0.2</v>
      </c>
      <c r="Q347" s="44">
        <f t="shared" si="287"/>
        <v>12</v>
      </c>
      <c r="R347" s="44">
        <f t="shared" si="294"/>
        <v>6945.75</v>
      </c>
      <c r="S347" s="115">
        <f>'LOE Breakdown by Year'!H199</f>
        <v>0.2</v>
      </c>
      <c r="T347" s="44">
        <f t="shared" si="288"/>
        <v>12</v>
      </c>
      <c r="U347" s="44">
        <f t="shared" si="295"/>
        <v>7293.0375000000004</v>
      </c>
      <c r="V347" s="115">
        <f>'LOE Breakdown by Year'!H245</f>
        <v>0.2</v>
      </c>
      <c r="W347" s="44">
        <f t="shared" si="289"/>
        <v>3</v>
      </c>
      <c r="X347" s="44">
        <f t="shared" si="296"/>
        <v>1914.4223437500002</v>
      </c>
      <c r="Y347" s="44">
        <f t="shared" si="297"/>
        <v>33068.209843749995</v>
      </c>
      <c r="Z347" s="44">
        <v>0</v>
      </c>
      <c r="AA347" s="44">
        <f t="shared" si="298"/>
        <v>33068.209843749995</v>
      </c>
    </row>
    <row r="348" spans="1:27">
      <c r="A348" s="595" t="s">
        <v>949</v>
      </c>
      <c r="B348" s="595">
        <v>70000</v>
      </c>
      <c r="C348" s="595" t="s">
        <v>747</v>
      </c>
      <c r="D348" s="8" t="str">
        <f t="shared" si="283"/>
        <v>Education Officer</v>
      </c>
      <c r="E348" s="115">
        <f>'LOE Breakdown by Year'!H16</f>
        <v>0.2</v>
      </c>
      <c r="F348" s="50" t="s">
        <v>100</v>
      </c>
      <c r="G348" s="44">
        <f t="shared" si="284"/>
        <v>6</v>
      </c>
      <c r="H348" s="44">
        <f t="shared" si="284"/>
        <v>1000</v>
      </c>
      <c r="I348" s="44">
        <f t="shared" si="291"/>
        <v>1200</v>
      </c>
      <c r="J348" s="115">
        <f>'LOE Breakdown by Year'!H62</f>
        <v>0.2</v>
      </c>
      <c r="K348" s="44">
        <f t="shared" si="285"/>
        <v>12</v>
      </c>
      <c r="L348" s="44">
        <f t="shared" si="292"/>
        <v>2520</v>
      </c>
      <c r="M348" s="115">
        <f>'LOE Breakdown by Year'!H108</f>
        <v>0.2</v>
      </c>
      <c r="N348" s="44">
        <f t="shared" si="286"/>
        <v>12</v>
      </c>
      <c r="O348" s="44">
        <f t="shared" si="293"/>
        <v>2646</v>
      </c>
      <c r="P348" s="115">
        <f>'LOE Breakdown by Year'!H154</f>
        <v>0.2</v>
      </c>
      <c r="Q348" s="44">
        <f t="shared" si="287"/>
        <v>12</v>
      </c>
      <c r="R348" s="44">
        <f t="shared" si="294"/>
        <v>2778.3</v>
      </c>
      <c r="S348" s="115">
        <f>'LOE Breakdown by Year'!H200</f>
        <v>0.2</v>
      </c>
      <c r="T348" s="44">
        <f t="shared" si="288"/>
        <v>12</v>
      </c>
      <c r="U348" s="44">
        <f t="shared" si="295"/>
        <v>2917.2150000000001</v>
      </c>
      <c r="V348" s="115">
        <f>'LOE Breakdown by Year'!H246</f>
        <v>0.2</v>
      </c>
      <c r="W348" s="44">
        <f t="shared" si="289"/>
        <v>3</v>
      </c>
      <c r="X348" s="44">
        <f t="shared" si="296"/>
        <v>765.76893750000011</v>
      </c>
      <c r="Y348" s="44">
        <f t="shared" si="297"/>
        <v>12827.2839375</v>
      </c>
      <c r="Z348" s="44">
        <v>0</v>
      </c>
      <c r="AA348" s="44">
        <f t="shared" si="298"/>
        <v>12827.2839375</v>
      </c>
    </row>
    <row r="349" spans="1:27" hidden="1">
      <c r="A349" s="595" t="s">
        <v>950</v>
      </c>
      <c r="B349" s="595">
        <v>70000</v>
      </c>
      <c r="C349" s="595" t="s">
        <v>747</v>
      </c>
      <c r="D349" s="8" t="str">
        <f t="shared" si="283"/>
        <v>Nutrition and Health Specialist</v>
      </c>
      <c r="E349" s="115">
        <f>'LOE Breakdown by Year'!H17</f>
        <v>0</v>
      </c>
      <c r="F349" s="50" t="s">
        <v>100</v>
      </c>
      <c r="G349" s="44">
        <f t="shared" si="284"/>
        <v>9</v>
      </c>
      <c r="H349" s="44">
        <f t="shared" si="284"/>
        <v>1500</v>
      </c>
      <c r="I349" s="44">
        <f t="shared" si="291"/>
        <v>0</v>
      </c>
      <c r="J349" s="115">
        <f>'LOE Breakdown by Year'!H63</f>
        <v>0</v>
      </c>
      <c r="K349" s="44">
        <f t="shared" si="285"/>
        <v>12</v>
      </c>
      <c r="L349" s="44">
        <f t="shared" si="292"/>
        <v>0</v>
      </c>
      <c r="M349" s="115">
        <f>'LOE Breakdown by Year'!H109</f>
        <v>0</v>
      </c>
      <c r="N349" s="44">
        <f t="shared" si="286"/>
        <v>12</v>
      </c>
      <c r="O349" s="44">
        <f t="shared" si="293"/>
        <v>0</v>
      </c>
      <c r="P349" s="115">
        <f>'LOE Breakdown by Year'!H155</f>
        <v>0</v>
      </c>
      <c r="Q349" s="44">
        <f t="shared" si="287"/>
        <v>12</v>
      </c>
      <c r="R349" s="44">
        <f t="shared" si="294"/>
        <v>0</v>
      </c>
      <c r="S349" s="115">
        <f>'LOE Breakdown by Year'!H201</f>
        <v>0</v>
      </c>
      <c r="T349" s="44">
        <f t="shared" si="288"/>
        <v>12</v>
      </c>
      <c r="U349" s="44">
        <f t="shared" si="295"/>
        <v>0</v>
      </c>
      <c r="V349" s="115">
        <f>'LOE Breakdown by Year'!H247</f>
        <v>0</v>
      </c>
      <c r="W349" s="44">
        <f t="shared" si="289"/>
        <v>6</v>
      </c>
      <c r="X349" s="44">
        <f t="shared" si="296"/>
        <v>0</v>
      </c>
      <c r="Y349" s="44">
        <f t="shared" si="297"/>
        <v>0</v>
      </c>
      <c r="Z349" s="44">
        <v>0</v>
      </c>
      <c r="AA349" s="44">
        <f t="shared" si="298"/>
        <v>0</v>
      </c>
    </row>
    <row r="350" spans="1:27" hidden="1">
      <c r="A350" s="595" t="s">
        <v>951</v>
      </c>
      <c r="B350" s="595">
        <v>70000</v>
      </c>
      <c r="C350" s="595" t="s">
        <v>747</v>
      </c>
      <c r="D350" s="8" t="str">
        <f t="shared" si="283"/>
        <v>Nutrition Officer - (2 Individuals)</v>
      </c>
      <c r="E350" s="115">
        <f>'LOE Breakdown by Year'!H18</f>
        <v>0</v>
      </c>
      <c r="F350" s="50" t="s">
        <v>100</v>
      </c>
      <c r="G350" s="44">
        <f t="shared" si="284"/>
        <v>6</v>
      </c>
      <c r="H350" s="44">
        <f t="shared" si="284"/>
        <v>1000</v>
      </c>
      <c r="I350" s="44">
        <f t="shared" si="291"/>
        <v>0</v>
      </c>
      <c r="J350" s="115">
        <f>'LOE Breakdown by Year'!H64</f>
        <v>0</v>
      </c>
      <c r="K350" s="44">
        <f t="shared" si="285"/>
        <v>24</v>
      </c>
      <c r="L350" s="44">
        <f t="shared" si="292"/>
        <v>0</v>
      </c>
      <c r="M350" s="115">
        <f>'LOE Breakdown by Year'!H110</f>
        <v>0</v>
      </c>
      <c r="N350" s="44">
        <f t="shared" si="286"/>
        <v>24</v>
      </c>
      <c r="O350" s="44">
        <f t="shared" si="293"/>
        <v>0</v>
      </c>
      <c r="P350" s="115">
        <f>'LOE Breakdown by Year'!H156</f>
        <v>0</v>
      </c>
      <c r="Q350" s="44">
        <f t="shared" si="287"/>
        <v>24</v>
      </c>
      <c r="R350" s="44">
        <f t="shared" si="294"/>
        <v>0</v>
      </c>
      <c r="S350" s="115">
        <f>'LOE Breakdown by Year'!H202</f>
        <v>0</v>
      </c>
      <c r="T350" s="44">
        <f t="shared" si="288"/>
        <v>24</v>
      </c>
      <c r="U350" s="44">
        <f t="shared" si="295"/>
        <v>0</v>
      </c>
      <c r="V350" s="115">
        <f>'LOE Breakdown by Year'!H248</f>
        <v>0</v>
      </c>
      <c r="W350" s="44">
        <f t="shared" si="289"/>
        <v>6</v>
      </c>
      <c r="X350" s="44">
        <f t="shared" si="296"/>
        <v>0</v>
      </c>
      <c r="Y350" s="44">
        <f t="shared" si="297"/>
        <v>0</v>
      </c>
      <c r="Z350" s="44">
        <v>0</v>
      </c>
      <c r="AA350" s="44">
        <f t="shared" si="298"/>
        <v>0</v>
      </c>
    </row>
    <row r="351" spans="1:27" hidden="1">
      <c r="A351" s="595" t="s">
        <v>952</v>
      </c>
      <c r="B351" s="595">
        <v>70000</v>
      </c>
      <c r="C351" s="595" t="s">
        <v>747</v>
      </c>
      <c r="D351" s="8" t="str">
        <f t="shared" si="283"/>
        <v>School Feeding Specialist</v>
      </c>
      <c r="E351" s="115">
        <f>'LOE Breakdown by Year'!H19</f>
        <v>0</v>
      </c>
      <c r="F351" s="50" t="s">
        <v>100</v>
      </c>
      <c r="G351" s="44">
        <f t="shared" si="284"/>
        <v>9</v>
      </c>
      <c r="H351" s="44">
        <f t="shared" si="284"/>
        <v>1500</v>
      </c>
      <c r="I351" s="44">
        <f t="shared" si="291"/>
        <v>0</v>
      </c>
      <c r="J351" s="115">
        <f>'LOE Breakdown by Year'!H65</f>
        <v>0</v>
      </c>
      <c r="K351" s="44">
        <f t="shared" si="285"/>
        <v>12</v>
      </c>
      <c r="L351" s="44">
        <f t="shared" si="292"/>
        <v>0</v>
      </c>
      <c r="M351" s="115">
        <f>'LOE Breakdown by Year'!H111</f>
        <v>0</v>
      </c>
      <c r="N351" s="44">
        <f t="shared" si="286"/>
        <v>12</v>
      </c>
      <c r="O351" s="44">
        <f t="shared" si="293"/>
        <v>0</v>
      </c>
      <c r="P351" s="115">
        <f>'LOE Breakdown by Year'!H157</f>
        <v>0</v>
      </c>
      <c r="Q351" s="44">
        <f t="shared" si="287"/>
        <v>12</v>
      </c>
      <c r="R351" s="44">
        <f t="shared" si="294"/>
        <v>0</v>
      </c>
      <c r="S351" s="115">
        <f>'LOE Breakdown by Year'!H203</f>
        <v>0</v>
      </c>
      <c r="T351" s="44">
        <f t="shared" si="288"/>
        <v>6</v>
      </c>
      <c r="U351" s="44">
        <f t="shared" si="295"/>
        <v>0</v>
      </c>
      <c r="V351" s="115">
        <f>'LOE Breakdown by Year'!H249</f>
        <v>0</v>
      </c>
      <c r="W351" s="44">
        <f t="shared" si="289"/>
        <v>6</v>
      </c>
      <c r="X351" s="44">
        <f t="shared" si="296"/>
        <v>0</v>
      </c>
      <c r="Y351" s="44">
        <f t="shared" si="297"/>
        <v>0</v>
      </c>
      <c r="Z351" s="44">
        <v>0</v>
      </c>
      <c r="AA351" s="44">
        <f t="shared" si="298"/>
        <v>0</v>
      </c>
    </row>
    <row r="352" spans="1:27" hidden="1">
      <c r="A352" s="595" t="s">
        <v>953</v>
      </c>
      <c r="B352" s="595">
        <v>70000</v>
      </c>
      <c r="C352" s="595" t="s">
        <v>747</v>
      </c>
      <c r="D352" s="8" t="str">
        <f t="shared" si="283"/>
        <v>Food Aid Monitors - (2 Individuals)</v>
      </c>
      <c r="E352" s="115">
        <f>'LOE Breakdown by Year'!H20</f>
        <v>0</v>
      </c>
      <c r="F352" s="50" t="s">
        <v>100</v>
      </c>
      <c r="G352" s="44">
        <f t="shared" si="284"/>
        <v>6</v>
      </c>
      <c r="H352" s="44">
        <f t="shared" si="284"/>
        <v>1000</v>
      </c>
      <c r="I352" s="44">
        <f t="shared" si="291"/>
        <v>0</v>
      </c>
      <c r="J352" s="115">
        <f>'LOE Breakdown by Year'!H66</f>
        <v>0</v>
      </c>
      <c r="K352" s="44">
        <f t="shared" si="285"/>
        <v>24</v>
      </c>
      <c r="L352" s="44">
        <f t="shared" si="292"/>
        <v>0</v>
      </c>
      <c r="M352" s="115">
        <f>'LOE Breakdown by Year'!H112</f>
        <v>0</v>
      </c>
      <c r="N352" s="44">
        <f t="shared" si="286"/>
        <v>24</v>
      </c>
      <c r="O352" s="44">
        <f t="shared" si="293"/>
        <v>0</v>
      </c>
      <c r="P352" s="115">
        <f>'LOE Breakdown by Year'!H158</f>
        <v>0</v>
      </c>
      <c r="Q352" s="44">
        <f t="shared" si="287"/>
        <v>24</v>
      </c>
      <c r="R352" s="44">
        <f t="shared" si="294"/>
        <v>0</v>
      </c>
      <c r="S352" s="115">
        <f>'LOE Breakdown by Year'!H204</f>
        <v>0</v>
      </c>
      <c r="T352" s="44">
        <f t="shared" si="288"/>
        <v>24</v>
      </c>
      <c r="U352" s="44">
        <f t="shared" si="295"/>
        <v>0</v>
      </c>
      <c r="V352" s="115">
        <f>'LOE Breakdown by Year'!H250</f>
        <v>0</v>
      </c>
      <c r="W352" s="44">
        <f t="shared" si="289"/>
        <v>12</v>
      </c>
      <c r="X352" s="44">
        <f t="shared" si="296"/>
        <v>0</v>
      </c>
      <c r="Y352" s="44">
        <f t="shared" si="297"/>
        <v>0</v>
      </c>
      <c r="Z352" s="44">
        <v>0</v>
      </c>
      <c r="AA352" s="44">
        <f t="shared" si="298"/>
        <v>0</v>
      </c>
    </row>
    <row r="353" spans="1:27" ht="12.75" hidden="1" customHeight="1">
      <c r="A353" s="595" t="s">
        <v>954</v>
      </c>
      <c r="B353" s="595">
        <v>70000</v>
      </c>
      <c r="C353" s="595" t="s">
        <v>747</v>
      </c>
      <c r="D353" s="8" t="str">
        <f t="shared" si="283"/>
        <v>WASH Officer</v>
      </c>
      <c r="E353" s="115">
        <f>'LOE Breakdown by Year'!H21</f>
        <v>0</v>
      </c>
      <c r="F353" s="50" t="s">
        <v>100</v>
      </c>
      <c r="G353" s="44">
        <f t="shared" si="284"/>
        <v>6</v>
      </c>
      <c r="H353" s="44">
        <f t="shared" si="284"/>
        <v>1000</v>
      </c>
      <c r="I353" s="44">
        <f t="shared" si="291"/>
        <v>0</v>
      </c>
      <c r="J353" s="115">
        <f>'LOE Breakdown by Year'!H67</f>
        <v>0</v>
      </c>
      <c r="K353" s="44">
        <f t="shared" si="285"/>
        <v>12</v>
      </c>
      <c r="L353" s="44">
        <f t="shared" si="292"/>
        <v>0</v>
      </c>
      <c r="M353" s="115">
        <f>'LOE Breakdown by Year'!H113</f>
        <v>0</v>
      </c>
      <c r="N353" s="44">
        <f t="shared" si="286"/>
        <v>12</v>
      </c>
      <c r="O353" s="44">
        <f t="shared" si="293"/>
        <v>0</v>
      </c>
      <c r="P353" s="115">
        <f>'LOE Breakdown by Year'!H159</f>
        <v>0</v>
      </c>
      <c r="Q353" s="44">
        <f t="shared" si="287"/>
        <v>12</v>
      </c>
      <c r="R353" s="44">
        <f t="shared" si="294"/>
        <v>0</v>
      </c>
      <c r="S353" s="115">
        <f>'LOE Breakdown by Year'!H205</f>
        <v>0</v>
      </c>
      <c r="T353" s="44">
        <f t="shared" si="288"/>
        <v>12</v>
      </c>
      <c r="U353" s="44">
        <f t="shared" si="295"/>
        <v>0</v>
      </c>
      <c r="V353" s="115">
        <f>'LOE Breakdown by Year'!H251</f>
        <v>0</v>
      </c>
      <c r="W353" s="44">
        <f t="shared" si="289"/>
        <v>3</v>
      </c>
      <c r="X353" s="44">
        <f t="shared" si="296"/>
        <v>0</v>
      </c>
      <c r="Y353" s="44">
        <f t="shared" si="297"/>
        <v>0</v>
      </c>
      <c r="Z353" s="44">
        <v>0</v>
      </c>
      <c r="AA353" s="44">
        <f t="shared" si="298"/>
        <v>0</v>
      </c>
    </row>
    <row r="354" spans="1:27">
      <c r="A354" s="595" t="s">
        <v>955</v>
      </c>
      <c r="B354" s="595">
        <v>70000</v>
      </c>
      <c r="C354" s="595" t="s">
        <v>747</v>
      </c>
      <c r="D354" s="8" t="str">
        <f t="shared" si="283"/>
        <v>Communications Specialist</v>
      </c>
      <c r="E354" s="115">
        <f>'LOE Breakdown by Year'!H22</f>
        <v>0.1</v>
      </c>
      <c r="F354" s="50" t="s">
        <v>100</v>
      </c>
      <c r="G354" s="44">
        <f t="shared" si="284"/>
        <v>8</v>
      </c>
      <c r="H354" s="44">
        <f t="shared" si="284"/>
        <v>1500</v>
      </c>
      <c r="I354" s="44">
        <f t="shared" si="291"/>
        <v>1200</v>
      </c>
      <c r="J354" s="115">
        <f>'LOE Breakdown by Year'!H68</f>
        <v>0.1</v>
      </c>
      <c r="K354" s="44">
        <f t="shared" si="285"/>
        <v>12</v>
      </c>
      <c r="L354" s="44">
        <f t="shared" si="292"/>
        <v>1890</v>
      </c>
      <c r="M354" s="115">
        <f>'LOE Breakdown by Year'!H114</f>
        <v>0.1</v>
      </c>
      <c r="N354" s="44">
        <f t="shared" si="286"/>
        <v>12</v>
      </c>
      <c r="O354" s="44">
        <f t="shared" si="293"/>
        <v>1984.5</v>
      </c>
      <c r="P354" s="115">
        <f>'LOE Breakdown by Year'!H160</f>
        <v>0.1</v>
      </c>
      <c r="Q354" s="44">
        <f t="shared" si="287"/>
        <v>12</v>
      </c>
      <c r="R354" s="44">
        <f t="shared" si="294"/>
        <v>2083.7249999999999</v>
      </c>
      <c r="S354" s="115">
        <f>'LOE Breakdown by Year'!H206</f>
        <v>0.1</v>
      </c>
      <c r="T354" s="44">
        <f t="shared" si="288"/>
        <v>12</v>
      </c>
      <c r="U354" s="44">
        <f t="shared" si="295"/>
        <v>2187.9112500000001</v>
      </c>
      <c r="V354" s="115">
        <f>'LOE Breakdown by Year'!H252</f>
        <v>0.1</v>
      </c>
      <c r="W354" s="44">
        <f t="shared" si="289"/>
        <v>8</v>
      </c>
      <c r="X354" s="44">
        <f t="shared" si="296"/>
        <v>1531.5378750000002</v>
      </c>
      <c r="Y354" s="44">
        <f t="shared" si="297"/>
        <v>10877.674125</v>
      </c>
      <c r="Z354" s="44">
        <v>0</v>
      </c>
      <c r="AA354" s="44">
        <f t="shared" si="298"/>
        <v>10877.674125</v>
      </c>
    </row>
    <row r="355" spans="1:27">
      <c r="A355" s="595" t="s">
        <v>956</v>
      </c>
      <c r="B355" s="595">
        <v>70000</v>
      </c>
      <c r="C355" s="595" t="s">
        <v>747</v>
      </c>
      <c r="D355" s="8" t="str">
        <f t="shared" si="283"/>
        <v>Communications Officer</v>
      </c>
      <c r="E355" s="115">
        <f>'LOE Breakdown by Year'!H23</f>
        <v>0.6</v>
      </c>
      <c r="F355" s="50" t="s">
        <v>100</v>
      </c>
      <c r="G355" s="44">
        <f t="shared" si="284"/>
        <v>0</v>
      </c>
      <c r="H355" s="44">
        <f t="shared" si="284"/>
        <v>1000</v>
      </c>
      <c r="I355" s="44">
        <f t="shared" si="291"/>
        <v>0</v>
      </c>
      <c r="J355" s="115">
        <f>'LOE Breakdown by Year'!H69</f>
        <v>0.6</v>
      </c>
      <c r="K355" s="44">
        <f t="shared" si="285"/>
        <v>12</v>
      </c>
      <c r="L355" s="44">
        <f t="shared" si="292"/>
        <v>7560</v>
      </c>
      <c r="M355" s="115">
        <f>'LOE Breakdown by Year'!H115</f>
        <v>0.6</v>
      </c>
      <c r="N355" s="44">
        <f t="shared" si="286"/>
        <v>12</v>
      </c>
      <c r="O355" s="44">
        <f t="shared" si="293"/>
        <v>7938</v>
      </c>
      <c r="P355" s="115">
        <f>'LOE Breakdown by Year'!H161</f>
        <v>0.6</v>
      </c>
      <c r="Q355" s="44">
        <f t="shared" si="287"/>
        <v>12</v>
      </c>
      <c r="R355" s="44">
        <f t="shared" si="294"/>
        <v>8334.9</v>
      </c>
      <c r="S355" s="115">
        <f>'LOE Breakdown by Year'!H207</f>
        <v>0.6</v>
      </c>
      <c r="T355" s="44">
        <f t="shared" si="288"/>
        <v>12</v>
      </c>
      <c r="U355" s="44">
        <f t="shared" si="295"/>
        <v>8751.6450000000004</v>
      </c>
      <c r="V355" s="115">
        <f>'LOE Breakdown by Year'!H253</f>
        <v>0.6</v>
      </c>
      <c r="W355" s="44">
        <f t="shared" si="289"/>
        <v>0</v>
      </c>
      <c r="X355" s="44">
        <f t="shared" si="296"/>
        <v>0</v>
      </c>
      <c r="Y355" s="44">
        <f t="shared" si="297"/>
        <v>32584.545000000002</v>
      </c>
      <c r="Z355" s="44">
        <v>0</v>
      </c>
      <c r="AA355" s="44">
        <f t="shared" si="298"/>
        <v>32584.545000000002</v>
      </c>
    </row>
    <row r="356" spans="1:27">
      <c r="A356" s="595" t="s">
        <v>957</v>
      </c>
      <c r="B356" s="595">
        <v>70000</v>
      </c>
      <c r="C356" s="595" t="s">
        <v>747</v>
      </c>
      <c r="D356" s="8" t="str">
        <f t="shared" si="283"/>
        <v>Education &amp; Community Engagement Specialist</v>
      </c>
      <c r="E356" s="115">
        <f>'LOE Breakdown by Year'!H24</f>
        <v>0.15</v>
      </c>
      <c r="F356" s="50" t="s">
        <v>100</v>
      </c>
      <c r="G356" s="44">
        <f t="shared" si="284"/>
        <v>6</v>
      </c>
      <c r="H356" s="44">
        <f t="shared" si="284"/>
        <v>1500</v>
      </c>
      <c r="I356" s="44">
        <f t="shared" si="291"/>
        <v>1350</v>
      </c>
      <c r="J356" s="115">
        <f>'LOE Breakdown by Year'!H70</f>
        <v>0.15</v>
      </c>
      <c r="K356" s="44">
        <f t="shared" si="285"/>
        <v>12</v>
      </c>
      <c r="L356" s="44">
        <f t="shared" si="292"/>
        <v>2835</v>
      </c>
      <c r="M356" s="115">
        <f>'LOE Breakdown by Year'!H116</f>
        <v>0.15</v>
      </c>
      <c r="N356" s="44">
        <f t="shared" si="286"/>
        <v>12</v>
      </c>
      <c r="O356" s="44">
        <f t="shared" si="293"/>
        <v>2976.75</v>
      </c>
      <c r="P356" s="115">
        <f>'LOE Breakdown by Year'!H162</f>
        <v>0.15</v>
      </c>
      <c r="Q356" s="44">
        <f t="shared" si="287"/>
        <v>12</v>
      </c>
      <c r="R356" s="44">
        <f t="shared" si="294"/>
        <v>3125.5875000000001</v>
      </c>
      <c r="S356" s="115">
        <f>'LOE Breakdown by Year'!H208</f>
        <v>0.15</v>
      </c>
      <c r="T356" s="44">
        <f t="shared" si="288"/>
        <v>12</v>
      </c>
      <c r="U356" s="44">
        <f t="shared" si="295"/>
        <v>3281.8668750000002</v>
      </c>
      <c r="V356" s="115">
        <f>'LOE Breakdown by Year'!H254</f>
        <v>0.15</v>
      </c>
      <c r="W356" s="44">
        <f t="shared" si="289"/>
        <v>8</v>
      </c>
      <c r="X356" s="44">
        <f t="shared" si="296"/>
        <v>2297.3068125000004</v>
      </c>
      <c r="Y356" s="44">
        <f t="shared" si="297"/>
        <v>15866.5111875</v>
      </c>
      <c r="Z356" s="44">
        <v>0</v>
      </c>
      <c r="AA356" s="44">
        <f t="shared" si="298"/>
        <v>15866.5111875</v>
      </c>
    </row>
    <row r="357" spans="1:27">
      <c r="A357" s="595" t="s">
        <v>958</v>
      </c>
      <c r="B357" s="595">
        <v>70000</v>
      </c>
      <c r="C357" s="595" t="s">
        <v>747</v>
      </c>
      <c r="D357" s="8" t="str">
        <f t="shared" si="283"/>
        <v>Education &amp; Community Engagement Officer</v>
      </c>
      <c r="E357" s="115">
        <f>'LOE Breakdown by Year'!H25</f>
        <v>0.15</v>
      </c>
      <c r="F357" s="50" t="s">
        <v>100</v>
      </c>
      <c r="G357" s="44">
        <f t="shared" si="284"/>
        <v>3</v>
      </c>
      <c r="H357" s="44">
        <f t="shared" si="284"/>
        <v>1000</v>
      </c>
      <c r="I357" s="44">
        <f t="shared" si="291"/>
        <v>450</v>
      </c>
      <c r="J357" s="115">
        <f>'LOE Breakdown by Year'!H71</f>
        <v>0.15</v>
      </c>
      <c r="K357" s="44">
        <f t="shared" si="285"/>
        <v>12</v>
      </c>
      <c r="L357" s="44">
        <f t="shared" si="292"/>
        <v>1890</v>
      </c>
      <c r="M357" s="115">
        <f>'LOE Breakdown by Year'!H117</f>
        <v>0.15</v>
      </c>
      <c r="N357" s="44">
        <f t="shared" si="286"/>
        <v>12</v>
      </c>
      <c r="O357" s="44">
        <f t="shared" si="293"/>
        <v>1984.5</v>
      </c>
      <c r="P357" s="115">
        <f>'LOE Breakdown by Year'!H163</f>
        <v>0.15</v>
      </c>
      <c r="Q357" s="44">
        <f t="shared" si="287"/>
        <v>12</v>
      </c>
      <c r="R357" s="44">
        <f t="shared" si="294"/>
        <v>2083.7249999999999</v>
      </c>
      <c r="S357" s="115">
        <f>'LOE Breakdown by Year'!H209</f>
        <v>0.15</v>
      </c>
      <c r="T357" s="44">
        <f t="shared" si="288"/>
        <v>12</v>
      </c>
      <c r="U357" s="44">
        <f t="shared" si="295"/>
        <v>2187.9112500000001</v>
      </c>
      <c r="V357" s="115">
        <f>'LOE Breakdown by Year'!H255</f>
        <v>0.15</v>
      </c>
      <c r="W357" s="44">
        <f t="shared" si="289"/>
        <v>0</v>
      </c>
      <c r="X357" s="44">
        <f t="shared" si="296"/>
        <v>0</v>
      </c>
      <c r="Y357" s="44">
        <f t="shared" si="297"/>
        <v>8596.1362499999996</v>
      </c>
      <c r="Z357" s="44">
        <v>0</v>
      </c>
      <c r="AA357" s="44">
        <f t="shared" si="298"/>
        <v>8596.1362499999996</v>
      </c>
    </row>
    <row r="358" spans="1:27" hidden="1">
      <c r="A358" s="595" t="s">
        <v>959</v>
      </c>
      <c r="B358" s="595">
        <v>70000</v>
      </c>
      <c r="C358" s="595" t="s">
        <v>747</v>
      </c>
      <c r="D358" s="8" t="str">
        <f t="shared" si="283"/>
        <v>Private Sector Specialist</v>
      </c>
      <c r="E358" s="115">
        <f>'LOE Breakdown by Year'!H26</f>
        <v>0</v>
      </c>
      <c r="F358" s="50" t="s">
        <v>100</v>
      </c>
      <c r="G358" s="44">
        <f t="shared" si="284"/>
        <v>9</v>
      </c>
      <c r="H358" s="44">
        <f t="shared" si="284"/>
        <v>2000</v>
      </c>
      <c r="I358" s="44">
        <f t="shared" si="291"/>
        <v>0</v>
      </c>
      <c r="J358" s="115">
        <f>'LOE Breakdown by Year'!H72</f>
        <v>0</v>
      </c>
      <c r="K358" s="44">
        <f t="shared" si="285"/>
        <v>12</v>
      </c>
      <c r="L358" s="44">
        <f t="shared" si="292"/>
        <v>0</v>
      </c>
      <c r="M358" s="115">
        <f>'LOE Breakdown by Year'!H118</f>
        <v>0</v>
      </c>
      <c r="N358" s="44">
        <f t="shared" si="286"/>
        <v>12</v>
      </c>
      <c r="O358" s="44">
        <f t="shared" si="293"/>
        <v>0</v>
      </c>
      <c r="P358" s="115">
        <f>'LOE Breakdown by Year'!H164</f>
        <v>0</v>
      </c>
      <c r="Q358" s="44">
        <f t="shared" si="287"/>
        <v>12</v>
      </c>
      <c r="R358" s="44">
        <f t="shared" si="294"/>
        <v>0</v>
      </c>
      <c r="S358" s="115">
        <f>'LOE Breakdown by Year'!H210</f>
        <v>0</v>
      </c>
      <c r="T358" s="44">
        <f t="shared" si="288"/>
        <v>12</v>
      </c>
      <c r="U358" s="44">
        <f t="shared" si="295"/>
        <v>0</v>
      </c>
      <c r="V358" s="115">
        <f>'LOE Breakdown by Year'!H256</f>
        <v>0</v>
      </c>
      <c r="W358" s="44">
        <f t="shared" si="289"/>
        <v>6</v>
      </c>
      <c r="X358" s="44">
        <f t="shared" si="296"/>
        <v>0</v>
      </c>
      <c r="Y358" s="44">
        <f t="shared" si="297"/>
        <v>0</v>
      </c>
      <c r="Z358" s="44">
        <v>0</v>
      </c>
      <c r="AA358" s="44">
        <f t="shared" si="298"/>
        <v>0</v>
      </c>
    </row>
    <row r="359" spans="1:27" hidden="1">
      <c r="A359" s="595" t="s">
        <v>960</v>
      </c>
      <c r="B359" s="595">
        <v>70000</v>
      </c>
      <c r="C359" s="595" t="s">
        <v>747</v>
      </c>
      <c r="D359" s="8" t="str">
        <f t="shared" si="283"/>
        <v xml:space="preserve">Key Personnel: M&amp;E Director </v>
      </c>
      <c r="E359" s="115">
        <f>'LOE Breakdown by Year'!H27</f>
        <v>0</v>
      </c>
      <c r="F359" s="50" t="s">
        <v>100</v>
      </c>
      <c r="G359" s="44">
        <f t="shared" si="284"/>
        <v>11</v>
      </c>
      <c r="H359" s="44">
        <f t="shared" si="284"/>
        <v>4583.333333333333</v>
      </c>
      <c r="I359" s="44">
        <f t="shared" si="291"/>
        <v>0</v>
      </c>
      <c r="J359" s="115">
        <f>'LOE Breakdown by Year'!H73</f>
        <v>0</v>
      </c>
      <c r="K359" s="44">
        <f t="shared" si="285"/>
        <v>12</v>
      </c>
      <c r="L359" s="44">
        <f t="shared" si="292"/>
        <v>0</v>
      </c>
      <c r="M359" s="115">
        <f>'LOE Breakdown by Year'!H119</f>
        <v>0</v>
      </c>
      <c r="N359" s="44">
        <f t="shared" si="286"/>
        <v>12</v>
      </c>
      <c r="O359" s="44">
        <f t="shared" si="293"/>
        <v>0</v>
      </c>
      <c r="P359" s="115">
        <f>'LOE Breakdown by Year'!H165</f>
        <v>0</v>
      </c>
      <c r="Q359" s="44">
        <f t="shared" si="287"/>
        <v>12</v>
      </c>
      <c r="R359" s="44">
        <f t="shared" si="294"/>
        <v>0</v>
      </c>
      <c r="S359" s="115">
        <f>'LOE Breakdown by Year'!H211</f>
        <v>0</v>
      </c>
      <c r="T359" s="44">
        <f t="shared" si="288"/>
        <v>12</v>
      </c>
      <c r="U359" s="44">
        <f t="shared" si="295"/>
        <v>0</v>
      </c>
      <c r="V359" s="115">
        <f>'LOE Breakdown by Year'!H257</f>
        <v>0</v>
      </c>
      <c r="W359" s="44">
        <f t="shared" si="289"/>
        <v>12</v>
      </c>
      <c r="X359" s="44">
        <f t="shared" si="296"/>
        <v>0</v>
      </c>
      <c r="Y359" s="44">
        <f t="shared" si="297"/>
        <v>0</v>
      </c>
      <c r="Z359" s="44">
        <v>0</v>
      </c>
      <c r="AA359" s="44">
        <f t="shared" si="298"/>
        <v>0</v>
      </c>
    </row>
    <row r="360" spans="1:27" hidden="1">
      <c r="A360" s="595" t="s">
        <v>961</v>
      </c>
      <c r="B360" s="595">
        <v>70000</v>
      </c>
      <c r="C360" s="595" t="s">
        <v>747</v>
      </c>
      <c r="D360" s="8" t="str">
        <f t="shared" si="283"/>
        <v>M&amp;E Specialist</v>
      </c>
      <c r="E360" s="115">
        <f>'LOE Breakdown by Year'!H28</f>
        <v>0</v>
      </c>
      <c r="F360" s="50" t="s">
        <v>100</v>
      </c>
      <c r="G360" s="44">
        <f t="shared" si="284"/>
        <v>6</v>
      </c>
      <c r="H360" s="44">
        <f t="shared" si="284"/>
        <v>2000</v>
      </c>
      <c r="I360" s="44">
        <f t="shared" si="291"/>
        <v>0</v>
      </c>
      <c r="J360" s="115">
        <f>'LOE Breakdown by Year'!H74</f>
        <v>0</v>
      </c>
      <c r="K360" s="44">
        <f t="shared" si="285"/>
        <v>12</v>
      </c>
      <c r="L360" s="44">
        <f t="shared" si="292"/>
        <v>0</v>
      </c>
      <c r="M360" s="115">
        <f>'LOE Breakdown by Year'!H120</f>
        <v>0</v>
      </c>
      <c r="N360" s="44">
        <f t="shared" si="286"/>
        <v>12</v>
      </c>
      <c r="O360" s="44">
        <f t="shared" si="293"/>
        <v>0</v>
      </c>
      <c r="P360" s="115">
        <f>'LOE Breakdown by Year'!H166</f>
        <v>0</v>
      </c>
      <c r="Q360" s="44">
        <f t="shared" si="287"/>
        <v>12</v>
      </c>
      <c r="R360" s="44">
        <f t="shared" si="294"/>
        <v>0</v>
      </c>
      <c r="S360" s="115">
        <f>'LOE Breakdown by Year'!H212</f>
        <v>0</v>
      </c>
      <c r="T360" s="44">
        <f t="shared" si="288"/>
        <v>12</v>
      </c>
      <c r="U360" s="44">
        <f t="shared" si="295"/>
        <v>0</v>
      </c>
      <c r="V360" s="115">
        <f>'LOE Breakdown by Year'!H258</f>
        <v>0</v>
      </c>
      <c r="W360" s="44">
        <f t="shared" si="289"/>
        <v>11</v>
      </c>
      <c r="X360" s="44">
        <f t="shared" si="296"/>
        <v>0</v>
      </c>
      <c r="Y360" s="44">
        <f t="shared" si="297"/>
        <v>0</v>
      </c>
      <c r="Z360" s="44">
        <v>0</v>
      </c>
      <c r="AA360" s="44">
        <f t="shared" si="298"/>
        <v>0</v>
      </c>
    </row>
    <row r="361" spans="1:27" hidden="1">
      <c r="A361" s="595" t="s">
        <v>962</v>
      </c>
      <c r="B361" s="595">
        <v>70000</v>
      </c>
      <c r="C361" s="595" t="s">
        <v>747</v>
      </c>
      <c r="D361" s="8" t="str">
        <f t="shared" si="283"/>
        <v>M&amp;E Officer</v>
      </c>
      <c r="E361" s="115">
        <f>'LOE Breakdown by Year'!H29</f>
        <v>0</v>
      </c>
      <c r="F361" s="50" t="s">
        <v>100</v>
      </c>
      <c r="G361" s="44">
        <f t="shared" si="284"/>
        <v>2</v>
      </c>
      <c r="H361" s="44">
        <f t="shared" si="284"/>
        <v>1250</v>
      </c>
      <c r="I361" s="44">
        <f t="shared" si="291"/>
        <v>0</v>
      </c>
      <c r="J361" s="115">
        <f>'LOE Breakdown by Year'!H75</f>
        <v>0</v>
      </c>
      <c r="K361" s="44">
        <f t="shared" si="285"/>
        <v>12</v>
      </c>
      <c r="L361" s="44">
        <f t="shared" si="292"/>
        <v>0</v>
      </c>
      <c r="M361" s="115">
        <f>'LOE Breakdown by Year'!H121</f>
        <v>0</v>
      </c>
      <c r="N361" s="44">
        <f t="shared" si="286"/>
        <v>12</v>
      </c>
      <c r="O361" s="44">
        <f t="shared" si="293"/>
        <v>0</v>
      </c>
      <c r="P361" s="115">
        <f>'LOE Breakdown by Year'!H167</f>
        <v>0</v>
      </c>
      <c r="Q361" s="44">
        <f t="shared" si="287"/>
        <v>12</v>
      </c>
      <c r="R361" s="44">
        <f t="shared" si="294"/>
        <v>0</v>
      </c>
      <c r="S361" s="115">
        <f>'LOE Breakdown by Year'!H213</f>
        <v>0</v>
      </c>
      <c r="T361" s="44">
        <f t="shared" si="288"/>
        <v>12</v>
      </c>
      <c r="U361" s="44">
        <f t="shared" si="295"/>
        <v>0</v>
      </c>
      <c r="V361" s="115">
        <f>'LOE Breakdown by Year'!H259</f>
        <v>0</v>
      </c>
      <c r="W361" s="44">
        <f t="shared" si="289"/>
        <v>3</v>
      </c>
      <c r="X361" s="44">
        <f t="shared" si="296"/>
        <v>0</v>
      </c>
      <c r="Y361" s="44">
        <f t="shared" si="297"/>
        <v>0</v>
      </c>
      <c r="Z361" s="44">
        <v>0</v>
      </c>
      <c r="AA361" s="44">
        <f t="shared" si="298"/>
        <v>0</v>
      </c>
    </row>
    <row r="362" spans="1:27" hidden="1">
      <c r="A362" s="595" t="s">
        <v>963</v>
      </c>
      <c r="B362" s="595">
        <v>70000</v>
      </c>
      <c r="C362" s="595" t="s">
        <v>747</v>
      </c>
      <c r="D362" s="8" t="str">
        <f t="shared" si="283"/>
        <v>Supply Chain Manager</v>
      </c>
      <c r="E362" s="115">
        <f>'LOE Breakdown by Year'!H30</f>
        <v>0</v>
      </c>
      <c r="F362" s="50" t="s">
        <v>100</v>
      </c>
      <c r="G362" s="44">
        <f t="shared" si="284"/>
        <v>11</v>
      </c>
      <c r="H362" s="44">
        <f t="shared" si="284"/>
        <v>5000</v>
      </c>
      <c r="I362" s="44">
        <f t="shared" si="291"/>
        <v>0</v>
      </c>
      <c r="J362" s="115">
        <f>'LOE Breakdown by Year'!H76</f>
        <v>0</v>
      </c>
      <c r="K362" s="44">
        <f t="shared" si="285"/>
        <v>12</v>
      </c>
      <c r="L362" s="44">
        <f t="shared" si="292"/>
        <v>0</v>
      </c>
      <c r="M362" s="115">
        <f>'LOE Breakdown by Year'!H122</f>
        <v>0</v>
      </c>
      <c r="N362" s="44">
        <f t="shared" si="286"/>
        <v>12</v>
      </c>
      <c r="O362" s="44">
        <f t="shared" si="293"/>
        <v>0</v>
      </c>
      <c r="P362" s="115">
        <f>'LOE Breakdown by Year'!H168</f>
        <v>0</v>
      </c>
      <c r="Q362" s="44">
        <f t="shared" si="287"/>
        <v>12</v>
      </c>
      <c r="R362" s="44">
        <f t="shared" si="294"/>
        <v>0</v>
      </c>
      <c r="S362" s="115">
        <f>'LOE Breakdown by Year'!H214</f>
        <v>0</v>
      </c>
      <c r="T362" s="44">
        <f t="shared" si="288"/>
        <v>12</v>
      </c>
      <c r="U362" s="44">
        <f t="shared" si="295"/>
        <v>0</v>
      </c>
      <c r="V362" s="115">
        <f>'LOE Breakdown by Year'!H260</f>
        <v>0</v>
      </c>
      <c r="W362" s="44">
        <f t="shared" si="289"/>
        <v>8</v>
      </c>
      <c r="X362" s="44">
        <f t="shared" si="296"/>
        <v>0</v>
      </c>
      <c r="Y362" s="44">
        <f t="shared" si="297"/>
        <v>0</v>
      </c>
      <c r="Z362" s="44">
        <v>0</v>
      </c>
      <c r="AA362" s="44">
        <f t="shared" si="298"/>
        <v>0</v>
      </c>
    </row>
    <row r="363" spans="1:27" hidden="1">
      <c r="A363" s="595" t="s">
        <v>964</v>
      </c>
      <c r="B363" s="595">
        <v>70000</v>
      </c>
      <c r="C363" s="595" t="s">
        <v>747</v>
      </c>
      <c r="D363" s="8" t="str">
        <f t="shared" si="283"/>
        <v>In-Country Logistics Specialist</v>
      </c>
      <c r="E363" s="115">
        <f>'LOE Breakdown by Year'!H31</f>
        <v>0</v>
      </c>
      <c r="F363" s="50" t="s">
        <v>100</v>
      </c>
      <c r="G363" s="44">
        <f t="shared" ref="G363:H376" si="299">G32</f>
        <v>9</v>
      </c>
      <c r="H363" s="44">
        <f t="shared" si="299"/>
        <v>2000</v>
      </c>
      <c r="I363" s="44">
        <f t="shared" si="291"/>
        <v>0</v>
      </c>
      <c r="J363" s="115">
        <f>'LOE Breakdown by Year'!H77</f>
        <v>0</v>
      </c>
      <c r="K363" s="44">
        <f t="shared" si="285"/>
        <v>12</v>
      </c>
      <c r="L363" s="44">
        <f t="shared" si="292"/>
        <v>0</v>
      </c>
      <c r="M363" s="115">
        <f>'LOE Breakdown by Year'!H123</f>
        <v>0</v>
      </c>
      <c r="N363" s="44">
        <f t="shared" si="286"/>
        <v>12</v>
      </c>
      <c r="O363" s="44">
        <f t="shared" si="293"/>
        <v>0</v>
      </c>
      <c r="P363" s="115">
        <f>'LOE Breakdown by Year'!H169</f>
        <v>0</v>
      </c>
      <c r="Q363" s="44">
        <f t="shared" si="287"/>
        <v>12</v>
      </c>
      <c r="R363" s="44">
        <f t="shared" si="294"/>
        <v>0</v>
      </c>
      <c r="S363" s="115">
        <f>'LOE Breakdown by Year'!H215</f>
        <v>0</v>
      </c>
      <c r="T363" s="44">
        <f t="shared" si="288"/>
        <v>12</v>
      </c>
      <c r="U363" s="44">
        <f t="shared" si="295"/>
        <v>0</v>
      </c>
      <c r="V363" s="115">
        <f>'LOE Breakdown by Year'!H261</f>
        <v>0</v>
      </c>
      <c r="W363" s="44">
        <f t="shared" si="289"/>
        <v>8</v>
      </c>
      <c r="X363" s="44">
        <f t="shared" si="296"/>
        <v>0</v>
      </c>
      <c r="Y363" s="44">
        <f t="shared" si="297"/>
        <v>0</v>
      </c>
      <c r="Z363" s="44">
        <v>0</v>
      </c>
      <c r="AA363" s="44">
        <f t="shared" si="298"/>
        <v>0</v>
      </c>
    </row>
    <row r="364" spans="1:27" hidden="1">
      <c r="A364" s="595" t="s">
        <v>965</v>
      </c>
      <c r="B364" s="595">
        <v>70000</v>
      </c>
      <c r="C364" s="595" t="s">
        <v>747</v>
      </c>
      <c r="D364" s="8" t="str">
        <f t="shared" si="283"/>
        <v>US Commodity Logistics Specialist</v>
      </c>
      <c r="E364" s="115">
        <f>'LOE Breakdown by Year'!H32</f>
        <v>0</v>
      </c>
      <c r="F364" s="50" t="s">
        <v>100</v>
      </c>
      <c r="G364" s="44">
        <f t="shared" si="299"/>
        <v>9</v>
      </c>
      <c r="H364" s="44">
        <f t="shared" si="299"/>
        <v>2000</v>
      </c>
      <c r="I364" s="44">
        <f t="shared" si="291"/>
        <v>0</v>
      </c>
      <c r="J364" s="115">
        <f>'LOE Breakdown by Year'!H78</f>
        <v>0</v>
      </c>
      <c r="K364" s="44">
        <f t="shared" si="285"/>
        <v>12</v>
      </c>
      <c r="L364" s="44">
        <f t="shared" si="292"/>
        <v>0</v>
      </c>
      <c r="M364" s="115">
        <f>'LOE Breakdown by Year'!H124</f>
        <v>0</v>
      </c>
      <c r="N364" s="44">
        <f t="shared" si="286"/>
        <v>12</v>
      </c>
      <c r="O364" s="44">
        <f t="shared" si="293"/>
        <v>0</v>
      </c>
      <c r="P364" s="115">
        <f>'LOE Breakdown by Year'!H170</f>
        <v>0</v>
      </c>
      <c r="Q364" s="44">
        <f t="shared" si="287"/>
        <v>12</v>
      </c>
      <c r="R364" s="44">
        <f t="shared" si="294"/>
        <v>0</v>
      </c>
      <c r="S364" s="115">
        <f>'LOE Breakdown by Year'!H216</f>
        <v>0</v>
      </c>
      <c r="T364" s="44">
        <f t="shared" si="288"/>
        <v>12</v>
      </c>
      <c r="U364" s="44">
        <f t="shared" si="295"/>
        <v>0</v>
      </c>
      <c r="V364" s="115">
        <f>'LOE Breakdown by Year'!H262</f>
        <v>0</v>
      </c>
      <c r="W364" s="44">
        <f t="shared" si="289"/>
        <v>8</v>
      </c>
      <c r="X364" s="44">
        <f t="shared" si="296"/>
        <v>0</v>
      </c>
      <c r="Y364" s="44">
        <f t="shared" si="297"/>
        <v>0</v>
      </c>
      <c r="Z364" s="44">
        <v>0</v>
      </c>
      <c r="AA364" s="44">
        <f t="shared" si="298"/>
        <v>0</v>
      </c>
    </row>
    <row r="365" spans="1:27" hidden="1">
      <c r="A365" s="595" t="s">
        <v>966</v>
      </c>
      <c r="B365" s="595">
        <v>70000</v>
      </c>
      <c r="C365" s="595" t="s">
        <v>747</v>
      </c>
      <c r="D365" s="8" t="str">
        <f t="shared" si="283"/>
        <v>Warehouse Manager</v>
      </c>
      <c r="E365" s="115">
        <f>'LOE Breakdown by Year'!H33</f>
        <v>0</v>
      </c>
      <c r="F365" s="50" t="s">
        <v>100</v>
      </c>
      <c r="G365" s="44">
        <f t="shared" si="299"/>
        <v>8</v>
      </c>
      <c r="H365" s="44">
        <f t="shared" si="299"/>
        <v>1250</v>
      </c>
      <c r="I365" s="44">
        <f t="shared" si="291"/>
        <v>0</v>
      </c>
      <c r="J365" s="115">
        <f>'LOE Breakdown by Year'!H79</f>
        <v>0</v>
      </c>
      <c r="K365" s="44">
        <f t="shared" si="285"/>
        <v>12</v>
      </c>
      <c r="L365" s="44">
        <f t="shared" si="292"/>
        <v>0</v>
      </c>
      <c r="M365" s="115">
        <f>'LOE Breakdown by Year'!H125</f>
        <v>0</v>
      </c>
      <c r="N365" s="44">
        <f t="shared" si="286"/>
        <v>12</v>
      </c>
      <c r="O365" s="44">
        <f t="shared" si="293"/>
        <v>0</v>
      </c>
      <c r="P365" s="115">
        <f>'LOE Breakdown by Year'!H171</f>
        <v>0</v>
      </c>
      <c r="Q365" s="44">
        <f t="shared" si="287"/>
        <v>12</v>
      </c>
      <c r="R365" s="44">
        <f t="shared" si="294"/>
        <v>0</v>
      </c>
      <c r="S365" s="115">
        <f>'LOE Breakdown by Year'!H217</f>
        <v>0</v>
      </c>
      <c r="T365" s="44">
        <f t="shared" si="288"/>
        <v>12</v>
      </c>
      <c r="U365" s="44">
        <f t="shared" si="295"/>
        <v>0</v>
      </c>
      <c r="V365" s="115">
        <f>'LOE Breakdown by Year'!H263</f>
        <v>0</v>
      </c>
      <c r="W365" s="44">
        <f t="shared" si="289"/>
        <v>8</v>
      </c>
      <c r="X365" s="44">
        <f t="shared" si="296"/>
        <v>0</v>
      </c>
      <c r="Y365" s="44">
        <f t="shared" si="297"/>
        <v>0</v>
      </c>
      <c r="Z365" s="44">
        <v>0</v>
      </c>
      <c r="AA365" s="44">
        <f t="shared" si="298"/>
        <v>0</v>
      </c>
    </row>
    <row r="366" spans="1:27" hidden="1">
      <c r="A366" s="595" t="s">
        <v>967</v>
      </c>
      <c r="B366" s="595">
        <v>70000</v>
      </c>
      <c r="C366" s="595" t="s">
        <v>747</v>
      </c>
      <c r="D366" s="8" t="str">
        <f t="shared" si="283"/>
        <v>Warehouse Officer - (2 Individuals)</v>
      </c>
      <c r="E366" s="115">
        <f>'LOE Breakdown by Year'!H34</f>
        <v>0</v>
      </c>
      <c r="F366" s="50" t="s">
        <v>100</v>
      </c>
      <c r="G366" s="44">
        <f t="shared" si="299"/>
        <v>8</v>
      </c>
      <c r="H366" s="44">
        <f t="shared" si="299"/>
        <v>1000</v>
      </c>
      <c r="I366" s="44">
        <f t="shared" si="291"/>
        <v>0</v>
      </c>
      <c r="J366" s="115">
        <f>'LOE Breakdown by Year'!H80</f>
        <v>0</v>
      </c>
      <c r="K366" s="44">
        <f t="shared" si="285"/>
        <v>24</v>
      </c>
      <c r="L366" s="44">
        <f t="shared" si="292"/>
        <v>0</v>
      </c>
      <c r="M366" s="115">
        <f>'LOE Breakdown by Year'!H126</f>
        <v>0</v>
      </c>
      <c r="N366" s="44">
        <f t="shared" si="286"/>
        <v>24</v>
      </c>
      <c r="O366" s="44">
        <f t="shared" si="293"/>
        <v>0</v>
      </c>
      <c r="P366" s="115">
        <f>'LOE Breakdown by Year'!H172</f>
        <v>0</v>
      </c>
      <c r="Q366" s="44">
        <f t="shared" si="287"/>
        <v>24</v>
      </c>
      <c r="R366" s="44">
        <f t="shared" si="294"/>
        <v>0</v>
      </c>
      <c r="S366" s="115">
        <f>'LOE Breakdown by Year'!H218</f>
        <v>0</v>
      </c>
      <c r="T366" s="44">
        <f t="shared" si="288"/>
        <v>24</v>
      </c>
      <c r="U366" s="44">
        <f t="shared" si="295"/>
        <v>0</v>
      </c>
      <c r="V366" s="115">
        <f>'LOE Breakdown by Year'!H264</f>
        <v>0</v>
      </c>
      <c r="W366" s="44">
        <f t="shared" si="289"/>
        <v>8</v>
      </c>
      <c r="X366" s="44">
        <f t="shared" si="296"/>
        <v>0</v>
      </c>
      <c r="Y366" s="44">
        <f t="shared" si="297"/>
        <v>0</v>
      </c>
      <c r="Z366" s="44">
        <v>0</v>
      </c>
      <c r="AA366" s="44">
        <f t="shared" si="298"/>
        <v>0</v>
      </c>
    </row>
    <row r="367" spans="1:27" hidden="1">
      <c r="A367" s="595" t="s">
        <v>968</v>
      </c>
      <c r="B367" s="595">
        <v>70000</v>
      </c>
      <c r="C367" s="595" t="s">
        <v>747</v>
      </c>
      <c r="D367" s="8" t="str">
        <f t="shared" si="283"/>
        <v xml:space="preserve">LRP Technical Specialist </v>
      </c>
      <c r="E367" s="115">
        <f>'LOE Breakdown by Year'!H35</f>
        <v>0</v>
      </c>
      <c r="F367" s="50" t="s">
        <v>100</v>
      </c>
      <c r="G367" s="44">
        <f t="shared" si="299"/>
        <v>8</v>
      </c>
      <c r="H367" s="44">
        <f t="shared" si="299"/>
        <v>1500</v>
      </c>
      <c r="I367" s="44">
        <f t="shared" si="291"/>
        <v>0</v>
      </c>
      <c r="J367" s="115">
        <f>'LOE Breakdown by Year'!H81</f>
        <v>0</v>
      </c>
      <c r="K367" s="44">
        <f t="shared" si="285"/>
        <v>12</v>
      </c>
      <c r="L367" s="44">
        <f t="shared" si="292"/>
        <v>0</v>
      </c>
      <c r="M367" s="115">
        <f>'LOE Breakdown by Year'!H127</f>
        <v>0</v>
      </c>
      <c r="N367" s="44">
        <f t="shared" si="286"/>
        <v>12</v>
      </c>
      <c r="O367" s="44">
        <f t="shared" si="293"/>
        <v>0</v>
      </c>
      <c r="P367" s="115">
        <f>'LOE Breakdown by Year'!H173</f>
        <v>0</v>
      </c>
      <c r="Q367" s="44">
        <f t="shared" si="287"/>
        <v>12</v>
      </c>
      <c r="R367" s="44">
        <f t="shared" si="294"/>
        <v>0</v>
      </c>
      <c r="S367" s="115">
        <f>'LOE Breakdown by Year'!H219</f>
        <v>0</v>
      </c>
      <c r="T367" s="44">
        <f t="shared" si="288"/>
        <v>12</v>
      </c>
      <c r="U367" s="44">
        <f t="shared" si="295"/>
        <v>0</v>
      </c>
      <c r="V367" s="115">
        <f>'LOE Breakdown by Year'!H265</f>
        <v>0</v>
      </c>
      <c r="W367" s="44">
        <f t="shared" si="289"/>
        <v>0</v>
      </c>
      <c r="X367" s="44">
        <f t="shared" si="296"/>
        <v>0</v>
      </c>
      <c r="Y367" s="44">
        <f t="shared" si="297"/>
        <v>0</v>
      </c>
      <c r="Z367" s="44">
        <v>0</v>
      </c>
      <c r="AA367" s="44">
        <f t="shared" si="298"/>
        <v>0</v>
      </c>
    </row>
    <row r="368" spans="1:27" hidden="1">
      <c r="A368" s="595" t="s">
        <v>969</v>
      </c>
      <c r="B368" s="595">
        <v>70000</v>
      </c>
      <c r="C368" s="595" t="s">
        <v>747</v>
      </c>
      <c r="D368" s="8" t="str">
        <f t="shared" si="283"/>
        <v>Finance &amp; Administration Director</v>
      </c>
      <c r="E368" s="115">
        <f>'LOE Breakdown by Year'!H36</f>
        <v>0</v>
      </c>
      <c r="F368" s="50" t="s">
        <v>100</v>
      </c>
      <c r="G368" s="44">
        <f t="shared" si="299"/>
        <v>9</v>
      </c>
      <c r="H368" s="44">
        <f t="shared" si="299"/>
        <v>5000</v>
      </c>
      <c r="I368" s="44">
        <f t="shared" si="291"/>
        <v>0</v>
      </c>
      <c r="J368" s="115">
        <f>'LOE Breakdown by Year'!H82</f>
        <v>0</v>
      </c>
      <c r="K368" s="44">
        <f t="shared" si="285"/>
        <v>12</v>
      </c>
      <c r="L368" s="44">
        <f t="shared" si="292"/>
        <v>0</v>
      </c>
      <c r="M368" s="115">
        <f>'LOE Breakdown by Year'!H128</f>
        <v>0</v>
      </c>
      <c r="N368" s="44">
        <f t="shared" si="286"/>
        <v>12</v>
      </c>
      <c r="O368" s="44">
        <f t="shared" si="293"/>
        <v>0</v>
      </c>
      <c r="P368" s="115">
        <f>'LOE Breakdown by Year'!H174</f>
        <v>0</v>
      </c>
      <c r="Q368" s="44">
        <f t="shared" si="287"/>
        <v>12</v>
      </c>
      <c r="R368" s="44">
        <f t="shared" si="294"/>
        <v>0</v>
      </c>
      <c r="S368" s="115">
        <f>'LOE Breakdown by Year'!H220</f>
        <v>0</v>
      </c>
      <c r="T368" s="44">
        <f t="shared" si="288"/>
        <v>12</v>
      </c>
      <c r="U368" s="44">
        <f t="shared" si="295"/>
        <v>0</v>
      </c>
      <c r="V368" s="115">
        <f>'LOE Breakdown by Year'!H266</f>
        <v>0</v>
      </c>
      <c r="W368" s="44">
        <f t="shared" si="289"/>
        <v>12</v>
      </c>
      <c r="X368" s="44">
        <f t="shared" si="296"/>
        <v>0</v>
      </c>
      <c r="Y368" s="44">
        <f t="shared" si="297"/>
        <v>0</v>
      </c>
      <c r="Z368" s="44">
        <v>0</v>
      </c>
      <c r="AA368" s="44">
        <f t="shared" si="298"/>
        <v>0</v>
      </c>
    </row>
    <row r="369" spans="1:28" hidden="1">
      <c r="A369" s="595" t="s">
        <v>970</v>
      </c>
      <c r="B369" s="595">
        <v>70000</v>
      </c>
      <c r="C369" s="595" t="s">
        <v>747</v>
      </c>
      <c r="D369" s="8" t="str">
        <f t="shared" si="283"/>
        <v>Contracts &amp; Compliance Manager</v>
      </c>
      <c r="E369" s="115">
        <f>'LOE Breakdown by Year'!H37</f>
        <v>0</v>
      </c>
      <c r="F369" s="50" t="s">
        <v>100</v>
      </c>
      <c r="G369" s="44">
        <f t="shared" si="299"/>
        <v>9</v>
      </c>
      <c r="H369" s="44">
        <f t="shared" si="299"/>
        <v>2633.3333333333335</v>
      </c>
      <c r="I369" s="44">
        <f t="shared" si="291"/>
        <v>0</v>
      </c>
      <c r="J369" s="115">
        <f>'LOE Breakdown by Year'!H83</f>
        <v>0</v>
      </c>
      <c r="K369" s="44">
        <f t="shared" si="285"/>
        <v>12</v>
      </c>
      <c r="L369" s="44">
        <f t="shared" si="292"/>
        <v>0</v>
      </c>
      <c r="M369" s="115">
        <f>'LOE Breakdown by Year'!H129</f>
        <v>0</v>
      </c>
      <c r="N369" s="44">
        <f t="shared" si="286"/>
        <v>12</v>
      </c>
      <c r="O369" s="44">
        <f t="shared" si="293"/>
        <v>0</v>
      </c>
      <c r="P369" s="115">
        <f>'LOE Breakdown by Year'!H175</f>
        <v>0</v>
      </c>
      <c r="Q369" s="44">
        <f t="shared" si="287"/>
        <v>12</v>
      </c>
      <c r="R369" s="44">
        <f t="shared" si="294"/>
        <v>0</v>
      </c>
      <c r="S369" s="115">
        <f>'LOE Breakdown by Year'!H221</f>
        <v>0</v>
      </c>
      <c r="T369" s="44">
        <f t="shared" si="288"/>
        <v>12</v>
      </c>
      <c r="U369" s="44">
        <f t="shared" si="295"/>
        <v>0</v>
      </c>
      <c r="V369" s="115">
        <f>'LOE Breakdown by Year'!H267</f>
        <v>0</v>
      </c>
      <c r="W369" s="44">
        <f t="shared" si="289"/>
        <v>11</v>
      </c>
      <c r="X369" s="44">
        <f t="shared" si="296"/>
        <v>0</v>
      </c>
      <c r="Y369" s="44">
        <f t="shared" si="297"/>
        <v>0</v>
      </c>
      <c r="Z369" s="44">
        <v>0</v>
      </c>
      <c r="AA369" s="44">
        <f t="shared" si="298"/>
        <v>0</v>
      </c>
    </row>
    <row r="370" spans="1:28" hidden="1">
      <c r="A370" s="595" t="s">
        <v>971</v>
      </c>
      <c r="B370" s="595">
        <v>70000</v>
      </c>
      <c r="C370" s="595" t="s">
        <v>747</v>
      </c>
      <c r="D370" s="8" t="str">
        <f t="shared" si="283"/>
        <v>Grants &amp; Procurement Specialist</v>
      </c>
      <c r="E370" s="115">
        <f>'LOE Breakdown by Year'!H38</f>
        <v>0</v>
      </c>
      <c r="F370" s="50" t="s">
        <v>100</v>
      </c>
      <c r="G370" s="44">
        <f t="shared" si="299"/>
        <v>6</v>
      </c>
      <c r="H370" s="44">
        <f t="shared" si="299"/>
        <v>1500</v>
      </c>
      <c r="I370" s="44">
        <f t="shared" si="291"/>
        <v>0</v>
      </c>
      <c r="J370" s="115">
        <f>'LOE Breakdown by Year'!H84</f>
        <v>0</v>
      </c>
      <c r="K370" s="44">
        <f t="shared" si="285"/>
        <v>12</v>
      </c>
      <c r="L370" s="44">
        <f t="shared" si="292"/>
        <v>0</v>
      </c>
      <c r="M370" s="115">
        <f>'LOE Breakdown by Year'!H130</f>
        <v>0</v>
      </c>
      <c r="N370" s="44">
        <f t="shared" si="286"/>
        <v>12</v>
      </c>
      <c r="O370" s="44">
        <f t="shared" si="293"/>
        <v>0</v>
      </c>
      <c r="P370" s="115">
        <f>'LOE Breakdown by Year'!H176</f>
        <v>0</v>
      </c>
      <c r="Q370" s="44">
        <f t="shared" si="287"/>
        <v>12</v>
      </c>
      <c r="R370" s="44">
        <f t="shared" si="294"/>
        <v>0</v>
      </c>
      <c r="S370" s="115">
        <f>'LOE Breakdown by Year'!H222</f>
        <v>0</v>
      </c>
      <c r="T370" s="44">
        <f t="shared" si="288"/>
        <v>12</v>
      </c>
      <c r="U370" s="44">
        <f t="shared" si="295"/>
        <v>0</v>
      </c>
      <c r="V370" s="115">
        <f>'LOE Breakdown by Year'!H268</f>
        <v>0</v>
      </c>
      <c r="W370" s="44">
        <f t="shared" si="289"/>
        <v>6</v>
      </c>
      <c r="X370" s="44">
        <f t="shared" si="296"/>
        <v>0</v>
      </c>
      <c r="Y370" s="44">
        <f t="shared" si="297"/>
        <v>0</v>
      </c>
      <c r="Z370" s="44">
        <v>0</v>
      </c>
      <c r="AA370" s="44">
        <f t="shared" si="298"/>
        <v>0</v>
      </c>
    </row>
    <row r="371" spans="1:28" hidden="1">
      <c r="A371" s="595" t="s">
        <v>972</v>
      </c>
      <c r="B371" s="595">
        <v>70000</v>
      </c>
      <c r="C371" s="595" t="s">
        <v>747</v>
      </c>
      <c r="D371" s="8" t="str">
        <f t="shared" si="283"/>
        <v>Grants &amp; Procurement Officer</v>
      </c>
      <c r="E371" s="115">
        <f>'LOE Breakdown by Year'!H39</f>
        <v>0</v>
      </c>
      <c r="F371" s="50" t="s">
        <v>100</v>
      </c>
      <c r="G371" s="44">
        <f t="shared" si="299"/>
        <v>2</v>
      </c>
      <c r="H371" s="44">
        <f t="shared" si="299"/>
        <v>1000</v>
      </c>
      <c r="I371" s="44">
        <f t="shared" si="291"/>
        <v>0</v>
      </c>
      <c r="J371" s="115">
        <f>'LOE Breakdown by Year'!H85</f>
        <v>0</v>
      </c>
      <c r="K371" s="44">
        <f t="shared" si="285"/>
        <v>12</v>
      </c>
      <c r="L371" s="44">
        <f t="shared" si="292"/>
        <v>0</v>
      </c>
      <c r="M371" s="115">
        <f>'LOE Breakdown by Year'!H131</f>
        <v>0</v>
      </c>
      <c r="N371" s="44">
        <f t="shared" si="286"/>
        <v>12</v>
      </c>
      <c r="O371" s="44">
        <f t="shared" si="293"/>
        <v>0</v>
      </c>
      <c r="P371" s="115">
        <f>'LOE Breakdown by Year'!H177</f>
        <v>0</v>
      </c>
      <c r="Q371" s="44">
        <f t="shared" si="287"/>
        <v>12</v>
      </c>
      <c r="R371" s="44">
        <f t="shared" si="294"/>
        <v>0</v>
      </c>
      <c r="S371" s="115">
        <f>'LOE Breakdown by Year'!H223</f>
        <v>0</v>
      </c>
      <c r="T371" s="44">
        <f t="shared" si="288"/>
        <v>12</v>
      </c>
      <c r="U371" s="44">
        <f t="shared" si="295"/>
        <v>0</v>
      </c>
      <c r="V371" s="115">
        <f>'LOE Breakdown by Year'!H269</f>
        <v>0</v>
      </c>
      <c r="W371" s="44">
        <f t="shared" si="289"/>
        <v>3</v>
      </c>
      <c r="X371" s="44">
        <f t="shared" si="296"/>
        <v>0</v>
      </c>
      <c r="Y371" s="44">
        <f t="shared" si="297"/>
        <v>0</v>
      </c>
      <c r="Z371" s="44">
        <v>0</v>
      </c>
      <c r="AA371" s="44">
        <f t="shared" si="298"/>
        <v>0</v>
      </c>
    </row>
    <row r="372" spans="1:28" hidden="1">
      <c r="A372" s="595" t="s">
        <v>973</v>
      </c>
      <c r="B372" s="595">
        <v>70000</v>
      </c>
      <c r="C372" s="595" t="s">
        <v>747</v>
      </c>
      <c r="D372" s="8" t="str">
        <f t="shared" si="283"/>
        <v>Finance Officer</v>
      </c>
      <c r="E372" s="115">
        <f>'LOE Breakdown by Year'!H40</f>
        <v>0</v>
      </c>
      <c r="F372" s="50" t="s">
        <v>100</v>
      </c>
      <c r="G372" s="44">
        <f t="shared" si="299"/>
        <v>9</v>
      </c>
      <c r="H372" s="44">
        <f t="shared" si="299"/>
        <v>1250</v>
      </c>
      <c r="I372" s="44">
        <f t="shared" si="291"/>
        <v>0</v>
      </c>
      <c r="J372" s="115">
        <f>'LOE Breakdown by Year'!H86</f>
        <v>0</v>
      </c>
      <c r="K372" s="44">
        <f t="shared" si="285"/>
        <v>12</v>
      </c>
      <c r="L372" s="44">
        <f t="shared" si="292"/>
        <v>0</v>
      </c>
      <c r="M372" s="115">
        <f>'LOE Breakdown by Year'!H132</f>
        <v>0</v>
      </c>
      <c r="N372" s="44">
        <f t="shared" si="286"/>
        <v>12</v>
      </c>
      <c r="O372" s="44">
        <f t="shared" si="293"/>
        <v>0</v>
      </c>
      <c r="P372" s="115">
        <f>'LOE Breakdown by Year'!H178</f>
        <v>0</v>
      </c>
      <c r="Q372" s="44">
        <f t="shared" si="287"/>
        <v>12</v>
      </c>
      <c r="R372" s="44">
        <f t="shared" si="294"/>
        <v>0</v>
      </c>
      <c r="S372" s="115">
        <f>'LOE Breakdown by Year'!H224</f>
        <v>0</v>
      </c>
      <c r="T372" s="44">
        <f t="shared" si="288"/>
        <v>12</v>
      </c>
      <c r="U372" s="44">
        <f t="shared" si="295"/>
        <v>0</v>
      </c>
      <c r="V372" s="115">
        <f>'LOE Breakdown by Year'!H270</f>
        <v>0</v>
      </c>
      <c r="W372" s="44">
        <f t="shared" si="289"/>
        <v>11</v>
      </c>
      <c r="X372" s="44">
        <f t="shared" si="296"/>
        <v>0</v>
      </c>
      <c r="Y372" s="44">
        <f t="shared" si="297"/>
        <v>0</v>
      </c>
      <c r="Z372" s="44">
        <v>0</v>
      </c>
      <c r="AA372" s="44">
        <f t="shared" si="298"/>
        <v>0</v>
      </c>
    </row>
    <row r="373" spans="1:28" hidden="1">
      <c r="A373" s="595" t="s">
        <v>974</v>
      </c>
      <c r="B373" s="595">
        <v>70000</v>
      </c>
      <c r="C373" s="595" t="s">
        <v>747</v>
      </c>
      <c r="D373" s="8" t="str">
        <f t="shared" si="283"/>
        <v>Accountant</v>
      </c>
      <c r="E373" s="115">
        <f>'LOE Breakdown by Year'!H41</f>
        <v>0</v>
      </c>
      <c r="F373" s="50" t="s">
        <v>100</v>
      </c>
      <c r="G373" s="44">
        <f t="shared" si="299"/>
        <v>3</v>
      </c>
      <c r="H373" s="44">
        <f t="shared" si="299"/>
        <v>1000</v>
      </c>
      <c r="I373" s="44">
        <f t="shared" si="291"/>
        <v>0</v>
      </c>
      <c r="J373" s="115">
        <f>'LOE Breakdown by Year'!H87</f>
        <v>0</v>
      </c>
      <c r="K373" s="44">
        <f t="shared" si="285"/>
        <v>12</v>
      </c>
      <c r="L373" s="44">
        <f t="shared" si="292"/>
        <v>0</v>
      </c>
      <c r="M373" s="115">
        <f>'LOE Breakdown by Year'!H133</f>
        <v>0</v>
      </c>
      <c r="N373" s="44">
        <f t="shared" si="286"/>
        <v>12</v>
      </c>
      <c r="O373" s="44">
        <f t="shared" si="293"/>
        <v>0</v>
      </c>
      <c r="P373" s="115">
        <f>'LOE Breakdown by Year'!H179</f>
        <v>0</v>
      </c>
      <c r="Q373" s="44">
        <f t="shared" si="287"/>
        <v>12</v>
      </c>
      <c r="R373" s="44">
        <f t="shared" si="294"/>
        <v>0</v>
      </c>
      <c r="S373" s="115">
        <f>'LOE Breakdown by Year'!H225</f>
        <v>0</v>
      </c>
      <c r="T373" s="44">
        <f t="shared" si="288"/>
        <v>12</v>
      </c>
      <c r="U373" s="44">
        <f t="shared" si="295"/>
        <v>0</v>
      </c>
      <c r="V373" s="115">
        <f>'LOE Breakdown by Year'!H271</f>
        <v>0</v>
      </c>
      <c r="W373" s="44">
        <f t="shared" si="289"/>
        <v>9</v>
      </c>
      <c r="X373" s="44">
        <f t="shared" si="296"/>
        <v>0</v>
      </c>
      <c r="Y373" s="44">
        <f t="shared" si="297"/>
        <v>0</v>
      </c>
      <c r="Z373" s="44">
        <v>0</v>
      </c>
      <c r="AA373" s="44">
        <f t="shared" si="298"/>
        <v>0</v>
      </c>
    </row>
    <row r="374" spans="1:28" hidden="1">
      <c r="A374" s="595" t="s">
        <v>975</v>
      </c>
      <c r="B374" s="595">
        <v>70000</v>
      </c>
      <c r="C374" s="595" t="s">
        <v>747</v>
      </c>
      <c r="D374" s="8" t="str">
        <f t="shared" si="283"/>
        <v>Operation &amp; HR Manager</v>
      </c>
      <c r="E374" s="115">
        <f>'LOE Breakdown by Year'!H42</f>
        <v>0</v>
      </c>
      <c r="F374" s="50" t="s">
        <v>100</v>
      </c>
      <c r="G374" s="44">
        <f t="shared" si="299"/>
        <v>9</v>
      </c>
      <c r="H374" s="44">
        <f t="shared" si="299"/>
        <v>1800</v>
      </c>
      <c r="I374" s="44">
        <f t="shared" si="291"/>
        <v>0</v>
      </c>
      <c r="J374" s="115">
        <f>'LOE Breakdown by Year'!H88</f>
        <v>0</v>
      </c>
      <c r="K374" s="44">
        <f t="shared" si="285"/>
        <v>12</v>
      </c>
      <c r="L374" s="44">
        <f t="shared" si="292"/>
        <v>0</v>
      </c>
      <c r="M374" s="115">
        <f>'LOE Breakdown by Year'!H134</f>
        <v>0</v>
      </c>
      <c r="N374" s="44">
        <f t="shared" si="286"/>
        <v>12</v>
      </c>
      <c r="O374" s="44">
        <f t="shared" si="293"/>
        <v>0</v>
      </c>
      <c r="P374" s="115">
        <f>'LOE Breakdown by Year'!H180</f>
        <v>0</v>
      </c>
      <c r="Q374" s="44">
        <f t="shared" si="287"/>
        <v>12</v>
      </c>
      <c r="R374" s="44">
        <f t="shared" si="294"/>
        <v>0</v>
      </c>
      <c r="S374" s="115">
        <f>'LOE Breakdown by Year'!H226</f>
        <v>0</v>
      </c>
      <c r="T374" s="44">
        <f t="shared" si="288"/>
        <v>12</v>
      </c>
      <c r="U374" s="44">
        <f t="shared" si="295"/>
        <v>0</v>
      </c>
      <c r="V374" s="115">
        <f>'LOE Breakdown by Year'!H272</f>
        <v>0</v>
      </c>
      <c r="W374" s="44">
        <f t="shared" si="289"/>
        <v>11</v>
      </c>
      <c r="X374" s="44">
        <f t="shared" si="296"/>
        <v>0</v>
      </c>
      <c r="Y374" s="44">
        <f t="shared" si="297"/>
        <v>0</v>
      </c>
      <c r="Z374" s="44">
        <v>0</v>
      </c>
      <c r="AA374" s="44">
        <f t="shared" si="298"/>
        <v>0</v>
      </c>
    </row>
    <row r="375" spans="1:28" hidden="1">
      <c r="A375" s="595" t="s">
        <v>976</v>
      </c>
      <c r="B375" s="595">
        <v>70000</v>
      </c>
      <c r="C375" s="595" t="s">
        <v>747</v>
      </c>
      <c r="D375" s="8" t="str">
        <f t="shared" si="283"/>
        <v>Administrative Assistant - (2 Individuals)</v>
      </c>
      <c r="E375" s="115">
        <f>'LOE Breakdown by Year'!H43</f>
        <v>0</v>
      </c>
      <c r="F375" s="50" t="s">
        <v>100</v>
      </c>
      <c r="G375" s="44">
        <f t="shared" si="299"/>
        <v>6</v>
      </c>
      <c r="H375" s="44">
        <f t="shared" si="299"/>
        <v>750</v>
      </c>
      <c r="I375" s="44">
        <f t="shared" si="291"/>
        <v>0</v>
      </c>
      <c r="J375" s="115">
        <f>'LOE Breakdown by Year'!H89</f>
        <v>0</v>
      </c>
      <c r="K375" s="44">
        <f t="shared" si="285"/>
        <v>24</v>
      </c>
      <c r="L375" s="44">
        <f t="shared" si="292"/>
        <v>0</v>
      </c>
      <c r="M375" s="115">
        <f>'LOE Breakdown by Year'!H135</f>
        <v>0</v>
      </c>
      <c r="N375" s="44">
        <f t="shared" si="286"/>
        <v>24</v>
      </c>
      <c r="O375" s="44">
        <f t="shared" si="293"/>
        <v>0</v>
      </c>
      <c r="P375" s="115">
        <f>'LOE Breakdown by Year'!H181</f>
        <v>0</v>
      </c>
      <c r="Q375" s="44">
        <f t="shared" si="287"/>
        <v>24</v>
      </c>
      <c r="R375" s="44">
        <f t="shared" si="294"/>
        <v>0</v>
      </c>
      <c r="S375" s="115">
        <f>'LOE Breakdown by Year'!H227</f>
        <v>0</v>
      </c>
      <c r="T375" s="44">
        <f t="shared" si="288"/>
        <v>24</v>
      </c>
      <c r="U375" s="44">
        <f t="shared" si="295"/>
        <v>0</v>
      </c>
      <c r="V375" s="115">
        <f>'LOE Breakdown by Year'!H273</f>
        <v>0</v>
      </c>
      <c r="W375" s="44">
        <f t="shared" si="289"/>
        <v>10</v>
      </c>
      <c r="X375" s="44">
        <f t="shared" si="296"/>
        <v>0</v>
      </c>
      <c r="Y375" s="44">
        <f t="shared" si="297"/>
        <v>0</v>
      </c>
      <c r="Z375" s="44">
        <v>0</v>
      </c>
      <c r="AA375" s="44">
        <f t="shared" si="298"/>
        <v>0</v>
      </c>
    </row>
    <row r="376" spans="1:28" hidden="1">
      <c r="A376" s="595" t="s">
        <v>977</v>
      </c>
      <c r="B376" s="595">
        <v>70000</v>
      </c>
      <c r="C376" s="595" t="s">
        <v>747</v>
      </c>
      <c r="D376" s="8" t="str">
        <f t="shared" si="283"/>
        <v>Driver - (2 Individuals)</v>
      </c>
      <c r="E376" s="115">
        <f>'LOE Breakdown by Year'!H44</f>
        <v>0</v>
      </c>
      <c r="F376" s="50" t="s">
        <v>100</v>
      </c>
      <c r="G376" s="44">
        <f t="shared" si="299"/>
        <v>6</v>
      </c>
      <c r="H376" s="44">
        <f t="shared" si="299"/>
        <v>500</v>
      </c>
      <c r="I376" s="44">
        <f t="shared" si="291"/>
        <v>0</v>
      </c>
      <c r="J376" s="115">
        <f>'LOE Breakdown by Year'!H90</f>
        <v>0</v>
      </c>
      <c r="K376" s="44">
        <f t="shared" si="285"/>
        <v>24</v>
      </c>
      <c r="L376" s="44">
        <f t="shared" si="292"/>
        <v>0</v>
      </c>
      <c r="M376" s="115">
        <f>'LOE Breakdown by Year'!H136</f>
        <v>0</v>
      </c>
      <c r="N376" s="44">
        <f t="shared" si="286"/>
        <v>24</v>
      </c>
      <c r="O376" s="44">
        <f t="shared" si="293"/>
        <v>0</v>
      </c>
      <c r="P376" s="115">
        <f>'LOE Breakdown by Year'!H182</f>
        <v>0</v>
      </c>
      <c r="Q376" s="44">
        <f t="shared" si="287"/>
        <v>24</v>
      </c>
      <c r="R376" s="44">
        <f t="shared" si="294"/>
        <v>0</v>
      </c>
      <c r="S376" s="115">
        <f>'LOE Breakdown by Year'!H228</f>
        <v>0</v>
      </c>
      <c r="T376" s="44">
        <f t="shared" si="288"/>
        <v>24</v>
      </c>
      <c r="U376" s="44">
        <f t="shared" si="295"/>
        <v>0</v>
      </c>
      <c r="V376" s="115">
        <f>'LOE Breakdown by Year'!H274</f>
        <v>0</v>
      </c>
      <c r="W376" s="44">
        <f t="shared" si="289"/>
        <v>18</v>
      </c>
      <c r="X376" s="44">
        <f t="shared" si="296"/>
        <v>0</v>
      </c>
      <c r="Y376" s="44">
        <f t="shared" si="297"/>
        <v>0</v>
      </c>
      <c r="Z376" s="44">
        <v>0</v>
      </c>
      <c r="AA376" s="44">
        <f t="shared" si="298"/>
        <v>0</v>
      </c>
    </row>
    <row r="377" spans="1:28">
      <c r="A377" s="607"/>
      <c r="B377" s="607"/>
      <c r="C377" s="607"/>
      <c r="D377" s="41" t="s">
        <v>294</v>
      </c>
      <c r="E377" s="127"/>
      <c r="F377" s="46"/>
      <c r="G377" s="47"/>
      <c r="H377" s="47"/>
      <c r="I377" s="48">
        <f>SUM(I343:I376)</f>
        <v>16450</v>
      </c>
      <c r="J377" s="127"/>
      <c r="K377" s="48"/>
      <c r="L377" s="48">
        <f>SUM(L343:L376)</f>
        <v>34545</v>
      </c>
      <c r="M377" s="127"/>
      <c r="N377" s="48"/>
      <c r="O377" s="48">
        <f>SUM(O343:O376)</f>
        <v>36272.25</v>
      </c>
      <c r="P377" s="127"/>
      <c r="Q377" s="48"/>
      <c r="R377" s="48">
        <f>SUM(R343:R376)</f>
        <v>38085.862499999996</v>
      </c>
      <c r="S377" s="127"/>
      <c r="T377" s="48"/>
      <c r="U377" s="48">
        <f>SUM(U343:U376)</f>
        <v>39990.155624999999</v>
      </c>
      <c r="V377" s="127"/>
      <c r="W377" s="48"/>
      <c r="X377" s="48">
        <f>SUM(X343:X376)</f>
        <v>15868.434093750002</v>
      </c>
      <c r="Y377" s="48">
        <f>SUM(Y343:Y376)</f>
        <v>181211.70221875003</v>
      </c>
      <c r="Z377" s="48">
        <f>SUM(Z343:Z376)</f>
        <v>0</v>
      </c>
      <c r="AA377" s="48">
        <f>SUM(AA343:AA376)</f>
        <v>181211.70221875003</v>
      </c>
    </row>
    <row r="378" spans="1:28">
      <c r="A378" s="608"/>
      <c r="B378" s="608"/>
      <c r="C378" s="608"/>
      <c r="D378" s="100"/>
      <c r="E378" s="128"/>
      <c r="F378" s="81"/>
      <c r="G378" s="63"/>
      <c r="H378" s="63"/>
      <c r="I378" s="63"/>
      <c r="J378" s="128"/>
      <c r="K378" s="63"/>
      <c r="L378" s="63"/>
      <c r="M378" s="128"/>
      <c r="N378" s="63"/>
      <c r="O378" s="63"/>
      <c r="P378" s="128"/>
      <c r="Q378" s="63"/>
      <c r="R378" s="63"/>
      <c r="S378" s="128"/>
      <c r="T378" s="63"/>
      <c r="U378" s="63"/>
      <c r="V378" s="128"/>
      <c r="W378" s="63"/>
      <c r="X378" s="63"/>
      <c r="Y378" s="63"/>
      <c r="Z378" s="63"/>
      <c r="AA378" s="63"/>
    </row>
    <row r="379" spans="1:28">
      <c r="A379" s="607"/>
      <c r="B379" s="607"/>
      <c r="C379" s="607"/>
      <c r="D379" s="41" t="s">
        <v>295</v>
      </c>
      <c r="E379" s="127"/>
      <c r="F379" s="46"/>
      <c r="G379" s="47"/>
      <c r="H379" s="47"/>
      <c r="I379" s="48"/>
      <c r="J379" s="127"/>
      <c r="K379" s="48"/>
      <c r="L379" s="48"/>
      <c r="M379" s="127"/>
      <c r="N379" s="48"/>
      <c r="O379" s="48"/>
      <c r="P379" s="127"/>
      <c r="Q379" s="48"/>
      <c r="R379" s="48"/>
      <c r="S379" s="127"/>
      <c r="T379" s="48"/>
      <c r="U379" s="48"/>
      <c r="V379" s="127"/>
      <c r="W379" s="48"/>
      <c r="X379" s="48"/>
      <c r="Y379" s="48"/>
      <c r="Z379" s="48"/>
      <c r="AA379" s="48"/>
    </row>
    <row r="380" spans="1:28">
      <c r="A380" s="591" t="s">
        <v>867</v>
      </c>
      <c r="B380" s="591" t="s">
        <v>791</v>
      </c>
      <c r="C380" s="591" t="s">
        <v>747</v>
      </c>
      <c r="D380" s="8" t="str">
        <f>D56</f>
        <v>Fringe Benefits CCN - Honduras</v>
      </c>
      <c r="E380" s="116"/>
      <c r="F380" s="82" t="str">
        <f>F56</f>
        <v>%</v>
      </c>
      <c r="G380" s="44">
        <f>G56</f>
        <v>0</v>
      </c>
      <c r="H380" s="60">
        <f>H56</f>
        <v>0.48259999999999997</v>
      </c>
      <c r="I380" s="44">
        <f>(SUM(I343:I376))*$H$380</f>
        <v>7938.7699999999995</v>
      </c>
      <c r="J380" s="116"/>
      <c r="K380" s="44">
        <f>K56</f>
        <v>0</v>
      </c>
      <c r="L380" s="44">
        <f>(SUM(L343:L376))*$H$380</f>
        <v>16671.416999999998</v>
      </c>
      <c r="M380" s="116"/>
      <c r="N380" s="44">
        <f>N56</f>
        <v>0</v>
      </c>
      <c r="O380" s="44">
        <f>(SUM(O343:O376))*$H$380</f>
        <v>17504.987849999998</v>
      </c>
      <c r="P380" s="116"/>
      <c r="Q380" s="44">
        <f>Q56</f>
        <v>0</v>
      </c>
      <c r="R380" s="44">
        <f>(SUM(R343:R376))*$H$380</f>
        <v>18380.237242499996</v>
      </c>
      <c r="S380" s="116"/>
      <c r="T380" s="44">
        <f>T56</f>
        <v>0</v>
      </c>
      <c r="U380" s="44">
        <f>(SUM(U343:U376))*$H$380</f>
        <v>19299.249104625</v>
      </c>
      <c r="V380" s="116"/>
      <c r="W380" s="44">
        <f>W56</f>
        <v>0</v>
      </c>
      <c r="X380" s="44">
        <f>(SUM(X343:X376))*$H$380</f>
        <v>7658.1062936437502</v>
      </c>
      <c r="Y380" s="44">
        <f t="shared" ref="Y380" si="300">SUM(R380,O380,L380,I380,U380,X380)</f>
        <v>87452.767490768747</v>
      </c>
      <c r="Z380" s="63">
        <v>0</v>
      </c>
      <c r="AA380" s="44">
        <f>SUM(Y380:Z380)</f>
        <v>87452.767490768747</v>
      </c>
    </row>
    <row r="381" spans="1:28">
      <c r="A381" s="607"/>
      <c r="B381" s="607"/>
      <c r="C381" s="607"/>
      <c r="D381" s="41" t="s">
        <v>296</v>
      </c>
      <c r="E381" s="127"/>
      <c r="F381" s="46"/>
      <c r="G381" s="47"/>
      <c r="H381" s="47"/>
      <c r="I381" s="48">
        <f>SUM(I380:I380)</f>
        <v>7938.7699999999995</v>
      </c>
      <c r="J381" s="127"/>
      <c r="K381" s="48"/>
      <c r="L381" s="48">
        <f>SUM(L380:L380)</f>
        <v>16671.416999999998</v>
      </c>
      <c r="M381" s="127"/>
      <c r="N381" s="48"/>
      <c r="O381" s="48">
        <f>SUM(O380:O380)</f>
        <v>17504.987849999998</v>
      </c>
      <c r="P381" s="127"/>
      <c r="Q381" s="48"/>
      <c r="R381" s="48">
        <f>SUM(R380:R380)</f>
        <v>18380.237242499996</v>
      </c>
      <c r="S381" s="127"/>
      <c r="T381" s="48"/>
      <c r="U381" s="48">
        <f>SUM(U380:U380)</f>
        <v>19299.249104625</v>
      </c>
      <c r="V381" s="127"/>
      <c r="W381" s="48"/>
      <c r="X381" s="48">
        <f>SUM(X380:X380)</f>
        <v>7658.1062936437502</v>
      </c>
      <c r="Y381" s="48">
        <f>SUM(Y380:Y380)</f>
        <v>87452.767490768747</v>
      </c>
      <c r="Z381" s="48">
        <f>SUM(Z380:Z380)</f>
        <v>0</v>
      </c>
      <c r="AA381" s="48">
        <f>SUM(AA380:AA380)</f>
        <v>87452.767490768747</v>
      </c>
    </row>
    <row r="382" spans="1:28">
      <c r="A382" s="608"/>
      <c r="B382" s="608"/>
      <c r="C382" s="608"/>
      <c r="D382" s="100"/>
      <c r="E382" s="128"/>
      <c r="F382" s="81"/>
      <c r="G382" s="63"/>
      <c r="H382" s="63"/>
      <c r="I382" s="63"/>
      <c r="J382" s="128"/>
      <c r="K382" s="63"/>
      <c r="L382" s="63"/>
      <c r="M382" s="128"/>
      <c r="N382" s="63"/>
      <c r="O382" s="63"/>
      <c r="P382" s="128"/>
      <c r="Q382" s="63"/>
      <c r="R382" s="63"/>
      <c r="S382" s="128"/>
      <c r="T382" s="63"/>
      <c r="U382" s="63"/>
      <c r="V382" s="128"/>
      <c r="W382" s="63"/>
      <c r="X382" s="63"/>
      <c r="Y382" s="63"/>
      <c r="Z382" s="63"/>
      <c r="AA382" s="63"/>
    </row>
    <row r="383" spans="1:28">
      <c r="A383" s="607"/>
      <c r="B383" s="607"/>
      <c r="C383" s="607"/>
      <c r="D383" s="41" t="s">
        <v>297</v>
      </c>
      <c r="E383" s="127"/>
      <c r="F383" s="46"/>
      <c r="G383" s="47"/>
      <c r="H383" s="47"/>
      <c r="I383" s="47"/>
      <c r="J383" s="127"/>
      <c r="K383" s="47"/>
      <c r="L383" s="47"/>
      <c r="M383" s="127"/>
      <c r="N383" s="47"/>
      <c r="O383" s="47"/>
      <c r="P383" s="127"/>
      <c r="Q383" s="47"/>
      <c r="R383" s="47"/>
      <c r="S383" s="127"/>
      <c r="T383" s="47"/>
      <c r="U383" s="47"/>
      <c r="V383" s="127"/>
      <c r="W383" s="47"/>
      <c r="X383" s="47"/>
      <c r="Y383" s="47"/>
      <c r="Z383" s="47"/>
      <c r="AA383" s="47"/>
    </row>
    <row r="384" spans="1:28">
      <c r="A384" s="591" t="s">
        <v>1292</v>
      </c>
      <c r="B384" s="591" t="s">
        <v>1293</v>
      </c>
      <c r="C384" s="591" t="s">
        <v>747</v>
      </c>
      <c r="D384" s="8" t="s">
        <v>298</v>
      </c>
      <c r="E384" s="120"/>
      <c r="F384" s="49" t="s">
        <v>100</v>
      </c>
      <c r="G384" s="44">
        <v>0</v>
      </c>
      <c r="H384" s="44">
        <v>4000</v>
      </c>
      <c r="I384" s="44">
        <f>G384*H384</f>
        <v>0</v>
      </c>
      <c r="J384" s="120"/>
      <c r="K384" s="44">
        <v>1</v>
      </c>
      <c r="L384" s="44">
        <f>K384*H384</f>
        <v>4000</v>
      </c>
      <c r="M384" s="120"/>
      <c r="N384" s="44">
        <v>0</v>
      </c>
      <c r="O384" s="44">
        <f>N384*H384</f>
        <v>0</v>
      </c>
      <c r="P384" s="120"/>
      <c r="Q384" s="44">
        <v>0</v>
      </c>
      <c r="R384" s="44">
        <f>Q384*H384</f>
        <v>0</v>
      </c>
      <c r="S384" s="120"/>
      <c r="T384" s="44">
        <v>0</v>
      </c>
      <c r="U384" s="44">
        <f>T384*H384</f>
        <v>0</v>
      </c>
      <c r="V384" s="120"/>
      <c r="W384" s="44">
        <v>0</v>
      </c>
      <c r="X384" s="44">
        <f>W384*H384</f>
        <v>0</v>
      </c>
      <c r="Y384" s="44">
        <f>SUM(R384,O384,L384,I384,U384,X384)</f>
        <v>4000</v>
      </c>
      <c r="Z384" s="44">
        <v>0</v>
      </c>
      <c r="AA384" s="44">
        <f>Y384+Z384</f>
        <v>4000</v>
      </c>
      <c r="AB384" s="222"/>
    </row>
    <row r="385" spans="1:28">
      <c r="A385" s="591" t="s">
        <v>1294</v>
      </c>
      <c r="B385" s="591" t="s">
        <v>802</v>
      </c>
      <c r="C385" s="591" t="s">
        <v>747</v>
      </c>
      <c r="D385" s="8" t="s">
        <v>299</v>
      </c>
      <c r="E385" s="120"/>
      <c r="F385" s="49" t="s">
        <v>166</v>
      </c>
      <c r="G385" s="44">
        <v>0</v>
      </c>
      <c r="H385" s="44">
        <f>500*16</f>
        <v>8000</v>
      </c>
      <c r="I385" s="44">
        <f>G385*H385</f>
        <v>0</v>
      </c>
      <c r="J385" s="120"/>
      <c r="K385" s="44">
        <v>1</v>
      </c>
      <c r="L385" s="44">
        <f>K385*H385</f>
        <v>8000</v>
      </c>
      <c r="M385" s="120"/>
      <c r="N385" s="44">
        <v>1</v>
      </c>
      <c r="O385" s="44">
        <f>N385*H385</f>
        <v>8000</v>
      </c>
      <c r="P385" s="120"/>
      <c r="Q385" s="44">
        <v>1</v>
      </c>
      <c r="R385" s="44">
        <f>Q385*H385</f>
        <v>8000</v>
      </c>
      <c r="S385" s="120"/>
      <c r="T385" s="44">
        <v>1</v>
      </c>
      <c r="U385" s="44">
        <f>T385*H385</f>
        <v>8000</v>
      </c>
      <c r="V385" s="120"/>
      <c r="W385" s="44">
        <v>1</v>
      </c>
      <c r="X385" s="44">
        <f>W385*H385</f>
        <v>8000</v>
      </c>
      <c r="Y385" s="44">
        <f>SUM(R385,O385,L385,I385,U385,X385)</f>
        <v>40000</v>
      </c>
      <c r="Z385" s="44">
        <v>0</v>
      </c>
      <c r="AA385" s="44">
        <f>Y385+Z385</f>
        <v>40000</v>
      </c>
    </row>
    <row r="386" spans="1:28">
      <c r="A386" s="607"/>
      <c r="B386" s="607"/>
      <c r="C386" s="607"/>
      <c r="D386" s="41" t="s">
        <v>300</v>
      </c>
      <c r="E386" s="127"/>
      <c r="F386" s="46"/>
      <c r="G386" s="47"/>
      <c r="H386" s="47"/>
      <c r="I386" s="48">
        <f>SUM(I384:I385)</f>
        <v>0</v>
      </c>
      <c r="J386" s="127"/>
      <c r="K386" s="48"/>
      <c r="L386" s="48">
        <f>SUM(L384:L385)</f>
        <v>12000</v>
      </c>
      <c r="M386" s="127"/>
      <c r="N386" s="48"/>
      <c r="O386" s="48">
        <f>SUM(O384:O385)</f>
        <v>8000</v>
      </c>
      <c r="P386" s="127"/>
      <c r="Q386" s="48"/>
      <c r="R386" s="48">
        <f>SUM(R384:R385)</f>
        <v>8000</v>
      </c>
      <c r="S386" s="127"/>
      <c r="T386" s="48"/>
      <c r="U386" s="48">
        <f>SUM(U384:U385)</f>
        <v>8000</v>
      </c>
      <c r="V386" s="127"/>
      <c r="W386" s="48"/>
      <c r="X386" s="48">
        <f>SUM(X384:X385)</f>
        <v>8000</v>
      </c>
      <c r="Y386" s="101">
        <f>SUM(Y384:Y385)</f>
        <v>44000</v>
      </c>
      <c r="Z386" s="48">
        <f>SUM(Z384:Z385)</f>
        <v>0</v>
      </c>
      <c r="AA386" s="48">
        <f>SUM(AA384:AA385)</f>
        <v>44000</v>
      </c>
    </row>
    <row r="387" spans="1:28">
      <c r="A387" s="608"/>
      <c r="B387" s="608"/>
      <c r="C387" s="608"/>
      <c r="D387" s="100"/>
      <c r="E387" s="154"/>
      <c r="F387" s="81"/>
      <c r="G387" s="63"/>
      <c r="H387" s="63"/>
      <c r="I387" s="63"/>
      <c r="J387" s="154"/>
      <c r="K387" s="63"/>
      <c r="L387" s="63"/>
      <c r="M387" s="154"/>
      <c r="N387" s="63"/>
      <c r="O387" s="63"/>
      <c r="P387" s="154"/>
      <c r="Q387" s="63"/>
      <c r="R387" s="63"/>
      <c r="S387" s="154"/>
      <c r="T387" s="63"/>
      <c r="U387" s="63"/>
      <c r="V387" s="154"/>
      <c r="W387" s="63"/>
      <c r="X387" s="63"/>
      <c r="Y387" s="63"/>
      <c r="Z387" s="63"/>
      <c r="AA387" s="63"/>
    </row>
    <row r="388" spans="1:28">
      <c r="A388" s="607"/>
      <c r="B388" s="607"/>
      <c r="C388" s="607"/>
      <c r="D388" s="41" t="s">
        <v>301</v>
      </c>
      <c r="E388" s="127"/>
      <c r="F388" s="46"/>
      <c r="G388" s="47"/>
      <c r="H388" s="47"/>
      <c r="I388" s="47"/>
      <c r="J388" s="127"/>
      <c r="K388" s="47"/>
      <c r="L388" s="47"/>
      <c r="M388" s="127"/>
      <c r="N388" s="47"/>
      <c r="O388" s="47"/>
      <c r="P388" s="127"/>
      <c r="Q388" s="47"/>
      <c r="R388" s="47"/>
      <c r="S388" s="127"/>
      <c r="T388" s="47"/>
      <c r="U388" s="47"/>
      <c r="V388" s="127"/>
      <c r="W388" s="47"/>
      <c r="X388" s="47"/>
      <c r="Y388" s="47"/>
      <c r="Z388" s="47"/>
      <c r="AA388" s="47"/>
    </row>
    <row r="389" spans="1:28" ht="25.2">
      <c r="A389" s="591" t="s">
        <v>1296</v>
      </c>
      <c r="B389" s="591" t="s">
        <v>1297</v>
      </c>
      <c r="C389" s="591" t="s">
        <v>747</v>
      </c>
      <c r="D389" s="8" t="s">
        <v>302</v>
      </c>
      <c r="E389" s="120"/>
      <c r="F389" s="50" t="s">
        <v>166</v>
      </c>
      <c r="G389" s="44">
        <v>0</v>
      </c>
      <c r="H389" s="44">
        <v>2500</v>
      </c>
      <c r="I389" s="44">
        <f>G389*H389</f>
        <v>0</v>
      </c>
      <c r="J389" s="120"/>
      <c r="K389" s="44">
        <v>1</v>
      </c>
      <c r="L389" s="44">
        <f>K389*H389</f>
        <v>2500</v>
      </c>
      <c r="M389" s="120"/>
      <c r="N389" s="44">
        <v>1</v>
      </c>
      <c r="O389" s="44">
        <f>N389*H389</f>
        <v>2500</v>
      </c>
      <c r="P389" s="120"/>
      <c r="Q389" s="44">
        <v>0</v>
      </c>
      <c r="R389" s="44">
        <f>Q389*H389</f>
        <v>0</v>
      </c>
      <c r="S389" s="120"/>
      <c r="T389" s="44">
        <v>0</v>
      </c>
      <c r="U389" s="44">
        <f>T389*H389</f>
        <v>0</v>
      </c>
      <c r="V389" s="120"/>
      <c r="W389" s="44">
        <v>0</v>
      </c>
      <c r="X389" s="44">
        <f>W389*H389</f>
        <v>0</v>
      </c>
      <c r="Y389" s="44">
        <f>SUM(R389,O389,L389,I389,U389,X389)</f>
        <v>5000</v>
      </c>
      <c r="Z389" s="44">
        <v>0</v>
      </c>
      <c r="AA389" s="44">
        <f>Y389+Z389</f>
        <v>5000</v>
      </c>
    </row>
    <row r="390" spans="1:28">
      <c r="A390" s="591" t="s">
        <v>1295</v>
      </c>
      <c r="B390" s="591">
        <v>82420</v>
      </c>
      <c r="C390" s="591" t="s">
        <v>747</v>
      </c>
      <c r="D390" s="8" t="s">
        <v>303</v>
      </c>
      <c r="E390" s="120"/>
      <c r="F390" s="50" t="s">
        <v>304</v>
      </c>
      <c r="G390" s="44">
        <v>0</v>
      </c>
      <c r="H390" s="44">
        <v>6</v>
      </c>
      <c r="I390" s="44">
        <f>G390*H390</f>
        <v>0</v>
      </c>
      <c r="J390" s="120"/>
      <c r="K390" s="44">
        <v>600</v>
      </c>
      <c r="L390" s="44">
        <f>K390*H390</f>
        <v>3600</v>
      </c>
      <c r="M390" s="120"/>
      <c r="N390" s="44">
        <v>600</v>
      </c>
      <c r="O390" s="44">
        <f>N390*H390</f>
        <v>3600</v>
      </c>
      <c r="P390" s="120"/>
      <c r="Q390" s="44">
        <v>600</v>
      </c>
      <c r="R390" s="44">
        <f>Q390*H390</f>
        <v>3600</v>
      </c>
      <c r="S390" s="120"/>
      <c r="T390" s="44">
        <v>600</v>
      </c>
      <c r="U390" s="44">
        <f>T390*H390</f>
        <v>3600</v>
      </c>
      <c r="V390" s="120"/>
      <c r="W390" s="44">
        <v>600</v>
      </c>
      <c r="X390" s="44">
        <f>W390*H390</f>
        <v>3600</v>
      </c>
      <c r="Y390" s="44">
        <f>SUM(R390,O390,L390,I390,U390,X390)</f>
        <v>18000</v>
      </c>
      <c r="Z390" s="44">
        <v>0</v>
      </c>
      <c r="AA390" s="44">
        <f>Y390+Z390</f>
        <v>18000</v>
      </c>
    </row>
    <row r="391" spans="1:28">
      <c r="A391" s="607"/>
      <c r="B391" s="607"/>
      <c r="C391" s="607"/>
      <c r="D391" s="41" t="s">
        <v>305</v>
      </c>
      <c r="E391" s="127"/>
      <c r="F391" s="46"/>
      <c r="G391" s="47"/>
      <c r="H391" s="48"/>
      <c r="I391" s="48">
        <f>SUM(I389:I390)</f>
        <v>0</v>
      </c>
      <c r="J391" s="130"/>
      <c r="K391" s="48"/>
      <c r="L391" s="48">
        <f>SUM(L389:L390)</f>
        <v>6100</v>
      </c>
      <c r="M391" s="130"/>
      <c r="N391" s="48"/>
      <c r="O391" s="48">
        <f>SUM(O389:O390)</f>
        <v>6100</v>
      </c>
      <c r="P391" s="130"/>
      <c r="Q391" s="48"/>
      <c r="R391" s="48">
        <f>SUM(R389:R390)</f>
        <v>3600</v>
      </c>
      <c r="S391" s="130"/>
      <c r="T391" s="48"/>
      <c r="U391" s="48">
        <f>SUM(U389:U390)</f>
        <v>3600</v>
      </c>
      <c r="V391" s="130"/>
      <c r="W391" s="48"/>
      <c r="X391" s="48">
        <f>SUM(X389:X390)</f>
        <v>3600</v>
      </c>
      <c r="Y391" s="101">
        <f>SUM(Y389:Y390)</f>
        <v>23000</v>
      </c>
      <c r="Z391" s="48">
        <f>SUM(Z389:Z390)</f>
        <v>0</v>
      </c>
      <c r="AA391" s="48">
        <f>SUM(AA389:AA390)</f>
        <v>23000</v>
      </c>
    </row>
    <row r="392" spans="1:28">
      <c r="A392" s="608"/>
      <c r="B392" s="608"/>
      <c r="C392" s="608"/>
      <c r="D392" s="100"/>
      <c r="E392" s="128"/>
      <c r="F392" s="81"/>
      <c r="G392" s="63"/>
      <c r="H392" s="63"/>
      <c r="I392" s="63"/>
      <c r="J392" s="128"/>
      <c r="K392" s="63"/>
      <c r="L392" s="63"/>
      <c r="M392" s="128"/>
      <c r="N392" s="63"/>
      <c r="O392" s="63"/>
      <c r="P392" s="128"/>
      <c r="Q392" s="63"/>
      <c r="R392" s="63"/>
      <c r="S392" s="128"/>
      <c r="T392" s="63"/>
      <c r="U392" s="63"/>
      <c r="V392" s="128"/>
      <c r="W392" s="63"/>
      <c r="X392" s="63"/>
      <c r="Y392" s="63"/>
      <c r="Z392" s="63"/>
      <c r="AA392" s="63"/>
    </row>
    <row r="393" spans="1:28">
      <c r="A393" s="607"/>
      <c r="B393" s="607"/>
      <c r="C393" s="607"/>
      <c r="D393" s="41" t="s">
        <v>306</v>
      </c>
      <c r="E393" s="127"/>
      <c r="F393" s="46"/>
      <c r="G393" s="47"/>
      <c r="H393" s="47"/>
      <c r="I393" s="47"/>
      <c r="J393" s="127"/>
      <c r="K393" s="47"/>
      <c r="L393" s="47"/>
      <c r="M393" s="127"/>
      <c r="N393" s="47"/>
      <c r="O393" s="47"/>
      <c r="P393" s="127"/>
      <c r="Q393" s="47"/>
      <c r="R393" s="47"/>
      <c r="S393" s="127"/>
      <c r="T393" s="47"/>
      <c r="U393" s="47"/>
      <c r="V393" s="127"/>
      <c r="W393" s="47"/>
      <c r="X393" s="47"/>
      <c r="Y393" s="47"/>
      <c r="Z393" s="47"/>
      <c r="AA393" s="47"/>
    </row>
    <row r="394" spans="1:28">
      <c r="A394" s="591" t="s">
        <v>1287</v>
      </c>
      <c r="B394" s="591" t="s">
        <v>1265</v>
      </c>
      <c r="C394" s="591" t="s">
        <v>747</v>
      </c>
      <c r="D394" s="8" t="s">
        <v>160</v>
      </c>
      <c r="F394" s="8" t="s">
        <v>100</v>
      </c>
      <c r="G394" s="44">
        <v>3</v>
      </c>
      <c r="H394" s="44">
        <v>140</v>
      </c>
      <c r="I394" s="44">
        <f>G394*H394</f>
        <v>420</v>
      </c>
      <c r="J394" s="44"/>
      <c r="K394" s="44">
        <v>12</v>
      </c>
      <c r="L394" s="44">
        <f>H394*K394*$E$6</f>
        <v>1764</v>
      </c>
      <c r="M394" s="123"/>
      <c r="N394" s="44">
        <v>12</v>
      </c>
      <c r="O394" s="44">
        <f>H394*N394*$E$6*$E$6</f>
        <v>1852.2</v>
      </c>
      <c r="P394" s="123"/>
      <c r="Q394" s="44">
        <v>12</v>
      </c>
      <c r="R394" s="44">
        <f>H394*Q394*$E$6*$E$6*$E$6</f>
        <v>1944.8100000000002</v>
      </c>
      <c r="S394" s="123"/>
      <c r="T394" s="44">
        <v>12</v>
      </c>
      <c r="U394" s="44">
        <f>H394*T394*$E$6*$E$6*$E$6*$E$6</f>
        <v>2042.0505000000003</v>
      </c>
      <c r="V394" s="123"/>
      <c r="W394" s="44">
        <v>9</v>
      </c>
      <c r="X394" s="44">
        <f>W394*H394*$E$6*$E$6*$E$6*$E$6*$E$6</f>
        <v>1608.1147687500004</v>
      </c>
      <c r="Y394" s="44">
        <f>SUM(R394,O394,L394,I394,U394,X394)</f>
        <v>9631.1752687500011</v>
      </c>
      <c r="Z394" s="44" t="s">
        <v>149</v>
      </c>
      <c r="AA394" s="44">
        <f>SUM(Y394:Z394)</f>
        <v>9631.1752687500011</v>
      </c>
    </row>
    <row r="395" spans="1:28">
      <c r="A395" s="591" t="s">
        <v>1288</v>
      </c>
      <c r="B395" s="591" t="s">
        <v>1265</v>
      </c>
      <c r="C395" s="591" t="s">
        <v>747</v>
      </c>
      <c r="D395" s="8" t="s">
        <v>307</v>
      </c>
      <c r="F395" s="8" t="s">
        <v>148</v>
      </c>
      <c r="G395" s="44">
        <f>2*12</f>
        <v>24</v>
      </c>
      <c r="H395" s="44">
        <v>35</v>
      </c>
      <c r="I395" s="44">
        <f>G395*H395</f>
        <v>840</v>
      </c>
      <c r="J395" s="44"/>
      <c r="K395" s="44">
        <f>2*12</f>
        <v>24</v>
      </c>
      <c r="L395" s="44">
        <f>H395*K395*$E$6</f>
        <v>882</v>
      </c>
      <c r="M395" s="123"/>
      <c r="N395" s="44">
        <f>2*12</f>
        <v>24</v>
      </c>
      <c r="O395" s="44">
        <f>H395*N395*$E$6*$E$6</f>
        <v>926.1</v>
      </c>
      <c r="P395" s="123"/>
      <c r="Q395" s="44">
        <f>2*12</f>
        <v>24</v>
      </c>
      <c r="R395" s="44">
        <f>H395*Q395*$E$6*$E$6*$E$6</f>
        <v>972.40500000000009</v>
      </c>
      <c r="S395" s="123"/>
      <c r="T395" s="44">
        <f>2*12</f>
        <v>24</v>
      </c>
      <c r="U395" s="44">
        <f>H395*T395*$E$6*$E$6*$E$6*$E$6</f>
        <v>1021.0252500000001</v>
      </c>
      <c r="V395" s="123"/>
      <c r="W395" s="44">
        <f>2*12</f>
        <v>24</v>
      </c>
      <c r="X395" s="44">
        <f t="shared" ref="X395:X396" si="301">W395*H395*$E$6*$E$6*$E$6*$E$6*$E$6</f>
        <v>1072.0765125000003</v>
      </c>
      <c r="Y395" s="44">
        <f t="shared" ref="Y395:Y396" si="302">SUM(R395,O395,L395,I395,U395,X395)</f>
        <v>5713.6067624999996</v>
      </c>
      <c r="Z395" s="44" t="s">
        <v>149</v>
      </c>
      <c r="AA395" s="44">
        <f>SUM(Y395:Z395)</f>
        <v>5713.6067624999996</v>
      </c>
    </row>
    <row r="396" spans="1:28" ht="25.2">
      <c r="A396" s="591" t="s">
        <v>1288</v>
      </c>
      <c r="B396" s="45" t="s">
        <v>794</v>
      </c>
      <c r="C396" s="591" t="s">
        <v>747</v>
      </c>
      <c r="D396" s="8" t="s">
        <v>308</v>
      </c>
      <c r="F396" s="8" t="s">
        <v>151</v>
      </c>
      <c r="G396" s="44">
        <f>G395*3</f>
        <v>72</v>
      </c>
      <c r="H396" s="44">
        <f xml:space="preserve"> 75 +  + (0.5*80)</f>
        <v>115</v>
      </c>
      <c r="I396" s="44">
        <f>G396*H396</f>
        <v>8280</v>
      </c>
      <c r="J396" s="44"/>
      <c r="K396" s="44">
        <f>K395*3</f>
        <v>72</v>
      </c>
      <c r="L396" s="44">
        <f>H396*K396*$E$6</f>
        <v>8694</v>
      </c>
      <c r="M396" s="123"/>
      <c r="N396" s="44">
        <f>N395*3</f>
        <v>72</v>
      </c>
      <c r="O396" s="44">
        <f>H396*N396*$E$6*$E$6</f>
        <v>9128.7000000000007</v>
      </c>
      <c r="P396" s="123"/>
      <c r="Q396" s="44">
        <f>Q395*3</f>
        <v>72</v>
      </c>
      <c r="R396" s="44">
        <f>H396*Q396*$E$6*$E$6*$E$6</f>
        <v>9585.135000000002</v>
      </c>
      <c r="S396" s="123"/>
      <c r="T396" s="44">
        <f>T395*3</f>
        <v>72</v>
      </c>
      <c r="U396" s="44">
        <f>H396*T396*$E$6*$E$6*$E$6*$E$6</f>
        <v>10064.391750000003</v>
      </c>
      <c r="V396" s="123"/>
      <c r="W396" s="44">
        <f>W395*3</f>
        <v>72</v>
      </c>
      <c r="X396" s="44">
        <f t="shared" si="301"/>
        <v>10567.611337500002</v>
      </c>
      <c r="Y396" s="44">
        <f t="shared" si="302"/>
        <v>56319.838087500015</v>
      </c>
      <c r="Z396" s="44" t="s">
        <v>149</v>
      </c>
      <c r="AA396" s="44">
        <f>SUM(Y396:Z396)</f>
        <v>56319.838087500015</v>
      </c>
    </row>
    <row r="397" spans="1:28">
      <c r="A397" s="607"/>
      <c r="B397" s="607"/>
      <c r="C397" s="607"/>
      <c r="D397" s="41" t="s">
        <v>309</v>
      </c>
      <c r="E397" s="127"/>
      <c r="F397" s="46"/>
      <c r="G397" s="47"/>
      <c r="H397" s="47"/>
      <c r="I397" s="48">
        <f>SUM(I394:I396)</f>
        <v>9540</v>
      </c>
      <c r="J397" s="127"/>
      <c r="K397" s="47"/>
      <c r="L397" s="48">
        <f>SUM(L394:L396)</f>
        <v>11340</v>
      </c>
      <c r="M397" s="127"/>
      <c r="N397" s="47"/>
      <c r="O397" s="48">
        <f>SUM(O394:O396)</f>
        <v>11907</v>
      </c>
      <c r="P397" s="127"/>
      <c r="Q397" s="47"/>
      <c r="R397" s="48">
        <f>SUM(R394:R396)</f>
        <v>12502.350000000002</v>
      </c>
      <c r="S397" s="127"/>
      <c r="T397" s="47"/>
      <c r="U397" s="48">
        <f>SUM(U394:U396)</f>
        <v>13127.467500000002</v>
      </c>
      <c r="V397" s="127"/>
      <c r="W397" s="47"/>
      <c r="X397" s="48">
        <f>SUM(X394:X396)</f>
        <v>13247.802618750004</v>
      </c>
      <c r="Y397" s="576">
        <f>SUM(Y394:Y396)</f>
        <v>71664.620118750012</v>
      </c>
      <c r="Z397" s="48">
        <f>SUM(Z394:Z396)</f>
        <v>0</v>
      </c>
      <c r="AA397" s="48">
        <f>SUM(AA394:AA396)</f>
        <v>71664.620118750012</v>
      </c>
    </row>
    <row r="398" spans="1:28">
      <c r="A398" s="608"/>
      <c r="B398" s="608"/>
      <c r="C398" s="608"/>
      <c r="D398" s="100"/>
      <c r="E398" s="128"/>
      <c r="F398" s="81"/>
      <c r="G398" s="63"/>
      <c r="H398" s="63"/>
      <c r="I398" s="63"/>
      <c r="J398" s="128"/>
      <c r="K398" s="63"/>
      <c r="L398" s="63"/>
      <c r="M398" s="128"/>
      <c r="N398" s="63"/>
      <c r="O398" s="63"/>
      <c r="P398" s="128"/>
      <c r="Q398" s="63"/>
      <c r="R398" s="63"/>
      <c r="S398" s="128"/>
      <c r="T398" s="63"/>
      <c r="U398" s="63"/>
      <c r="V398" s="128"/>
      <c r="W398" s="63"/>
      <c r="X398" s="63"/>
      <c r="Y398" s="63"/>
      <c r="Z398" s="63"/>
      <c r="AA398" s="63"/>
    </row>
    <row r="399" spans="1:28">
      <c r="A399" s="607"/>
      <c r="B399" s="607"/>
      <c r="C399" s="607"/>
      <c r="D399" s="41" t="s">
        <v>310</v>
      </c>
      <c r="E399" s="127"/>
      <c r="F399" s="46"/>
      <c r="G399" s="47"/>
      <c r="H399" s="47"/>
      <c r="I399" s="47"/>
      <c r="J399" s="127"/>
      <c r="K399" s="47"/>
      <c r="L399" s="47"/>
      <c r="M399" s="127"/>
      <c r="N399" s="47"/>
      <c r="O399" s="47"/>
      <c r="P399" s="127"/>
      <c r="Q399" s="47"/>
      <c r="R399" s="47"/>
      <c r="S399" s="127"/>
      <c r="T399" s="47"/>
      <c r="U399" s="47"/>
      <c r="V399" s="127"/>
      <c r="W399" s="47"/>
      <c r="X399" s="47"/>
      <c r="Y399" s="47"/>
      <c r="Z399" s="47"/>
      <c r="AA399" s="47"/>
    </row>
    <row r="400" spans="1:28">
      <c r="A400" s="591" t="s">
        <v>1290</v>
      </c>
      <c r="B400" s="591">
        <v>89050</v>
      </c>
      <c r="C400" s="591" t="s">
        <v>747</v>
      </c>
      <c r="D400" s="8" t="s">
        <v>290</v>
      </c>
      <c r="E400" s="120"/>
      <c r="F400" s="8" t="s">
        <v>234</v>
      </c>
      <c r="G400" s="44">
        <v>1</v>
      </c>
      <c r="H400" s="44">
        <v>0</v>
      </c>
      <c r="I400" s="44">
        <f>'FEREMA Sub Budget'!F121</f>
        <v>10522.659753802112</v>
      </c>
      <c r="J400" s="120"/>
      <c r="K400" s="44">
        <v>1</v>
      </c>
      <c r="L400" s="44">
        <f>'FEREMA Sub Budget'!J121</f>
        <v>60987.341390642956</v>
      </c>
      <c r="M400" s="120"/>
      <c r="N400" s="44">
        <v>1</v>
      </c>
      <c r="O400" s="44">
        <f>'FEREMA Sub Budget'!N121</f>
        <v>64036.708460175098</v>
      </c>
      <c r="P400" s="120"/>
      <c r="Q400" s="44">
        <v>1</v>
      </c>
      <c r="R400" s="44">
        <f>'FEREMA Sub Budget'!R121</f>
        <v>67238.543883183855</v>
      </c>
      <c r="S400" s="120"/>
      <c r="T400" s="44">
        <v>1</v>
      </c>
      <c r="U400" s="44">
        <f>'FEREMA Sub Budget'!V121</f>
        <v>5280.1426065290607</v>
      </c>
      <c r="V400" s="120"/>
      <c r="W400" s="44">
        <v>1</v>
      </c>
      <c r="X400" s="44">
        <v>0</v>
      </c>
      <c r="Y400" s="44">
        <f>SUM(R400,O400,L400,I400,U400,X400)</f>
        <v>208065.39609433306</v>
      </c>
      <c r="Z400" s="44" t="s">
        <v>149</v>
      </c>
      <c r="AA400" s="44">
        <f>SUM(Y400:Z400)</f>
        <v>208065.39609433306</v>
      </c>
      <c r="AB400" s="222"/>
    </row>
    <row r="401" spans="1:29">
      <c r="A401" s="603"/>
      <c r="B401" s="603"/>
      <c r="C401" s="603"/>
      <c r="D401" s="87" t="s">
        <v>284</v>
      </c>
      <c r="E401" s="129"/>
      <c r="F401" s="87"/>
      <c r="G401" s="87"/>
      <c r="H401" s="87"/>
      <c r="I401" s="87"/>
      <c r="J401" s="129"/>
      <c r="K401" s="87"/>
      <c r="L401" s="87"/>
      <c r="M401" s="129"/>
      <c r="N401" s="87"/>
      <c r="O401" s="87"/>
      <c r="P401" s="129"/>
      <c r="Q401" s="87"/>
      <c r="R401" s="87"/>
      <c r="S401" s="129"/>
      <c r="T401" s="87"/>
      <c r="U401" s="87"/>
      <c r="V401" s="129"/>
      <c r="W401" s="87"/>
      <c r="X401" s="87"/>
      <c r="Y401" s="87"/>
      <c r="Z401" s="87"/>
      <c r="AA401" s="572"/>
    </row>
    <row r="402" spans="1:29">
      <c r="A402" s="591" t="s">
        <v>1291</v>
      </c>
      <c r="B402" s="591" t="s">
        <v>819</v>
      </c>
      <c r="C402" s="591" t="s">
        <v>747</v>
      </c>
      <c r="D402" s="8" t="s">
        <v>311</v>
      </c>
      <c r="F402" s="8" t="s">
        <v>284</v>
      </c>
      <c r="G402" s="44">
        <v>0</v>
      </c>
      <c r="H402" s="44">
        <f>((75*5)+(75*8*1)+800)*2</f>
        <v>3550</v>
      </c>
      <c r="I402" s="44">
        <f>G402*H402</f>
        <v>0</v>
      </c>
      <c r="J402" s="123"/>
      <c r="K402" s="44">
        <v>2</v>
      </c>
      <c r="L402" s="44">
        <f>H402*K402</f>
        <v>7100</v>
      </c>
      <c r="M402" s="123"/>
      <c r="N402" s="44">
        <v>2</v>
      </c>
      <c r="O402" s="44">
        <f>H402*N402</f>
        <v>7100</v>
      </c>
      <c r="P402" s="123"/>
      <c r="Q402" s="44">
        <v>0</v>
      </c>
      <c r="R402" s="44">
        <f>H402*Q402</f>
        <v>0</v>
      </c>
      <c r="S402" s="123"/>
      <c r="T402" s="44">
        <v>0</v>
      </c>
      <c r="U402" s="44">
        <f>H402*T402</f>
        <v>0</v>
      </c>
      <c r="V402" s="123"/>
      <c r="W402" s="44">
        <v>0</v>
      </c>
      <c r="X402" s="44">
        <f t="shared" ref="X402" si="303">W402*H402</f>
        <v>0</v>
      </c>
      <c r="Y402" s="44">
        <f t="shared" ref="Y402" si="304">SUM(R402,O402,L402,I402,U402,X402)</f>
        <v>14200</v>
      </c>
      <c r="Z402" s="44">
        <v>0</v>
      </c>
      <c r="AA402" s="44">
        <f t="shared" ref="AA402" si="305">SUM(Y402:Z402)</f>
        <v>14200</v>
      </c>
    </row>
    <row r="403" spans="1:29">
      <c r="A403" s="607"/>
      <c r="B403" s="607"/>
      <c r="C403" s="607"/>
      <c r="D403" s="41" t="s">
        <v>312</v>
      </c>
      <c r="E403" s="127"/>
      <c r="F403" s="46"/>
      <c r="G403" s="47"/>
      <c r="H403" s="47"/>
      <c r="I403" s="48">
        <f>SUM(I400:I402)</f>
        <v>10522.659753802112</v>
      </c>
      <c r="J403" s="127"/>
      <c r="K403" s="48"/>
      <c r="L403" s="48">
        <f>SUM(L400:L402)</f>
        <v>68087.341390642949</v>
      </c>
      <c r="M403" s="127"/>
      <c r="N403" s="48"/>
      <c r="O403" s="48">
        <f>SUM(O400:O402)</f>
        <v>71136.708460175098</v>
      </c>
      <c r="P403" s="127"/>
      <c r="Q403" s="48"/>
      <c r="R403" s="48">
        <f>SUM(R400:R402)</f>
        <v>67238.543883183855</v>
      </c>
      <c r="S403" s="127"/>
      <c r="T403" s="48"/>
      <c r="U403" s="48">
        <f>SUM(U400:U402)</f>
        <v>5280.1426065290607</v>
      </c>
      <c r="V403" s="127"/>
      <c r="W403" s="48"/>
      <c r="X403" s="48">
        <f>SUM(X400:X402)</f>
        <v>0</v>
      </c>
      <c r="Y403" s="101">
        <f>SUM(Y400:Y402)</f>
        <v>222265.39609433306</v>
      </c>
      <c r="Z403" s="48">
        <f>SUM(Z400:Z402)</f>
        <v>0</v>
      </c>
      <c r="AA403" s="48">
        <f>SUM(AA400:AA402)</f>
        <v>222265.39609433306</v>
      </c>
      <c r="AC403" s="566"/>
    </row>
    <row r="404" spans="1:29">
      <c r="A404" s="608"/>
      <c r="B404" s="608"/>
      <c r="C404" s="608"/>
      <c r="D404" s="100"/>
      <c r="E404" s="154"/>
      <c r="F404" s="81"/>
      <c r="G404" s="63"/>
      <c r="H404" s="63"/>
      <c r="I404" s="63"/>
      <c r="J404" s="154"/>
      <c r="K404" s="63"/>
      <c r="L404" s="63"/>
      <c r="M404" s="154"/>
      <c r="N404" s="63"/>
      <c r="O404" s="63"/>
      <c r="P404" s="154"/>
      <c r="Q404" s="63"/>
      <c r="R404" s="63"/>
      <c r="S404" s="154"/>
      <c r="T404" s="63"/>
      <c r="U404" s="63"/>
      <c r="V404" s="154"/>
      <c r="W404" s="63"/>
      <c r="X404" s="63"/>
      <c r="Y404" s="63"/>
      <c r="Z404" s="63"/>
      <c r="AA404" s="63"/>
    </row>
    <row r="405" spans="1:29" ht="12.9" thickBot="1">
      <c r="A405" s="596"/>
      <c r="B405" s="596"/>
      <c r="C405" s="596"/>
      <c r="D405" s="54" t="s">
        <v>313</v>
      </c>
      <c r="E405" s="121"/>
      <c r="F405" s="54"/>
      <c r="G405" s="69"/>
      <c r="H405" s="69"/>
      <c r="I405" s="65">
        <f>+I386+I397+I381+I377+I391+I403</f>
        <v>44451.42975380212</v>
      </c>
      <c r="J405" s="121"/>
      <c r="K405" s="65"/>
      <c r="L405" s="65">
        <f>+L386+L397+L381+L377+L391+L403</f>
        <v>148743.75839064294</v>
      </c>
      <c r="M405" s="121"/>
      <c r="N405" s="65"/>
      <c r="O405" s="65">
        <f>+O386+O397+O381+O377+O391+O403</f>
        <v>150920.94631017512</v>
      </c>
      <c r="P405" s="121"/>
      <c r="Q405" s="65"/>
      <c r="R405" s="65">
        <f>+R386+R397+R381+R377+R391+R403</f>
        <v>147806.99362568386</v>
      </c>
      <c r="S405" s="121"/>
      <c r="T405" s="65"/>
      <c r="U405" s="65">
        <f>+U386+U397+U381+U377+U391+U403</f>
        <v>89297.014836154063</v>
      </c>
      <c r="V405" s="121"/>
      <c r="W405" s="65"/>
      <c r="X405" s="65">
        <f>+X386+X397+X381+X377+X391+X403</f>
        <v>48374.343006143754</v>
      </c>
      <c r="Y405" s="65">
        <f>+Y386+Y397+Y381+Y377+Y391+Y403</f>
        <v>629594.48592260189</v>
      </c>
      <c r="Z405" s="65">
        <f>+Z386+Z397+Z381+Z377+Z391+Z403</f>
        <v>0</v>
      </c>
      <c r="AA405" s="65">
        <f>+AA386+AA397+AA381+AA377+AA391+AA403</f>
        <v>629594.48592260189</v>
      </c>
      <c r="AC405" s="566"/>
    </row>
    <row r="406" spans="1:29">
      <c r="A406" s="597"/>
      <c r="B406" s="597"/>
      <c r="C406" s="597"/>
      <c r="D406" s="81"/>
      <c r="E406" s="118"/>
      <c r="F406" s="81"/>
      <c r="G406" s="63"/>
      <c r="H406" s="63"/>
      <c r="I406" s="63"/>
      <c r="J406" s="118"/>
      <c r="K406" s="63"/>
      <c r="L406" s="63"/>
      <c r="M406" s="118"/>
      <c r="N406" s="63"/>
      <c r="O406" s="63"/>
      <c r="P406" s="118"/>
      <c r="Q406" s="63"/>
      <c r="R406" s="63"/>
      <c r="S406" s="118"/>
      <c r="T406" s="63"/>
      <c r="U406" s="63"/>
      <c r="V406" s="118"/>
      <c r="W406" s="63"/>
      <c r="X406" s="63"/>
      <c r="Y406" s="63"/>
      <c r="Z406" s="63"/>
      <c r="AA406" s="63"/>
    </row>
    <row r="407" spans="1:29">
      <c r="A407" s="605"/>
      <c r="B407" s="605"/>
      <c r="C407" s="605"/>
      <c r="D407" s="94" t="str">
        <f>'USDA Budget Summary'!A31</f>
        <v>Activity 5: Building/Rehabilitation: Wells and Water Stations/Systems</v>
      </c>
      <c r="E407" s="125"/>
      <c r="F407" s="38"/>
      <c r="G407" s="38"/>
      <c r="H407" s="39"/>
      <c r="I407" s="95"/>
      <c r="J407" s="125"/>
      <c r="K407" s="95"/>
      <c r="L407" s="95"/>
      <c r="M407" s="125"/>
      <c r="N407" s="95"/>
      <c r="O407" s="95"/>
      <c r="P407" s="125"/>
      <c r="Q407" s="95"/>
      <c r="R407" s="95"/>
      <c r="S407" s="125"/>
      <c r="T407" s="95"/>
      <c r="U407" s="95"/>
      <c r="V407" s="125"/>
      <c r="W407" s="95"/>
      <c r="X407" s="95"/>
      <c r="Y407" s="95"/>
      <c r="Z407" s="96"/>
      <c r="AA407" s="95"/>
    </row>
    <row r="408" spans="1:29">
      <c r="A408" s="606"/>
      <c r="B408" s="606"/>
      <c r="C408" s="606"/>
      <c r="D408" s="97" t="s">
        <v>227</v>
      </c>
      <c r="E408" s="126"/>
      <c r="F408" s="98"/>
      <c r="G408" s="99"/>
      <c r="H408" s="99"/>
      <c r="I408" s="99"/>
      <c r="J408" s="126"/>
      <c r="K408" s="99"/>
      <c r="L408" s="99"/>
      <c r="M408" s="126"/>
      <c r="N408" s="99"/>
      <c r="O408" s="99"/>
      <c r="P408" s="126"/>
      <c r="Q408" s="99"/>
      <c r="R408" s="99"/>
      <c r="S408" s="126"/>
      <c r="T408" s="99"/>
      <c r="U408" s="99"/>
      <c r="V408" s="126"/>
      <c r="W408" s="99"/>
      <c r="X408" s="99"/>
      <c r="Y408" s="99"/>
      <c r="Z408" s="99"/>
      <c r="AA408" s="99"/>
    </row>
    <row r="409" spans="1:29">
      <c r="A409" s="607"/>
      <c r="B409" s="607"/>
      <c r="C409" s="607"/>
      <c r="D409" s="41" t="s">
        <v>314</v>
      </c>
      <c r="E409" s="127"/>
      <c r="F409" s="46"/>
      <c r="G409" s="47"/>
      <c r="H409" s="47"/>
      <c r="I409" s="47"/>
      <c r="J409" s="127"/>
      <c r="K409" s="47"/>
      <c r="L409" s="47"/>
      <c r="M409" s="127"/>
      <c r="N409" s="47"/>
      <c r="O409" s="47"/>
      <c r="P409" s="127"/>
      <c r="Q409" s="47"/>
      <c r="R409" s="47"/>
      <c r="S409" s="127"/>
      <c r="T409" s="47"/>
      <c r="U409" s="47"/>
      <c r="V409" s="127"/>
      <c r="W409" s="47"/>
      <c r="X409" s="47"/>
      <c r="Y409" s="47"/>
      <c r="Z409" s="47"/>
      <c r="AA409" s="47"/>
    </row>
    <row r="410" spans="1:29" hidden="1">
      <c r="A410" s="595" t="s">
        <v>978</v>
      </c>
      <c r="B410" s="595">
        <v>70000</v>
      </c>
      <c r="C410" s="595" t="s">
        <v>747</v>
      </c>
      <c r="D410" s="8" t="str">
        <f t="shared" ref="D410:D443" si="306">D12</f>
        <v xml:space="preserve">Key Personnel: Chief of Party - Roger Sanchez O’Neill </v>
      </c>
      <c r="E410" s="115">
        <f>'LOE Breakdown by Year'!I11</f>
        <v>0</v>
      </c>
      <c r="F410" s="50" t="s">
        <v>100</v>
      </c>
      <c r="G410" s="44">
        <f t="shared" ref="G410:H429" si="307">G12</f>
        <v>11</v>
      </c>
      <c r="H410" s="44">
        <f t="shared" si="307"/>
        <v>9583.3333333333339</v>
      </c>
      <c r="I410" s="44">
        <f>G410*H410*E410</f>
        <v>0</v>
      </c>
      <c r="J410" s="115">
        <f>'LOE Breakdown by Year'!I57</f>
        <v>0</v>
      </c>
      <c r="K410" s="44">
        <f t="shared" ref="K410:K443" si="308">K12</f>
        <v>12</v>
      </c>
      <c r="L410" s="44">
        <f>K410*H410*$E$7*$J410</f>
        <v>0</v>
      </c>
      <c r="M410" s="115">
        <f>'LOE Breakdown by Year'!I103</f>
        <v>0</v>
      </c>
      <c r="N410" s="44">
        <f t="shared" ref="N410:N443" si="309">N12</f>
        <v>12</v>
      </c>
      <c r="O410" s="44">
        <f>N410*H410*$M410*$E$7*$E$7</f>
        <v>0</v>
      </c>
      <c r="P410" s="115">
        <f>'LOE Breakdown by Year'!I149</f>
        <v>0</v>
      </c>
      <c r="Q410" s="44">
        <f t="shared" ref="Q410:Q443" si="310">Q12</f>
        <v>12</v>
      </c>
      <c r="R410" s="44">
        <f>Q410*H410*$P410*$E$7*$E$7*$E$7</f>
        <v>0</v>
      </c>
      <c r="S410" s="115">
        <f>'LOE Breakdown by Year'!I195</f>
        <v>0</v>
      </c>
      <c r="T410" s="44">
        <f t="shared" ref="T410:T443" si="311">T12</f>
        <v>12</v>
      </c>
      <c r="U410" s="44">
        <f>T410*H410*$S410*$E$7*$E$7*$E$7*$E$7</f>
        <v>0</v>
      </c>
      <c r="V410" s="115">
        <f>'LOE Breakdown by Year'!I241</f>
        <v>0</v>
      </c>
      <c r="W410" s="44">
        <f t="shared" ref="W410:W443" si="312">W12</f>
        <v>12</v>
      </c>
      <c r="X410" s="44">
        <f>W410*H410*$V410*$E$7*$E$7*$E$7*$E$7*$E$7</f>
        <v>0</v>
      </c>
      <c r="Y410" s="44">
        <f>SUM(R410,O410,L410,I410,U410,X410)</f>
        <v>0</v>
      </c>
      <c r="Z410" s="44">
        <v>0</v>
      </c>
      <c r="AA410" s="44">
        <f t="shared" ref="AA410" si="313">SUM(Y410:Z410)</f>
        <v>0</v>
      </c>
    </row>
    <row r="411" spans="1:29" hidden="1">
      <c r="A411" s="595" t="s">
        <v>979</v>
      </c>
      <c r="B411" s="595">
        <v>70000</v>
      </c>
      <c r="C411" s="595" t="s">
        <v>747</v>
      </c>
      <c r="D411" s="8" t="str">
        <f t="shared" si="306"/>
        <v>Key Personnel: Deputy Chief of Party - David Medina Mayo</v>
      </c>
      <c r="E411" s="115">
        <f>'LOE Breakdown by Year'!I12</f>
        <v>0</v>
      </c>
      <c r="F411" s="50" t="s">
        <v>100</v>
      </c>
      <c r="G411" s="44">
        <f t="shared" si="307"/>
        <v>11</v>
      </c>
      <c r="H411" s="44">
        <f t="shared" si="307"/>
        <v>6500</v>
      </c>
      <c r="I411" s="44">
        <f t="shared" ref="I411:I443" si="314">G411*H411*E411</f>
        <v>0</v>
      </c>
      <c r="J411" s="115">
        <f>'LOE Breakdown by Year'!I58</f>
        <v>0</v>
      </c>
      <c r="K411" s="44">
        <f t="shared" si="308"/>
        <v>12</v>
      </c>
      <c r="L411" s="44">
        <f t="shared" ref="L411:L443" si="315">K411*H411*$E$7*$J411</f>
        <v>0</v>
      </c>
      <c r="M411" s="115">
        <f>'LOE Breakdown by Year'!I104</f>
        <v>0</v>
      </c>
      <c r="N411" s="44">
        <f t="shared" si="309"/>
        <v>12</v>
      </c>
      <c r="O411" s="44">
        <f t="shared" ref="O411:O443" si="316">N411*H411*$M411*$E$7*$E$7</f>
        <v>0</v>
      </c>
      <c r="P411" s="115">
        <f>'LOE Breakdown by Year'!I150</f>
        <v>0</v>
      </c>
      <c r="Q411" s="44">
        <f t="shared" si="310"/>
        <v>12</v>
      </c>
      <c r="R411" s="44">
        <f t="shared" ref="R411:R443" si="317">Q411*H411*$P411*$E$7*$E$7*$E$7</f>
        <v>0</v>
      </c>
      <c r="S411" s="115">
        <f>'LOE Breakdown by Year'!I196</f>
        <v>0</v>
      </c>
      <c r="T411" s="44">
        <f t="shared" si="311"/>
        <v>12</v>
      </c>
      <c r="U411" s="44">
        <f t="shared" ref="U411:U443" si="318">T411*H411*$S411*$E$7*$E$7*$E$7*$E$7</f>
        <v>0</v>
      </c>
      <c r="V411" s="115">
        <f>'LOE Breakdown by Year'!I242</f>
        <v>0</v>
      </c>
      <c r="W411" s="44">
        <f t="shared" si="312"/>
        <v>12</v>
      </c>
      <c r="X411" s="44">
        <f t="shared" ref="X411:X443" si="319">W411*H411*$V411*$E$7*$E$7*$E$7*$E$7*$E$7</f>
        <v>0</v>
      </c>
      <c r="Y411" s="44">
        <f t="shared" ref="Y411:Y443" si="320">SUM(R411,O411,L411,I411,U411,X411)</f>
        <v>0</v>
      </c>
      <c r="Z411" s="44">
        <v>0</v>
      </c>
      <c r="AA411" s="44">
        <f t="shared" ref="AA411:AA443" si="321">SUM(Y411:Z411)</f>
        <v>0</v>
      </c>
    </row>
    <row r="412" spans="1:29" hidden="1">
      <c r="A412" s="595" t="s">
        <v>980</v>
      </c>
      <c r="B412" s="595">
        <v>70000</v>
      </c>
      <c r="C412" s="595" t="s">
        <v>747</v>
      </c>
      <c r="D412" s="8" t="str">
        <f t="shared" si="306"/>
        <v>Policy &amp; Sustainability Specialist</v>
      </c>
      <c r="E412" s="115">
        <f>'LOE Breakdown by Year'!I13</f>
        <v>0</v>
      </c>
      <c r="F412" s="50" t="s">
        <v>100</v>
      </c>
      <c r="G412" s="44">
        <f t="shared" si="307"/>
        <v>0</v>
      </c>
      <c r="H412" s="44">
        <f t="shared" si="307"/>
        <v>1500</v>
      </c>
      <c r="I412" s="44">
        <f t="shared" si="314"/>
        <v>0</v>
      </c>
      <c r="J412" s="115">
        <f>'LOE Breakdown by Year'!I59</f>
        <v>0</v>
      </c>
      <c r="K412" s="44">
        <f t="shared" si="308"/>
        <v>0</v>
      </c>
      <c r="L412" s="44">
        <f t="shared" si="315"/>
        <v>0</v>
      </c>
      <c r="M412" s="115">
        <f>'LOE Breakdown by Year'!I105</f>
        <v>0</v>
      </c>
      <c r="N412" s="44">
        <f t="shared" si="309"/>
        <v>7</v>
      </c>
      <c r="O412" s="44">
        <f t="shared" si="316"/>
        <v>0</v>
      </c>
      <c r="P412" s="115">
        <f>'LOE Breakdown by Year'!I151</f>
        <v>0</v>
      </c>
      <c r="Q412" s="44">
        <f t="shared" si="310"/>
        <v>12</v>
      </c>
      <c r="R412" s="44">
        <f t="shared" si="317"/>
        <v>0</v>
      </c>
      <c r="S412" s="115">
        <f>'LOE Breakdown by Year'!I197</f>
        <v>0</v>
      </c>
      <c r="T412" s="44">
        <f t="shared" si="311"/>
        <v>12</v>
      </c>
      <c r="U412" s="44">
        <f t="shared" si="318"/>
        <v>0</v>
      </c>
      <c r="V412" s="115">
        <f>'LOE Breakdown by Year'!I243</f>
        <v>0</v>
      </c>
      <c r="W412" s="44">
        <f t="shared" si="312"/>
        <v>6</v>
      </c>
      <c r="X412" s="44">
        <f t="shared" si="319"/>
        <v>0</v>
      </c>
      <c r="Y412" s="44">
        <f t="shared" si="320"/>
        <v>0</v>
      </c>
      <c r="Z412" s="44">
        <v>0</v>
      </c>
      <c r="AA412" s="44">
        <f t="shared" si="321"/>
        <v>0</v>
      </c>
    </row>
    <row r="413" spans="1:29" hidden="1">
      <c r="A413" s="595" t="s">
        <v>981</v>
      </c>
      <c r="B413" s="595">
        <v>70000</v>
      </c>
      <c r="C413" s="595" t="s">
        <v>747</v>
      </c>
      <c r="D413" s="8" t="str">
        <f t="shared" si="306"/>
        <v xml:space="preserve">Education Director </v>
      </c>
      <c r="E413" s="115">
        <f>'LOE Breakdown by Year'!I14</f>
        <v>0</v>
      </c>
      <c r="F413" s="50" t="s">
        <v>100</v>
      </c>
      <c r="G413" s="44">
        <f t="shared" si="307"/>
        <v>9</v>
      </c>
      <c r="H413" s="44">
        <f t="shared" si="307"/>
        <v>4583.333333333333</v>
      </c>
      <c r="I413" s="44">
        <f t="shared" si="314"/>
        <v>0</v>
      </c>
      <c r="J413" s="115">
        <f>'LOE Breakdown by Year'!I60</f>
        <v>0</v>
      </c>
      <c r="K413" s="44">
        <f t="shared" si="308"/>
        <v>12</v>
      </c>
      <c r="L413" s="44">
        <f t="shared" si="315"/>
        <v>0</v>
      </c>
      <c r="M413" s="115">
        <f>'LOE Breakdown by Year'!I106</f>
        <v>0</v>
      </c>
      <c r="N413" s="44">
        <f t="shared" si="309"/>
        <v>12</v>
      </c>
      <c r="O413" s="44">
        <f t="shared" si="316"/>
        <v>0</v>
      </c>
      <c r="P413" s="115">
        <f>'LOE Breakdown by Year'!I152</f>
        <v>0</v>
      </c>
      <c r="Q413" s="44">
        <f t="shared" si="310"/>
        <v>12</v>
      </c>
      <c r="R413" s="44">
        <f t="shared" si="317"/>
        <v>0</v>
      </c>
      <c r="S413" s="115">
        <f>'LOE Breakdown by Year'!I198</f>
        <v>0</v>
      </c>
      <c r="T413" s="44">
        <f t="shared" si="311"/>
        <v>12</v>
      </c>
      <c r="U413" s="44">
        <f t="shared" si="318"/>
        <v>0</v>
      </c>
      <c r="V413" s="115">
        <f>'LOE Breakdown by Year'!I244</f>
        <v>0</v>
      </c>
      <c r="W413" s="44">
        <f t="shared" si="312"/>
        <v>8</v>
      </c>
      <c r="X413" s="44">
        <f t="shared" si="319"/>
        <v>0</v>
      </c>
      <c r="Y413" s="44">
        <f t="shared" si="320"/>
        <v>0</v>
      </c>
      <c r="Z413" s="44">
        <v>0</v>
      </c>
      <c r="AA413" s="44">
        <f t="shared" si="321"/>
        <v>0</v>
      </c>
    </row>
    <row r="414" spans="1:29" hidden="1">
      <c r="A414" s="595" t="s">
        <v>982</v>
      </c>
      <c r="B414" s="595">
        <v>70000</v>
      </c>
      <c r="C414" s="595" t="s">
        <v>747</v>
      </c>
      <c r="D414" s="8" t="str">
        <f t="shared" si="306"/>
        <v>Education Specialist</v>
      </c>
      <c r="E414" s="115">
        <f>'LOE Breakdown by Year'!I15</f>
        <v>0</v>
      </c>
      <c r="F414" s="50" t="s">
        <v>100</v>
      </c>
      <c r="G414" s="44">
        <f t="shared" si="307"/>
        <v>8</v>
      </c>
      <c r="H414" s="44">
        <f t="shared" si="307"/>
        <v>2500</v>
      </c>
      <c r="I414" s="44">
        <f t="shared" si="314"/>
        <v>0</v>
      </c>
      <c r="J414" s="115">
        <f>'LOE Breakdown by Year'!I61</f>
        <v>0</v>
      </c>
      <c r="K414" s="44">
        <f t="shared" si="308"/>
        <v>12</v>
      </c>
      <c r="L414" s="44">
        <f t="shared" si="315"/>
        <v>0</v>
      </c>
      <c r="M414" s="115">
        <f>'LOE Breakdown by Year'!I107</f>
        <v>0</v>
      </c>
      <c r="N414" s="44">
        <f t="shared" si="309"/>
        <v>12</v>
      </c>
      <c r="O414" s="44">
        <f t="shared" si="316"/>
        <v>0</v>
      </c>
      <c r="P414" s="115">
        <f>'LOE Breakdown by Year'!I153</f>
        <v>0</v>
      </c>
      <c r="Q414" s="44">
        <f t="shared" si="310"/>
        <v>12</v>
      </c>
      <c r="R414" s="44">
        <f t="shared" si="317"/>
        <v>0</v>
      </c>
      <c r="S414" s="115">
        <f>'LOE Breakdown by Year'!I199</f>
        <v>0</v>
      </c>
      <c r="T414" s="44">
        <f t="shared" si="311"/>
        <v>12</v>
      </c>
      <c r="U414" s="44">
        <f t="shared" si="318"/>
        <v>0</v>
      </c>
      <c r="V414" s="115">
        <f>'LOE Breakdown by Year'!I245</f>
        <v>0</v>
      </c>
      <c r="W414" s="44">
        <f t="shared" si="312"/>
        <v>3</v>
      </c>
      <c r="X414" s="44">
        <f t="shared" si="319"/>
        <v>0</v>
      </c>
      <c r="Y414" s="44">
        <f t="shared" si="320"/>
        <v>0</v>
      </c>
      <c r="Z414" s="44">
        <v>0</v>
      </c>
      <c r="AA414" s="44">
        <f t="shared" si="321"/>
        <v>0</v>
      </c>
    </row>
    <row r="415" spans="1:29" hidden="1">
      <c r="A415" s="595" t="s">
        <v>983</v>
      </c>
      <c r="B415" s="595">
        <v>70000</v>
      </c>
      <c r="C415" s="595" t="s">
        <v>747</v>
      </c>
      <c r="D415" s="8" t="str">
        <f t="shared" si="306"/>
        <v>Education Officer</v>
      </c>
      <c r="E415" s="115">
        <f>'LOE Breakdown by Year'!I16</f>
        <v>0</v>
      </c>
      <c r="F415" s="50" t="s">
        <v>100</v>
      </c>
      <c r="G415" s="44">
        <f t="shared" si="307"/>
        <v>6</v>
      </c>
      <c r="H415" s="44">
        <f t="shared" si="307"/>
        <v>1000</v>
      </c>
      <c r="I415" s="44">
        <f t="shared" si="314"/>
        <v>0</v>
      </c>
      <c r="J415" s="115">
        <f>'LOE Breakdown by Year'!I62</f>
        <v>0</v>
      </c>
      <c r="K415" s="44">
        <f t="shared" si="308"/>
        <v>12</v>
      </c>
      <c r="L415" s="44">
        <f t="shared" si="315"/>
        <v>0</v>
      </c>
      <c r="M415" s="115">
        <f>'LOE Breakdown by Year'!I108</f>
        <v>0</v>
      </c>
      <c r="N415" s="44">
        <f t="shared" si="309"/>
        <v>12</v>
      </c>
      <c r="O415" s="44">
        <f t="shared" si="316"/>
        <v>0</v>
      </c>
      <c r="P415" s="115">
        <f>'LOE Breakdown by Year'!I154</f>
        <v>0</v>
      </c>
      <c r="Q415" s="44">
        <f t="shared" si="310"/>
        <v>12</v>
      </c>
      <c r="R415" s="44">
        <f t="shared" si="317"/>
        <v>0</v>
      </c>
      <c r="S415" s="115">
        <f>'LOE Breakdown by Year'!I200</f>
        <v>0</v>
      </c>
      <c r="T415" s="44">
        <f t="shared" si="311"/>
        <v>12</v>
      </c>
      <c r="U415" s="44">
        <f t="shared" si="318"/>
        <v>0</v>
      </c>
      <c r="V415" s="115">
        <f>'LOE Breakdown by Year'!I246</f>
        <v>0</v>
      </c>
      <c r="W415" s="44">
        <f t="shared" si="312"/>
        <v>3</v>
      </c>
      <c r="X415" s="44">
        <f t="shared" si="319"/>
        <v>0</v>
      </c>
      <c r="Y415" s="44">
        <f t="shared" si="320"/>
        <v>0</v>
      </c>
      <c r="Z415" s="44">
        <v>0</v>
      </c>
      <c r="AA415" s="44">
        <f t="shared" si="321"/>
        <v>0</v>
      </c>
    </row>
    <row r="416" spans="1:29">
      <c r="A416" s="595" t="s">
        <v>984</v>
      </c>
      <c r="B416" s="595">
        <v>70000</v>
      </c>
      <c r="C416" s="595" t="s">
        <v>747</v>
      </c>
      <c r="D416" s="8" t="str">
        <f t="shared" si="306"/>
        <v>Nutrition and Health Specialist</v>
      </c>
      <c r="E416" s="115">
        <f>'LOE Breakdown by Year'!I17</f>
        <v>0.25</v>
      </c>
      <c r="F416" s="50" t="s">
        <v>100</v>
      </c>
      <c r="G416" s="44">
        <f t="shared" si="307"/>
        <v>9</v>
      </c>
      <c r="H416" s="44">
        <f t="shared" si="307"/>
        <v>1500</v>
      </c>
      <c r="I416" s="44">
        <f t="shared" si="314"/>
        <v>3375</v>
      </c>
      <c r="J416" s="115">
        <f>'LOE Breakdown by Year'!I63</f>
        <v>0.25</v>
      </c>
      <c r="K416" s="44">
        <f t="shared" si="308"/>
        <v>12</v>
      </c>
      <c r="L416" s="44">
        <f t="shared" si="315"/>
        <v>4725</v>
      </c>
      <c r="M416" s="115">
        <f>'LOE Breakdown by Year'!I109</f>
        <v>0.25</v>
      </c>
      <c r="N416" s="44">
        <f t="shared" si="309"/>
        <v>12</v>
      </c>
      <c r="O416" s="44">
        <f t="shared" si="316"/>
        <v>4961.25</v>
      </c>
      <c r="P416" s="115">
        <f>'LOE Breakdown by Year'!I155</f>
        <v>0.25</v>
      </c>
      <c r="Q416" s="44">
        <f t="shared" si="310"/>
        <v>12</v>
      </c>
      <c r="R416" s="44">
        <f t="shared" si="317"/>
        <v>5209.3125</v>
      </c>
      <c r="S416" s="115">
        <f>'LOE Breakdown by Year'!I201</f>
        <v>0.25</v>
      </c>
      <c r="T416" s="44">
        <f t="shared" si="311"/>
        <v>12</v>
      </c>
      <c r="U416" s="44">
        <f t="shared" si="318"/>
        <v>5469.7781249999998</v>
      </c>
      <c r="V416" s="115">
        <f>'LOE Breakdown by Year'!I247</f>
        <v>0.25</v>
      </c>
      <c r="W416" s="44">
        <f t="shared" si="312"/>
        <v>6</v>
      </c>
      <c r="X416" s="44">
        <f t="shared" si="319"/>
        <v>2871.6335156250002</v>
      </c>
      <c r="Y416" s="44">
        <f t="shared" si="320"/>
        <v>26611.974140625</v>
      </c>
      <c r="Z416" s="44">
        <v>0</v>
      </c>
      <c r="AA416" s="44">
        <f t="shared" si="321"/>
        <v>26611.974140625</v>
      </c>
    </row>
    <row r="417" spans="1:27" hidden="1">
      <c r="A417" s="595" t="s">
        <v>985</v>
      </c>
      <c r="B417" s="595">
        <v>70000</v>
      </c>
      <c r="C417" s="595" t="s">
        <v>747</v>
      </c>
      <c r="D417" s="8" t="str">
        <f t="shared" si="306"/>
        <v>Nutrition Officer - (2 Individuals)</v>
      </c>
      <c r="E417" s="115">
        <f>'LOE Breakdown by Year'!I18</f>
        <v>0</v>
      </c>
      <c r="F417" s="50" t="s">
        <v>100</v>
      </c>
      <c r="G417" s="44">
        <f t="shared" si="307"/>
        <v>6</v>
      </c>
      <c r="H417" s="44">
        <f t="shared" si="307"/>
        <v>1000</v>
      </c>
      <c r="I417" s="44">
        <f t="shared" si="314"/>
        <v>0</v>
      </c>
      <c r="J417" s="115">
        <f>'LOE Breakdown by Year'!I64</f>
        <v>0</v>
      </c>
      <c r="K417" s="44">
        <f t="shared" si="308"/>
        <v>24</v>
      </c>
      <c r="L417" s="44">
        <f t="shared" si="315"/>
        <v>0</v>
      </c>
      <c r="M417" s="115">
        <f>'LOE Breakdown by Year'!I110</f>
        <v>0</v>
      </c>
      <c r="N417" s="44">
        <f t="shared" si="309"/>
        <v>24</v>
      </c>
      <c r="O417" s="44">
        <f t="shared" si="316"/>
        <v>0</v>
      </c>
      <c r="P417" s="115">
        <f>'LOE Breakdown by Year'!I156</f>
        <v>0</v>
      </c>
      <c r="Q417" s="44">
        <f t="shared" si="310"/>
        <v>24</v>
      </c>
      <c r="R417" s="44">
        <f t="shared" si="317"/>
        <v>0</v>
      </c>
      <c r="S417" s="115">
        <f>'LOE Breakdown by Year'!I202</f>
        <v>0</v>
      </c>
      <c r="T417" s="44">
        <f t="shared" si="311"/>
        <v>24</v>
      </c>
      <c r="U417" s="44">
        <f t="shared" si="318"/>
        <v>0</v>
      </c>
      <c r="V417" s="115">
        <f>'LOE Breakdown by Year'!I248</f>
        <v>0</v>
      </c>
      <c r="W417" s="44">
        <f t="shared" si="312"/>
        <v>6</v>
      </c>
      <c r="X417" s="44">
        <f t="shared" si="319"/>
        <v>0</v>
      </c>
      <c r="Y417" s="44">
        <f t="shared" si="320"/>
        <v>0</v>
      </c>
      <c r="Z417" s="44">
        <v>0</v>
      </c>
      <c r="AA417" s="44">
        <f t="shared" si="321"/>
        <v>0</v>
      </c>
    </row>
    <row r="418" spans="1:27" hidden="1">
      <c r="A418" s="595" t="s">
        <v>986</v>
      </c>
      <c r="B418" s="595">
        <v>70000</v>
      </c>
      <c r="C418" s="595" t="s">
        <v>747</v>
      </c>
      <c r="D418" s="8" t="str">
        <f t="shared" si="306"/>
        <v>School Feeding Specialist</v>
      </c>
      <c r="E418" s="115">
        <f>'LOE Breakdown by Year'!I19</f>
        <v>0</v>
      </c>
      <c r="F418" s="50" t="s">
        <v>100</v>
      </c>
      <c r="G418" s="44">
        <f t="shared" si="307"/>
        <v>9</v>
      </c>
      <c r="H418" s="44">
        <f t="shared" si="307"/>
        <v>1500</v>
      </c>
      <c r="I418" s="44">
        <f t="shared" si="314"/>
        <v>0</v>
      </c>
      <c r="J418" s="115">
        <f>'LOE Breakdown by Year'!I65</f>
        <v>0</v>
      </c>
      <c r="K418" s="44">
        <f t="shared" si="308"/>
        <v>12</v>
      </c>
      <c r="L418" s="44">
        <f t="shared" si="315"/>
        <v>0</v>
      </c>
      <c r="M418" s="115">
        <f>'LOE Breakdown by Year'!I111</f>
        <v>0</v>
      </c>
      <c r="N418" s="44">
        <f t="shared" si="309"/>
        <v>12</v>
      </c>
      <c r="O418" s="44">
        <f t="shared" si="316"/>
        <v>0</v>
      </c>
      <c r="P418" s="115">
        <f>'LOE Breakdown by Year'!I157</f>
        <v>0</v>
      </c>
      <c r="Q418" s="44">
        <f t="shared" si="310"/>
        <v>12</v>
      </c>
      <c r="R418" s="44">
        <f t="shared" si="317"/>
        <v>0</v>
      </c>
      <c r="S418" s="115">
        <f>'LOE Breakdown by Year'!I203</f>
        <v>0</v>
      </c>
      <c r="T418" s="44">
        <f t="shared" si="311"/>
        <v>6</v>
      </c>
      <c r="U418" s="44">
        <f t="shared" si="318"/>
        <v>0</v>
      </c>
      <c r="V418" s="115">
        <f>'LOE Breakdown by Year'!I249</f>
        <v>0</v>
      </c>
      <c r="W418" s="44">
        <f t="shared" si="312"/>
        <v>6</v>
      </c>
      <c r="X418" s="44">
        <f t="shared" si="319"/>
        <v>0</v>
      </c>
      <c r="Y418" s="44">
        <f t="shared" si="320"/>
        <v>0</v>
      </c>
      <c r="Z418" s="44">
        <v>0</v>
      </c>
      <c r="AA418" s="44">
        <f t="shared" si="321"/>
        <v>0</v>
      </c>
    </row>
    <row r="419" spans="1:27" hidden="1">
      <c r="A419" s="595" t="s">
        <v>987</v>
      </c>
      <c r="B419" s="595">
        <v>70000</v>
      </c>
      <c r="C419" s="595" t="s">
        <v>747</v>
      </c>
      <c r="D419" s="8" t="str">
        <f t="shared" si="306"/>
        <v>Food Aid Monitors - (2 Individuals)</v>
      </c>
      <c r="E419" s="115">
        <f>'LOE Breakdown by Year'!I20</f>
        <v>0</v>
      </c>
      <c r="F419" s="50" t="s">
        <v>100</v>
      </c>
      <c r="G419" s="44">
        <f t="shared" si="307"/>
        <v>6</v>
      </c>
      <c r="H419" s="44">
        <f t="shared" si="307"/>
        <v>1000</v>
      </c>
      <c r="I419" s="44">
        <f t="shared" si="314"/>
        <v>0</v>
      </c>
      <c r="J419" s="115">
        <f>'LOE Breakdown by Year'!I66</f>
        <v>0</v>
      </c>
      <c r="K419" s="44">
        <f t="shared" si="308"/>
        <v>24</v>
      </c>
      <c r="L419" s="44">
        <f t="shared" si="315"/>
        <v>0</v>
      </c>
      <c r="M419" s="115">
        <f>'LOE Breakdown by Year'!I112</f>
        <v>0</v>
      </c>
      <c r="N419" s="44">
        <f t="shared" si="309"/>
        <v>24</v>
      </c>
      <c r="O419" s="44">
        <f t="shared" si="316"/>
        <v>0</v>
      </c>
      <c r="P419" s="115">
        <f>'LOE Breakdown by Year'!I158</f>
        <v>0</v>
      </c>
      <c r="Q419" s="44">
        <f t="shared" si="310"/>
        <v>24</v>
      </c>
      <c r="R419" s="44">
        <f t="shared" si="317"/>
        <v>0</v>
      </c>
      <c r="S419" s="115">
        <f>'LOE Breakdown by Year'!I204</f>
        <v>0</v>
      </c>
      <c r="T419" s="44">
        <f t="shared" si="311"/>
        <v>24</v>
      </c>
      <c r="U419" s="44">
        <f t="shared" si="318"/>
        <v>0</v>
      </c>
      <c r="V419" s="115">
        <f>'LOE Breakdown by Year'!I250</f>
        <v>0</v>
      </c>
      <c r="W419" s="44">
        <f t="shared" si="312"/>
        <v>12</v>
      </c>
      <c r="X419" s="44">
        <f t="shared" si="319"/>
        <v>0</v>
      </c>
      <c r="Y419" s="44">
        <f t="shared" si="320"/>
        <v>0</v>
      </c>
      <c r="Z419" s="44">
        <v>0</v>
      </c>
      <c r="AA419" s="44">
        <f t="shared" si="321"/>
        <v>0</v>
      </c>
    </row>
    <row r="420" spans="1:27">
      <c r="A420" s="595" t="s">
        <v>988</v>
      </c>
      <c r="B420" s="595">
        <v>70000</v>
      </c>
      <c r="C420" s="595" t="s">
        <v>747</v>
      </c>
      <c r="D420" s="8" t="str">
        <f t="shared" si="306"/>
        <v>WASH Officer</v>
      </c>
      <c r="E420" s="115">
        <f>'LOE Breakdown by Year'!I21</f>
        <v>1</v>
      </c>
      <c r="F420" s="50" t="s">
        <v>100</v>
      </c>
      <c r="G420" s="44">
        <f t="shared" si="307"/>
        <v>6</v>
      </c>
      <c r="H420" s="44">
        <f t="shared" si="307"/>
        <v>1000</v>
      </c>
      <c r="I420" s="44">
        <f t="shared" si="314"/>
        <v>6000</v>
      </c>
      <c r="J420" s="115">
        <f>'LOE Breakdown by Year'!I67</f>
        <v>1</v>
      </c>
      <c r="K420" s="44">
        <f t="shared" si="308"/>
        <v>12</v>
      </c>
      <c r="L420" s="44">
        <f t="shared" si="315"/>
        <v>12600</v>
      </c>
      <c r="M420" s="115">
        <f>'LOE Breakdown by Year'!I113</f>
        <v>1</v>
      </c>
      <c r="N420" s="44">
        <f t="shared" si="309"/>
        <v>12</v>
      </c>
      <c r="O420" s="44">
        <f t="shared" si="316"/>
        <v>13230</v>
      </c>
      <c r="P420" s="115">
        <f>'LOE Breakdown by Year'!I159</f>
        <v>1</v>
      </c>
      <c r="Q420" s="44">
        <f t="shared" si="310"/>
        <v>12</v>
      </c>
      <c r="R420" s="44">
        <f t="shared" si="317"/>
        <v>13891.5</v>
      </c>
      <c r="S420" s="115">
        <f>'LOE Breakdown by Year'!I205</f>
        <v>1</v>
      </c>
      <c r="T420" s="44">
        <f t="shared" si="311"/>
        <v>12</v>
      </c>
      <c r="U420" s="44">
        <f t="shared" si="318"/>
        <v>14586.075000000001</v>
      </c>
      <c r="V420" s="115">
        <f>'LOE Breakdown by Year'!I251</f>
        <v>1</v>
      </c>
      <c r="W420" s="44">
        <f t="shared" si="312"/>
        <v>3</v>
      </c>
      <c r="X420" s="44">
        <f t="shared" si="319"/>
        <v>3828.8446875000004</v>
      </c>
      <c r="Y420" s="44">
        <f t="shared" si="320"/>
        <v>64136.419687499998</v>
      </c>
      <c r="Z420" s="44">
        <v>0</v>
      </c>
      <c r="AA420" s="44">
        <f t="shared" si="321"/>
        <v>64136.419687499998</v>
      </c>
    </row>
    <row r="421" spans="1:27" hidden="1">
      <c r="A421" s="595" t="s">
        <v>989</v>
      </c>
      <c r="B421" s="595">
        <v>70000</v>
      </c>
      <c r="C421" s="595" t="s">
        <v>747</v>
      </c>
      <c r="D421" s="8" t="str">
        <f t="shared" si="306"/>
        <v>Communications Specialist</v>
      </c>
      <c r="E421" s="115">
        <f>'LOE Breakdown by Year'!I22</f>
        <v>0</v>
      </c>
      <c r="F421" s="50" t="s">
        <v>100</v>
      </c>
      <c r="G421" s="44">
        <f t="shared" si="307"/>
        <v>8</v>
      </c>
      <c r="H421" s="44">
        <f t="shared" si="307"/>
        <v>1500</v>
      </c>
      <c r="I421" s="44">
        <f t="shared" si="314"/>
        <v>0</v>
      </c>
      <c r="J421" s="115">
        <f>'LOE Breakdown by Year'!I68</f>
        <v>0</v>
      </c>
      <c r="K421" s="44">
        <f t="shared" si="308"/>
        <v>12</v>
      </c>
      <c r="L421" s="44">
        <f t="shared" si="315"/>
        <v>0</v>
      </c>
      <c r="M421" s="115">
        <f>'LOE Breakdown by Year'!I114</f>
        <v>0</v>
      </c>
      <c r="N421" s="44">
        <f t="shared" si="309"/>
        <v>12</v>
      </c>
      <c r="O421" s="44">
        <f t="shared" si="316"/>
        <v>0</v>
      </c>
      <c r="P421" s="115">
        <f>'LOE Breakdown by Year'!I160</f>
        <v>0</v>
      </c>
      <c r="Q421" s="44">
        <f t="shared" si="310"/>
        <v>12</v>
      </c>
      <c r="R421" s="44">
        <f t="shared" si="317"/>
        <v>0</v>
      </c>
      <c r="S421" s="115">
        <f>'LOE Breakdown by Year'!I206</f>
        <v>0</v>
      </c>
      <c r="T421" s="44">
        <f t="shared" si="311"/>
        <v>12</v>
      </c>
      <c r="U421" s="44">
        <f t="shared" si="318"/>
        <v>0</v>
      </c>
      <c r="V421" s="115">
        <f>'LOE Breakdown by Year'!I252</f>
        <v>0</v>
      </c>
      <c r="W421" s="44">
        <f t="shared" si="312"/>
        <v>8</v>
      </c>
      <c r="X421" s="44">
        <f t="shared" si="319"/>
        <v>0</v>
      </c>
      <c r="Y421" s="44">
        <f t="shared" si="320"/>
        <v>0</v>
      </c>
      <c r="Z421" s="44">
        <v>0</v>
      </c>
      <c r="AA421" s="44">
        <f t="shared" si="321"/>
        <v>0</v>
      </c>
    </row>
    <row r="422" spans="1:27" hidden="1">
      <c r="A422" s="595" t="s">
        <v>990</v>
      </c>
      <c r="B422" s="595">
        <v>70000</v>
      </c>
      <c r="C422" s="595" t="s">
        <v>747</v>
      </c>
      <c r="D422" s="8" t="str">
        <f t="shared" si="306"/>
        <v>Communications Officer</v>
      </c>
      <c r="E422" s="115">
        <f>'LOE Breakdown by Year'!I23</f>
        <v>0</v>
      </c>
      <c r="F422" s="50" t="s">
        <v>100</v>
      </c>
      <c r="G422" s="44">
        <f t="shared" si="307"/>
        <v>0</v>
      </c>
      <c r="H422" s="44">
        <f t="shared" si="307"/>
        <v>1000</v>
      </c>
      <c r="I422" s="44">
        <f t="shared" si="314"/>
        <v>0</v>
      </c>
      <c r="J422" s="115">
        <f>'LOE Breakdown by Year'!I69</f>
        <v>0</v>
      </c>
      <c r="K422" s="44">
        <f t="shared" si="308"/>
        <v>12</v>
      </c>
      <c r="L422" s="44">
        <f t="shared" si="315"/>
        <v>0</v>
      </c>
      <c r="M422" s="115">
        <f>'LOE Breakdown by Year'!I115</f>
        <v>0</v>
      </c>
      <c r="N422" s="44">
        <f t="shared" si="309"/>
        <v>12</v>
      </c>
      <c r="O422" s="44">
        <f t="shared" si="316"/>
        <v>0</v>
      </c>
      <c r="P422" s="115">
        <f>'LOE Breakdown by Year'!I161</f>
        <v>0</v>
      </c>
      <c r="Q422" s="44">
        <f t="shared" si="310"/>
        <v>12</v>
      </c>
      <c r="R422" s="44">
        <f t="shared" si="317"/>
        <v>0</v>
      </c>
      <c r="S422" s="115">
        <f>'LOE Breakdown by Year'!I207</f>
        <v>0</v>
      </c>
      <c r="T422" s="44">
        <f t="shared" si="311"/>
        <v>12</v>
      </c>
      <c r="U422" s="44">
        <f t="shared" si="318"/>
        <v>0</v>
      </c>
      <c r="V422" s="115">
        <f>'LOE Breakdown by Year'!I253</f>
        <v>0</v>
      </c>
      <c r="W422" s="44">
        <f t="shared" si="312"/>
        <v>0</v>
      </c>
      <c r="X422" s="44">
        <f t="shared" si="319"/>
        <v>0</v>
      </c>
      <c r="Y422" s="44">
        <f t="shared" si="320"/>
        <v>0</v>
      </c>
      <c r="Z422" s="44">
        <v>0</v>
      </c>
      <c r="AA422" s="44">
        <f t="shared" si="321"/>
        <v>0</v>
      </c>
    </row>
    <row r="423" spans="1:27">
      <c r="A423" s="595" t="s">
        <v>991</v>
      </c>
      <c r="B423" s="595">
        <v>70000</v>
      </c>
      <c r="C423" s="595" t="s">
        <v>747</v>
      </c>
      <c r="D423" s="8" t="str">
        <f t="shared" si="306"/>
        <v>Education &amp; Community Engagement Specialist</v>
      </c>
      <c r="E423" s="115">
        <f>'LOE Breakdown by Year'!I24</f>
        <v>0.1</v>
      </c>
      <c r="F423" s="50" t="s">
        <v>100</v>
      </c>
      <c r="G423" s="44">
        <f t="shared" si="307"/>
        <v>6</v>
      </c>
      <c r="H423" s="44">
        <f t="shared" si="307"/>
        <v>1500</v>
      </c>
      <c r="I423" s="44">
        <f t="shared" si="314"/>
        <v>900</v>
      </c>
      <c r="J423" s="115">
        <f>'LOE Breakdown by Year'!I70</f>
        <v>0.1</v>
      </c>
      <c r="K423" s="44">
        <f t="shared" si="308"/>
        <v>12</v>
      </c>
      <c r="L423" s="44">
        <f t="shared" si="315"/>
        <v>1890</v>
      </c>
      <c r="M423" s="115">
        <f>'LOE Breakdown by Year'!I116</f>
        <v>0.1</v>
      </c>
      <c r="N423" s="44">
        <f t="shared" si="309"/>
        <v>12</v>
      </c>
      <c r="O423" s="44">
        <f t="shared" si="316"/>
        <v>1984.5</v>
      </c>
      <c r="P423" s="115">
        <f>'LOE Breakdown by Year'!I162</f>
        <v>0.1</v>
      </c>
      <c r="Q423" s="44">
        <f t="shared" si="310"/>
        <v>12</v>
      </c>
      <c r="R423" s="44">
        <f t="shared" si="317"/>
        <v>2083.7249999999999</v>
      </c>
      <c r="S423" s="115">
        <f>'LOE Breakdown by Year'!I208</f>
        <v>0.1</v>
      </c>
      <c r="T423" s="44">
        <f t="shared" si="311"/>
        <v>12</v>
      </c>
      <c r="U423" s="44">
        <f t="shared" si="318"/>
        <v>2187.9112500000001</v>
      </c>
      <c r="V423" s="115">
        <f>'LOE Breakdown by Year'!I254</f>
        <v>0.1</v>
      </c>
      <c r="W423" s="44">
        <f t="shared" si="312"/>
        <v>8</v>
      </c>
      <c r="X423" s="44">
        <f t="shared" si="319"/>
        <v>1531.5378750000002</v>
      </c>
      <c r="Y423" s="44">
        <f t="shared" si="320"/>
        <v>10577.674125</v>
      </c>
      <c r="Z423" s="44">
        <v>0</v>
      </c>
      <c r="AA423" s="44">
        <f t="shared" si="321"/>
        <v>10577.674125</v>
      </c>
    </row>
    <row r="424" spans="1:27">
      <c r="A424" s="595" t="s">
        <v>992</v>
      </c>
      <c r="B424" s="595">
        <v>70000</v>
      </c>
      <c r="C424" s="595" t="s">
        <v>747</v>
      </c>
      <c r="D424" s="8" t="str">
        <f t="shared" si="306"/>
        <v>Education &amp; Community Engagement Officer</v>
      </c>
      <c r="E424" s="115">
        <f>'LOE Breakdown by Year'!I25</f>
        <v>0.1</v>
      </c>
      <c r="F424" s="50" t="s">
        <v>100</v>
      </c>
      <c r="G424" s="44">
        <f t="shared" si="307"/>
        <v>3</v>
      </c>
      <c r="H424" s="44">
        <f t="shared" si="307"/>
        <v>1000</v>
      </c>
      <c r="I424" s="44">
        <f t="shared" si="314"/>
        <v>300</v>
      </c>
      <c r="J424" s="115">
        <f>'LOE Breakdown by Year'!I71</f>
        <v>0.1</v>
      </c>
      <c r="K424" s="44">
        <f t="shared" si="308"/>
        <v>12</v>
      </c>
      <c r="L424" s="44">
        <f t="shared" si="315"/>
        <v>1260</v>
      </c>
      <c r="M424" s="115">
        <f>'LOE Breakdown by Year'!I117</f>
        <v>0.1</v>
      </c>
      <c r="N424" s="44">
        <f t="shared" si="309"/>
        <v>12</v>
      </c>
      <c r="O424" s="44">
        <f t="shared" si="316"/>
        <v>1323</v>
      </c>
      <c r="P424" s="115">
        <f>'LOE Breakdown by Year'!I163</f>
        <v>0.1</v>
      </c>
      <c r="Q424" s="44">
        <f t="shared" si="310"/>
        <v>12</v>
      </c>
      <c r="R424" s="44">
        <f t="shared" si="317"/>
        <v>1389.15</v>
      </c>
      <c r="S424" s="115">
        <f>'LOE Breakdown by Year'!I209</f>
        <v>0.1</v>
      </c>
      <c r="T424" s="44">
        <f t="shared" si="311"/>
        <v>12</v>
      </c>
      <c r="U424" s="44">
        <f t="shared" si="318"/>
        <v>1458.6075000000001</v>
      </c>
      <c r="V424" s="115">
        <f>'LOE Breakdown by Year'!I255</f>
        <v>0.1</v>
      </c>
      <c r="W424" s="44">
        <f t="shared" si="312"/>
        <v>0</v>
      </c>
      <c r="X424" s="44">
        <f t="shared" si="319"/>
        <v>0</v>
      </c>
      <c r="Y424" s="44">
        <f t="shared" si="320"/>
        <v>5730.7574999999997</v>
      </c>
      <c r="Z424" s="44">
        <v>0</v>
      </c>
      <c r="AA424" s="44">
        <f t="shared" si="321"/>
        <v>5730.7574999999997</v>
      </c>
    </row>
    <row r="425" spans="1:27">
      <c r="A425" s="595" t="s">
        <v>993</v>
      </c>
      <c r="B425" s="595">
        <v>70000</v>
      </c>
      <c r="C425" s="595" t="s">
        <v>747</v>
      </c>
      <c r="D425" s="8" t="str">
        <f t="shared" si="306"/>
        <v>Private Sector Specialist</v>
      </c>
      <c r="E425" s="115">
        <f>'LOE Breakdown by Year'!I26</f>
        <v>0.05</v>
      </c>
      <c r="F425" s="50" t="s">
        <v>100</v>
      </c>
      <c r="G425" s="44">
        <f t="shared" si="307"/>
        <v>9</v>
      </c>
      <c r="H425" s="44">
        <f t="shared" si="307"/>
        <v>2000</v>
      </c>
      <c r="I425" s="44">
        <f t="shared" si="314"/>
        <v>900</v>
      </c>
      <c r="J425" s="115">
        <f>'LOE Breakdown by Year'!I72</f>
        <v>0.05</v>
      </c>
      <c r="K425" s="44">
        <f t="shared" si="308"/>
        <v>12</v>
      </c>
      <c r="L425" s="44">
        <f t="shared" si="315"/>
        <v>1260</v>
      </c>
      <c r="M425" s="115">
        <f>'LOE Breakdown by Year'!I118</f>
        <v>0.05</v>
      </c>
      <c r="N425" s="44">
        <f t="shared" si="309"/>
        <v>12</v>
      </c>
      <c r="O425" s="44">
        <f t="shared" si="316"/>
        <v>1323</v>
      </c>
      <c r="P425" s="115">
        <f>'LOE Breakdown by Year'!I164</f>
        <v>0.05</v>
      </c>
      <c r="Q425" s="44">
        <f t="shared" si="310"/>
        <v>12</v>
      </c>
      <c r="R425" s="44">
        <f t="shared" si="317"/>
        <v>1389.15</v>
      </c>
      <c r="S425" s="115">
        <f>'LOE Breakdown by Year'!I210</f>
        <v>0.05</v>
      </c>
      <c r="T425" s="44">
        <f t="shared" si="311"/>
        <v>12</v>
      </c>
      <c r="U425" s="44">
        <f t="shared" si="318"/>
        <v>1458.6075000000001</v>
      </c>
      <c r="V425" s="115">
        <f>'LOE Breakdown by Year'!I256</f>
        <v>0.05</v>
      </c>
      <c r="W425" s="44">
        <f t="shared" si="312"/>
        <v>6</v>
      </c>
      <c r="X425" s="44">
        <f t="shared" si="319"/>
        <v>765.76893750000011</v>
      </c>
      <c r="Y425" s="44">
        <f t="shared" si="320"/>
        <v>7096.5264374999997</v>
      </c>
      <c r="Z425" s="44">
        <v>0</v>
      </c>
      <c r="AA425" s="44">
        <f t="shared" si="321"/>
        <v>7096.5264374999997</v>
      </c>
    </row>
    <row r="426" spans="1:27" hidden="1">
      <c r="A426" s="595" t="s">
        <v>994</v>
      </c>
      <c r="B426" s="595">
        <v>70000</v>
      </c>
      <c r="C426" s="595" t="s">
        <v>747</v>
      </c>
      <c r="D426" s="8" t="str">
        <f t="shared" si="306"/>
        <v xml:space="preserve">Key Personnel: M&amp;E Director </v>
      </c>
      <c r="E426" s="115">
        <f>'LOE Breakdown by Year'!I27</f>
        <v>0</v>
      </c>
      <c r="F426" s="50" t="s">
        <v>100</v>
      </c>
      <c r="G426" s="44">
        <f t="shared" si="307"/>
        <v>11</v>
      </c>
      <c r="H426" s="44">
        <f t="shared" si="307"/>
        <v>4583.333333333333</v>
      </c>
      <c r="I426" s="44">
        <f t="shared" si="314"/>
        <v>0</v>
      </c>
      <c r="J426" s="115">
        <f>'LOE Breakdown by Year'!I73</f>
        <v>0</v>
      </c>
      <c r="K426" s="44">
        <f t="shared" si="308"/>
        <v>12</v>
      </c>
      <c r="L426" s="44">
        <f t="shared" si="315"/>
        <v>0</v>
      </c>
      <c r="M426" s="115">
        <f>'LOE Breakdown by Year'!I119</f>
        <v>0</v>
      </c>
      <c r="N426" s="44">
        <f t="shared" si="309"/>
        <v>12</v>
      </c>
      <c r="O426" s="44">
        <f t="shared" si="316"/>
        <v>0</v>
      </c>
      <c r="P426" s="115">
        <f>'LOE Breakdown by Year'!I165</f>
        <v>0</v>
      </c>
      <c r="Q426" s="44">
        <f t="shared" si="310"/>
        <v>12</v>
      </c>
      <c r="R426" s="44">
        <f t="shared" si="317"/>
        <v>0</v>
      </c>
      <c r="S426" s="115">
        <f>'LOE Breakdown by Year'!I211</f>
        <v>0</v>
      </c>
      <c r="T426" s="44">
        <f t="shared" si="311"/>
        <v>12</v>
      </c>
      <c r="U426" s="44">
        <f t="shared" si="318"/>
        <v>0</v>
      </c>
      <c r="V426" s="115">
        <f>'LOE Breakdown by Year'!I257</f>
        <v>0</v>
      </c>
      <c r="W426" s="44">
        <f t="shared" si="312"/>
        <v>12</v>
      </c>
      <c r="X426" s="44">
        <f t="shared" si="319"/>
        <v>0</v>
      </c>
      <c r="Y426" s="44">
        <f t="shared" si="320"/>
        <v>0</v>
      </c>
      <c r="Z426" s="44">
        <v>0</v>
      </c>
      <c r="AA426" s="44">
        <f t="shared" si="321"/>
        <v>0</v>
      </c>
    </row>
    <row r="427" spans="1:27" hidden="1">
      <c r="A427" s="595" t="s">
        <v>995</v>
      </c>
      <c r="B427" s="595">
        <v>70000</v>
      </c>
      <c r="C427" s="595" t="s">
        <v>747</v>
      </c>
      <c r="D427" s="8" t="str">
        <f t="shared" si="306"/>
        <v>M&amp;E Specialist</v>
      </c>
      <c r="E427" s="115">
        <f>'LOE Breakdown by Year'!I28</f>
        <v>0</v>
      </c>
      <c r="F427" s="50" t="s">
        <v>100</v>
      </c>
      <c r="G427" s="44">
        <f t="shared" si="307"/>
        <v>6</v>
      </c>
      <c r="H427" s="44">
        <f t="shared" si="307"/>
        <v>2000</v>
      </c>
      <c r="I427" s="44">
        <f t="shared" si="314"/>
        <v>0</v>
      </c>
      <c r="J427" s="115">
        <f>'LOE Breakdown by Year'!I74</f>
        <v>0</v>
      </c>
      <c r="K427" s="44">
        <f t="shared" si="308"/>
        <v>12</v>
      </c>
      <c r="L427" s="44">
        <f t="shared" si="315"/>
        <v>0</v>
      </c>
      <c r="M427" s="115">
        <f>'LOE Breakdown by Year'!I120</f>
        <v>0</v>
      </c>
      <c r="N427" s="44">
        <f t="shared" si="309"/>
        <v>12</v>
      </c>
      <c r="O427" s="44">
        <f t="shared" si="316"/>
        <v>0</v>
      </c>
      <c r="P427" s="115">
        <f>'LOE Breakdown by Year'!I166</f>
        <v>0</v>
      </c>
      <c r="Q427" s="44">
        <f t="shared" si="310"/>
        <v>12</v>
      </c>
      <c r="R427" s="44">
        <f t="shared" si="317"/>
        <v>0</v>
      </c>
      <c r="S427" s="115">
        <f>'LOE Breakdown by Year'!I212</f>
        <v>0</v>
      </c>
      <c r="T427" s="44">
        <f t="shared" si="311"/>
        <v>12</v>
      </c>
      <c r="U427" s="44">
        <f t="shared" si="318"/>
        <v>0</v>
      </c>
      <c r="V427" s="115">
        <f>'LOE Breakdown by Year'!I258</f>
        <v>0</v>
      </c>
      <c r="W427" s="44">
        <f t="shared" si="312"/>
        <v>11</v>
      </c>
      <c r="X427" s="44">
        <f t="shared" si="319"/>
        <v>0</v>
      </c>
      <c r="Y427" s="44">
        <f t="shared" si="320"/>
        <v>0</v>
      </c>
      <c r="Z427" s="44">
        <v>0</v>
      </c>
      <c r="AA427" s="44">
        <f t="shared" si="321"/>
        <v>0</v>
      </c>
    </row>
    <row r="428" spans="1:27" hidden="1">
      <c r="A428" s="595" t="s">
        <v>996</v>
      </c>
      <c r="B428" s="595">
        <v>70000</v>
      </c>
      <c r="C428" s="595" t="s">
        <v>747</v>
      </c>
      <c r="D428" s="8" t="str">
        <f t="shared" si="306"/>
        <v>M&amp;E Officer</v>
      </c>
      <c r="E428" s="115">
        <f>'LOE Breakdown by Year'!I29</f>
        <v>0</v>
      </c>
      <c r="F428" s="50" t="s">
        <v>100</v>
      </c>
      <c r="G428" s="44">
        <f t="shared" si="307"/>
        <v>2</v>
      </c>
      <c r="H428" s="44">
        <f t="shared" si="307"/>
        <v>1250</v>
      </c>
      <c r="I428" s="44">
        <f t="shared" si="314"/>
        <v>0</v>
      </c>
      <c r="J428" s="115">
        <f>'LOE Breakdown by Year'!I75</f>
        <v>0</v>
      </c>
      <c r="K428" s="44">
        <f t="shared" si="308"/>
        <v>12</v>
      </c>
      <c r="L428" s="44">
        <f t="shared" si="315"/>
        <v>0</v>
      </c>
      <c r="M428" s="115">
        <f>'LOE Breakdown by Year'!I121</f>
        <v>0</v>
      </c>
      <c r="N428" s="44">
        <f t="shared" si="309"/>
        <v>12</v>
      </c>
      <c r="O428" s="44">
        <f t="shared" si="316"/>
        <v>0</v>
      </c>
      <c r="P428" s="115">
        <f>'LOE Breakdown by Year'!I167</f>
        <v>0</v>
      </c>
      <c r="Q428" s="44">
        <f t="shared" si="310"/>
        <v>12</v>
      </c>
      <c r="R428" s="44">
        <f t="shared" si="317"/>
        <v>0</v>
      </c>
      <c r="S428" s="115">
        <f>'LOE Breakdown by Year'!I213</f>
        <v>0</v>
      </c>
      <c r="T428" s="44">
        <f t="shared" si="311"/>
        <v>12</v>
      </c>
      <c r="U428" s="44">
        <f t="shared" si="318"/>
        <v>0</v>
      </c>
      <c r="V428" s="115">
        <f>'LOE Breakdown by Year'!I259</f>
        <v>0</v>
      </c>
      <c r="W428" s="44">
        <f t="shared" si="312"/>
        <v>3</v>
      </c>
      <c r="X428" s="44">
        <f t="shared" si="319"/>
        <v>0</v>
      </c>
      <c r="Y428" s="44">
        <f t="shared" si="320"/>
        <v>0</v>
      </c>
      <c r="Z428" s="44">
        <v>0</v>
      </c>
      <c r="AA428" s="44">
        <f t="shared" si="321"/>
        <v>0</v>
      </c>
    </row>
    <row r="429" spans="1:27" hidden="1">
      <c r="A429" s="595" t="s">
        <v>997</v>
      </c>
      <c r="B429" s="595">
        <v>70000</v>
      </c>
      <c r="C429" s="595" t="s">
        <v>747</v>
      </c>
      <c r="D429" s="8" t="str">
        <f t="shared" si="306"/>
        <v>Supply Chain Manager</v>
      </c>
      <c r="E429" s="115">
        <f>'LOE Breakdown by Year'!I30</f>
        <v>0</v>
      </c>
      <c r="F429" s="50" t="s">
        <v>100</v>
      </c>
      <c r="G429" s="44">
        <f t="shared" si="307"/>
        <v>11</v>
      </c>
      <c r="H429" s="44">
        <f t="shared" si="307"/>
        <v>5000</v>
      </c>
      <c r="I429" s="44">
        <f t="shared" si="314"/>
        <v>0</v>
      </c>
      <c r="J429" s="115">
        <f>'LOE Breakdown by Year'!I76</f>
        <v>0</v>
      </c>
      <c r="K429" s="44">
        <f t="shared" si="308"/>
        <v>12</v>
      </c>
      <c r="L429" s="44">
        <f t="shared" si="315"/>
        <v>0</v>
      </c>
      <c r="M429" s="115">
        <f>'LOE Breakdown by Year'!I122</f>
        <v>0</v>
      </c>
      <c r="N429" s="44">
        <f t="shared" si="309"/>
        <v>12</v>
      </c>
      <c r="O429" s="44">
        <f t="shared" si="316"/>
        <v>0</v>
      </c>
      <c r="P429" s="115">
        <f>'LOE Breakdown by Year'!I168</f>
        <v>0</v>
      </c>
      <c r="Q429" s="44">
        <f t="shared" si="310"/>
        <v>12</v>
      </c>
      <c r="R429" s="44">
        <f t="shared" si="317"/>
        <v>0</v>
      </c>
      <c r="S429" s="115">
        <f>'LOE Breakdown by Year'!I214</f>
        <v>0</v>
      </c>
      <c r="T429" s="44">
        <f t="shared" si="311"/>
        <v>12</v>
      </c>
      <c r="U429" s="44">
        <f t="shared" si="318"/>
        <v>0</v>
      </c>
      <c r="V429" s="115">
        <f>'LOE Breakdown by Year'!I260</f>
        <v>0</v>
      </c>
      <c r="W429" s="44">
        <f t="shared" si="312"/>
        <v>8</v>
      </c>
      <c r="X429" s="44">
        <f t="shared" si="319"/>
        <v>0</v>
      </c>
      <c r="Y429" s="44">
        <f t="shared" si="320"/>
        <v>0</v>
      </c>
      <c r="Z429" s="44">
        <v>0</v>
      </c>
      <c r="AA429" s="44">
        <f t="shared" si="321"/>
        <v>0</v>
      </c>
    </row>
    <row r="430" spans="1:27" hidden="1">
      <c r="A430" s="595" t="s">
        <v>998</v>
      </c>
      <c r="B430" s="595">
        <v>70000</v>
      </c>
      <c r="C430" s="595" t="s">
        <v>747</v>
      </c>
      <c r="D430" s="8" t="str">
        <f t="shared" si="306"/>
        <v>In-Country Logistics Specialist</v>
      </c>
      <c r="E430" s="115">
        <f>'LOE Breakdown by Year'!I31</f>
        <v>0</v>
      </c>
      <c r="F430" s="50" t="s">
        <v>100</v>
      </c>
      <c r="G430" s="44">
        <f t="shared" ref="G430:H443" si="322">G32</f>
        <v>9</v>
      </c>
      <c r="H430" s="44">
        <f t="shared" si="322"/>
        <v>2000</v>
      </c>
      <c r="I430" s="44">
        <f t="shared" si="314"/>
        <v>0</v>
      </c>
      <c r="J430" s="115">
        <f>'LOE Breakdown by Year'!I77</f>
        <v>0</v>
      </c>
      <c r="K430" s="44">
        <f t="shared" si="308"/>
        <v>12</v>
      </c>
      <c r="L430" s="44">
        <f t="shared" si="315"/>
        <v>0</v>
      </c>
      <c r="M430" s="115">
        <f>'LOE Breakdown by Year'!I123</f>
        <v>0</v>
      </c>
      <c r="N430" s="44">
        <f t="shared" si="309"/>
        <v>12</v>
      </c>
      <c r="O430" s="44">
        <f t="shared" si="316"/>
        <v>0</v>
      </c>
      <c r="P430" s="115">
        <f>'LOE Breakdown by Year'!I169</f>
        <v>0</v>
      </c>
      <c r="Q430" s="44">
        <f t="shared" si="310"/>
        <v>12</v>
      </c>
      <c r="R430" s="44">
        <f t="shared" si="317"/>
        <v>0</v>
      </c>
      <c r="S430" s="115">
        <f>'LOE Breakdown by Year'!I215</f>
        <v>0</v>
      </c>
      <c r="T430" s="44">
        <f t="shared" si="311"/>
        <v>12</v>
      </c>
      <c r="U430" s="44">
        <f t="shared" si="318"/>
        <v>0</v>
      </c>
      <c r="V430" s="115">
        <f>'LOE Breakdown by Year'!I261</f>
        <v>0</v>
      </c>
      <c r="W430" s="44">
        <f t="shared" si="312"/>
        <v>8</v>
      </c>
      <c r="X430" s="44">
        <f t="shared" si="319"/>
        <v>0</v>
      </c>
      <c r="Y430" s="44">
        <f t="shared" si="320"/>
        <v>0</v>
      </c>
      <c r="Z430" s="44">
        <v>0</v>
      </c>
      <c r="AA430" s="44">
        <f t="shared" si="321"/>
        <v>0</v>
      </c>
    </row>
    <row r="431" spans="1:27" hidden="1">
      <c r="A431" s="595" t="s">
        <v>999</v>
      </c>
      <c r="B431" s="595">
        <v>70000</v>
      </c>
      <c r="C431" s="595" t="s">
        <v>747</v>
      </c>
      <c r="D431" s="8" t="str">
        <f t="shared" si="306"/>
        <v>US Commodity Logistics Specialist</v>
      </c>
      <c r="E431" s="115">
        <f>'LOE Breakdown by Year'!I32</f>
        <v>0</v>
      </c>
      <c r="F431" s="50" t="s">
        <v>100</v>
      </c>
      <c r="G431" s="44">
        <f t="shared" si="322"/>
        <v>9</v>
      </c>
      <c r="H431" s="44">
        <f t="shared" si="322"/>
        <v>2000</v>
      </c>
      <c r="I431" s="44">
        <f t="shared" si="314"/>
        <v>0</v>
      </c>
      <c r="J431" s="115">
        <f>'LOE Breakdown by Year'!I78</f>
        <v>0</v>
      </c>
      <c r="K431" s="44">
        <f t="shared" si="308"/>
        <v>12</v>
      </c>
      <c r="L431" s="44">
        <f t="shared" si="315"/>
        <v>0</v>
      </c>
      <c r="M431" s="115">
        <f>'LOE Breakdown by Year'!I124</f>
        <v>0</v>
      </c>
      <c r="N431" s="44">
        <f t="shared" si="309"/>
        <v>12</v>
      </c>
      <c r="O431" s="44">
        <f t="shared" si="316"/>
        <v>0</v>
      </c>
      <c r="P431" s="115">
        <f>'LOE Breakdown by Year'!I170</f>
        <v>0</v>
      </c>
      <c r="Q431" s="44">
        <f t="shared" si="310"/>
        <v>12</v>
      </c>
      <c r="R431" s="44">
        <f t="shared" si="317"/>
        <v>0</v>
      </c>
      <c r="S431" s="115">
        <f>'LOE Breakdown by Year'!I216</f>
        <v>0</v>
      </c>
      <c r="T431" s="44">
        <f t="shared" si="311"/>
        <v>12</v>
      </c>
      <c r="U431" s="44">
        <f t="shared" si="318"/>
        <v>0</v>
      </c>
      <c r="V431" s="115">
        <f>'LOE Breakdown by Year'!I262</f>
        <v>0</v>
      </c>
      <c r="W431" s="44">
        <f t="shared" si="312"/>
        <v>8</v>
      </c>
      <c r="X431" s="44">
        <f t="shared" si="319"/>
        <v>0</v>
      </c>
      <c r="Y431" s="44">
        <f t="shared" si="320"/>
        <v>0</v>
      </c>
      <c r="Z431" s="44">
        <v>0</v>
      </c>
      <c r="AA431" s="44">
        <f t="shared" si="321"/>
        <v>0</v>
      </c>
    </row>
    <row r="432" spans="1:27" hidden="1">
      <c r="A432" s="595" t="s">
        <v>1000</v>
      </c>
      <c r="B432" s="595">
        <v>70000</v>
      </c>
      <c r="C432" s="595" t="s">
        <v>747</v>
      </c>
      <c r="D432" s="8" t="str">
        <f t="shared" si="306"/>
        <v>Warehouse Manager</v>
      </c>
      <c r="E432" s="115">
        <f>'LOE Breakdown by Year'!I33</f>
        <v>0</v>
      </c>
      <c r="F432" s="50" t="s">
        <v>100</v>
      </c>
      <c r="G432" s="44">
        <f t="shared" si="322"/>
        <v>8</v>
      </c>
      <c r="H432" s="44">
        <f t="shared" si="322"/>
        <v>1250</v>
      </c>
      <c r="I432" s="44">
        <f t="shared" si="314"/>
        <v>0</v>
      </c>
      <c r="J432" s="115">
        <f>'LOE Breakdown by Year'!I79</f>
        <v>0</v>
      </c>
      <c r="K432" s="44">
        <f t="shared" si="308"/>
        <v>12</v>
      </c>
      <c r="L432" s="44">
        <f t="shared" si="315"/>
        <v>0</v>
      </c>
      <c r="M432" s="115">
        <f>'LOE Breakdown by Year'!I125</f>
        <v>0</v>
      </c>
      <c r="N432" s="44">
        <f t="shared" si="309"/>
        <v>12</v>
      </c>
      <c r="O432" s="44">
        <f t="shared" si="316"/>
        <v>0</v>
      </c>
      <c r="P432" s="115">
        <f>'LOE Breakdown by Year'!I171</f>
        <v>0</v>
      </c>
      <c r="Q432" s="44">
        <f t="shared" si="310"/>
        <v>12</v>
      </c>
      <c r="R432" s="44">
        <f t="shared" si="317"/>
        <v>0</v>
      </c>
      <c r="S432" s="115">
        <f>'LOE Breakdown by Year'!I217</f>
        <v>0</v>
      </c>
      <c r="T432" s="44">
        <f t="shared" si="311"/>
        <v>12</v>
      </c>
      <c r="U432" s="44">
        <f t="shared" si="318"/>
        <v>0</v>
      </c>
      <c r="V432" s="115">
        <f>'LOE Breakdown by Year'!I263</f>
        <v>0</v>
      </c>
      <c r="W432" s="44">
        <f t="shared" si="312"/>
        <v>8</v>
      </c>
      <c r="X432" s="44">
        <f t="shared" si="319"/>
        <v>0</v>
      </c>
      <c r="Y432" s="44">
        <f t="shared" si="320"/>
        <v>0</v>
      </c>
      <c r="Z432" s="44">
        <v>0</v>
      </c>
      <c r="AA432" s="44">
        <f t="shared" si="321"/>
        <v>0</v>
      </c>
    </row>
    <row r="433" spans="1:27" hidden="1">
      <c r="A433" s="595" t="s">
        <v>1001</v>
      </c>
      <c r="B433" s="595">
        <v>70000</v>
      </c>
      <c r="C433" s="595" t="s">
        <v>747</v>
      </c>
      <c r="D433" s="8" t="str">
        <f t="shared" si="306"/>
        <v>Warehouse Officer - (2 Individuals)</v>
      </c>
      <c r="E433" s="115">
        <f>'LOE Breakdown by Year'!I34</f>
        <v>0</v>
      </c>
      <c r="F433" s="50" t="s">
        <v>100</v>
      </c>
      <c r="G433" s="44">
        <f t="shared" si="322"/>
        <v>8</v>
      </c>
      <c r="H433" s="44">
        <f t="shared" si="322"/>
        <v>1000</v>
      </c>
      <c r="I433" s="44">
        <f t="shared" si="314"/>
        <v>0</v>
      </c>
      <c r="J433" s="115">
        <f>'LOE Breakdown by Year'!I80</f>
        <v>0</v>
      </c>
      <c r="K433" s="44">
        <f t="shared" si="308"/>
        <v>24</v>
      </c>
      <c r="L433" s="44">
        <f t="shared" si="315"/>
        <v>0</v>
      </c>
      <c r="M433" s="115">
        <f>'LOE Breakdown by Year'!I126</f>
        <v>0</v>
      </c>
      <c r="N433" s="44">
        <f t="shared" si="309"/>
        <v>24</v>
      </c>
      <c r="O433" s="44">
        <f t="shared" si="316"/>
        <v>0</v>
      </c>
      <c r="P433" s="115">
        <f>'LOE Breakdown by Year'!I172</f>
        <v>0</v>
      </c>
      <c r="Q433" s="44">
        <f t="shared" si="310"/>
        <v>24</v>
      </c>
      <c r="R433" s="44">
        <f t="shared" si="317"/>
        <v>0</v>
      </c>
      <c r="S433" s="115">
        <f>'LOE Breakdown by Year'!I218</f>
        <v>0</v>
      </c>
      <c r="T433" s="44">
        <f t="shared" si="311"/>
        <v>24</v>
      </c>
      <c r="U433" s="44">
        <f t="shared" si="318"/>
        <v>0</v>
      </c>
      <c r="V433" s="115">
        <f>'LOE Breakdown by Year'!I264</f>
        <v>0</v>
      </c>
      <c r="W433" s="44">
        <f t="shared" si="312"/>
        <v>8</v>
      </c>
      <c r="X433" s="44">
        <f t="shared" si="319"/>
        <v>0</v>
      </c>
      <c r="Y433" s="44">
        <f t="shared" si="320"/>
        <v>0</v>
      </c>
      <c r="Z433" s="44">
        <v>0</v>
      </c>
      <c r="AA433" s="44">
        <f t="shared" si="321"/>
        <v>0</v>
      </c>
    </row>
    <row r="434" spans="1:27" hidden="1">
      <c r="A434" s="595" t="s">
        <v>1002</v>
      </c>
      <c r="B434" s="595">
        <v>70000</v>
      </c>
      <c r="C434" s="595" t="s">
        <v>747</v>
      </c>
      <c r="D434" s="8" t="str">
        <f t="shared" si="306"/>
        <v xml:space="preserve">LRP Technical Specialist </v>
      </c>
      <c r="E434" s="115">
        <f>'LOE Breakdown by Year'!I35</f>
        <v>0</v>
      </c>
      <c r="F434" s="50" t="s">
        <v>100</v>
      </c>
      <c r="G434" s="44">
        <f t="shared" si="322"/>
        <v>8</v>
      </c>
      <c r="H434" s="44">
        <f t="shared" si="322"/>
        <v>1500</v>
      </c>
      <c r="I434" s="44">
        <f t="shared" si="314"/>
        <v>0</v>
      </c>
      <c r="J434" s="115">
        <f>'LOE Breakdown by Year'!I81</f>
        <v>0</v>
      </c>
      <c r="K434" s="44">
        <f t="shared" si="308"/>
        <v>12</v>
      </c>
      <c r="L434" s="44">
        <f t="shared" si="315"/>
        <v>0</v>
      </c>
      <c r="M434" s="115">
        <f>'LOE Breakdown by Year'!I127</f>
        <v>0</v>
      </c>
      <c r="N434" s="44">
        <f t="shared" si="309"/>
        <v>12</v>
      </c>
      <c r="O434" s="44">
        <f t="shared" si="316"/>
        <v>0</v>
      </c>
      <c r="P434" s="115">
        <f>'LOE Breakdown by Year'!I173</f>
        <v>0</v>
      </c>
      <c r="Q434" s="44">
        <f t="shared" si="310"/>
        <v>12</v>
      </c>
      <c r="R434" s="44">
        <f t="shared" si="317"/>
        <v>0</v>
      </c>
      <c r="S434" s="115">
        <f>'LOE Breakdown by Year'!I219</f>
        <v>0</v>
      </c>
      <c r="T434" s="44">
        <f t="shared" si="311"/>
        <v>12</v>
      </c>
      <c r="U434" s="44">
        <f t="shared" si="318"/>
        <v>0</v>
      </c>
      <c r="V434" s="115">
        <f>'LOE Breakdown by Year'!I265</f>
        <v>0</v>
      </c>
      <c r="W434" s="44">
        <f t="shared" si="312"/>
        <v>0</v>
      </c>
      <c r="X434" s="44">
        <f t="shared" si="319"/>
        <v>0</v>
      </c>
      <c r="Y434" s="44">
        <f t="shared" si="320"/>
        <v>0</v>
      </c>
      <c r="Z434" s="44">
        <v>0</v>
      </c>
      <c r="AA434" s="44">
        <f t="shared" si="321"/>
        <v>0</v>
      </c>
    </row>
    <row r="435" spans="1:27" hidden="1">
      <c r="A435" s="595" t="s">
        <v>1003</v>
      </c>
      <c r="B435" s="595">
        <v>70000</v>
      </c>
      <c r="C435" s="595" t="s">
        <v>747</v>
      </c>
      <c r="D435" s="8" t="str">
        <f t="shared" si="306"/>
        <v>Finance &amp; Administration Director</v>
      </c>
      <c r="E435" s="115">
        <f>'LOE Breakdown by Year'!I36</f>
        <v>0</v>
      </c>
      <c r="F435" s="50" t="s">
        <v>100</v>
      </c>
      <c r="G435" s="44">
        <f t="shared" si="322"/>
        <v>9</v>
      </c>
      <c r="H435" s="44">
        <f t="shared" si="322"/>
        <v>5000</v>
      </c>
      <c r="I435" s="44">
        <f t="shared" si="314"/>
        <v>0</v>
      </c>
      <c r="J435" s="115">
        <f>'LOE Breakdown by Year'!I82</f>
        <v>0</v>
      </c>
      <c r="K435" s="44">
        <f t="shared" si="308"/>
        <v>12</v>
      </c>
      <c r="L435" s="44">
        <f t="shared" si="315"/>
        <v>0</v>
      </c>
      <c r="M435" s="115">
        <f>'LOE Breakdown by Year'!I128</f>
        <v>0</v>
      </c>
      <c r="N435" s="44">
        <f t="shared" si="309"/>
        <v>12</v>
      </c>
      <c r="O435" s="44">
        <f t="shared" si="316"/>
        <v>0</v>
      </c>
      <c r="P435" s="115">
        <f>'LOE Breakdown by Year'!I174</f>
        <v>0</v>
      </c>
      <c r="Q435" s="44">
        <f t="shared" si="310"/>
        <v>12</v>
      </c>
      <c r="R435" s="44">
        <f t="shared" si="317"/>
        <v>0</v>
      </c>
      <c r="S435" s="115">
        <f>'LOE Breakdown by Year'!I220</f>
        <v>0</v>
      </c>
      <c r="T435" s="44">
        <f t="shared" si="311"/>
        <v>12</v>
      </c>
      <c r="U435" s="44">
        <f t="shared" si="318"/>
        <v>0</v>
      </c>
      <c r="V435" s="115">
        <f>'LOE Breakdown by Year'!I266</f>
        <v>0</v>
      </c>
      <c r="W435" s="44">
        <f t="shared" si="312"/>
        <v>12</v>
      </c>
      <c r="X435" s="44">
        <f t="shared" si="319"/>
        <v>0</v>
      </c>
      <c r="Y435" s="44">
        <f t="shared" si="320"/>
        <v>0</v>
      </c>
      <c r="Z435" s="44">
        <v>0</v>
      </c>
      <c r="AA435" s="44">
        <f t="shared" si="321"/>
        <v>0</v>
      </c>
    </row>
    <row r="436" spans="1:27" hidden="1">
      <c r="A436" s="595" t="s">
        <v>1004</v>
      </c>
      <c r="B436" s="595">
        <v>70000</v>
      </c>
      <c r="C436" s="595" t="s">
        <v>747</v>
      </c>
      <c r="D436" s="8" t="str">
        <f t="shared" si="306"/>
        <v>Contracts &amp; Compliance Manager</v>
      </c>
      <c r="E436" s="115">
        <f>'LOE Breakdown by Year'!I37</f>
        <v>0</v>
      </c>
      <c r="F436" s="50" t="s">
        <v>100</v>
      </c>
      <c r="G436" s="44">
        <f t="shared" si="322"/>
        <v>9</v>
      </c>
      <c r="H436" s="44">
        <f t="shared" si="322"/>
        <v>2633.3333333333335</v>
      </c>
      <c r="I436" s="44">
        <f t="shared" si="314"/>
        <v>0</v>
      </c>
      <c r="J436" s="115">
        <f>'LOE Breakdown by Year'!I83</f>
        <v>0</v>
      </c>
      <c r="K436" s="44">
        <f t="shared" si="308"/>
        <v>12</v>
      </c>
      <c r="L436" s="44">
        <f t="shared" si="315"/>
        <v>0</v>
      </c>
      <c r="M436" s="115">
        <f>'LOE Breakdown by Year'!I129</f>
        <v>0</v>
      </c>
      <c r="N436" s="44">
        <f t="shared" si="309"/>
        <v>12</v>
      </c>
      <c r="O436" s="44">
        <f t="shared" si="316"/>
        <v>0</v>
      </c>
      <c r="P436" s="115">
        <f>'LOE Breakdown by Year'!I175</f>
        <v>0</v>
      </c>
      <c r="Q436" s="44">
        <f t="shared" si="310"/>
        <v>12</v>
      </c>
      <c r="R436" s="44">
        <f t="shared" si="317"/>
        <v>0</v>
      </c>
      <c r="S436" s="115">
        <f>'LOE Breakdown by Year'!I221</f>
        <v>0</v>
      </c>
      <c r="T436" s="44">
        <f t="shared" si="311"/>
        <v>12</v>
      </c>
      <c r="U436" s="44">
        <f t="shared" si="318"/>
        <v>0</v>
      </c>
      <c r="V436" s="115">
        <f>'LOE Breakdown by Year'!I267</f>
        <v>0</v>
      </c>
      <c r="W436" s="44">
        <f t="shared" si="312"/>
        <v>11</v>
      </c>
      <c r="X436" s="44">
        <f t="shared" si="319"/>
        <v>0</v>
      </c>
      <c r="Y436" s="44">
        <f t="shared" si="320"/>
        <v>0</v>
      </c>
      <c r="Z436" s="44">
        <v>0</v>
      </c>
      <c r="AA436" s="44">
        <f t="shared" si="321"/>
        <v>0</v>
      </c>
    </row>
    <row r="437" spans="1:27" hidden="1">
      <c r="A437" s="595" t="s">
        <v>1005</v>
      </c>
      <c r="B437" s="595">
        <v>70000</v>
      </c>
      <c r="C437" s="595" t="s">
        <v>747</v>
      </c>
      <c r="D437" s="8" t="str">
        <f t="shared" si="306"/>
        <v>Grants &amp; Procurement Specialist</v>
      </c>
      <c r="E437" s="115">
        <f>'LOE Breakdown by Year'!I38</f>
        <v>0</v>
      </c>
      <c r="F437" s="50" t="s">
        <v>100</v>
      </c>
      <c r="G437" s="44">
        <f t="shared" si="322"/>
        <v>6</v>
      </c>
      <c r="H437" s="44">
        <f t="shared" si="322"/>
        <v>1500</v>
      </c>
      <c r="I437" s="44">
        <f t="shared" si="314"/>
        <v>0</v>
      </c>
      <c r="J437" s="115">
        <f>'LOE Breakdown by Year'!I84</f>
        <v>0</v>
      </c>
      <c r="K437" s="44">
        <f t="shared" si="308"/>
        <v>12</v>
      </c>
      <c r="L437" s="44">
        <f t="shared" si="315"/>
        <v>0</v>
      </c>
      <c r="M437" s="115">
        <f>'LOE Breakdown by Year'!I130</f>
        <v>0</v>
      </c>
      <c r="N437" s="44">
        <f t="shared" si="309"/>
        <v>12</v>
      </c>
      <c r="O437" s="44">
        <f t="shared" si="316"/>
        <v>0</v>
      </c>
      <c r="P437" s="115">
        <f>'LOE Breakdown by Year'!I176</f>
        <v>0</v>
      </c>
      <c r="Q437" s="44">
        <f t="shared" si="310"/>
        <v>12</v>
      </c>
      <c r="R437" s="44">
        <f t="shared" si="317"/>
        <v>0</v>
      </c>
      <c r="S437" s="115">
        <f>'LOE Breakdown by Year'!I222</f>
        <v>0</v>
      </c>
      <c r="T437" s="44">
        <f t="shared" si="311"/>
        <v>12</v>
      </c>
      <c r="U437" s="44">
        <f t="shared" si="318"/>
        <v>0</v>
      </c>
      <c r="V437" s="115">
        <f>'LOE Breakdown by Year'!I268</f>
        <v>0</v>
      </c>
      <c r="W437" s="44">
        <f t="shared" si="312"/>
        <v>6</v>
      </c>
      <c r="X437" s="44">
        <f t="shared" si="319"/>
        <v>0</v>
      </c>
      <c r="Y437" s="44">
        <f t="shared" si="320"/>
        <v>0</v>
      </c>
      <c r="Z437" s="44">
        <v>0</v>
      </c>
      <c r="AA437" s="44">
        <f t="shared" si="321"/>
        <v>0</v>
      </c>
    </row>
    <row r="438" spans="1:27" hidden="1">
      <c r="A438" s="595" t="s">
        <v>1006</v>
      </c>
      <c r="B438" s="595">
        <v>70000</v>
      </c>
      <c r="C438" s="595" t="s">
        <v>747</v>
      </c>
      <c r="D438" s="8" t="str">
        <f t="shared" si="306"/>
        <v>Grants &amp; Procurement Officer</v>
      </c>
      <c r="E438" s="115">
        <f>'LOE Breakdown by Year'!I39</f>
        <v>0</v>
      </c>
      <c r="F438" s="50" t="s">
        <v>100</v>
      </c>
      <c r="G438" s="44">
        <f t="shared" si="322"/>
        <v>2</v>
      </c>
      <c r="H438" s="44">
        <f t="shared" si="322"/>
        <v>1000</v>
      </c>
      <c r="I438" s="44">
        <f t="shared" si="314"/>
        <v>0</v>
      </c>
      <c r="J438" s="115">
        <f>'LOE Breakdown by Year'!I85</f>
        <v>0</v>
      </c>
      <c r="K438" s="44">
        <f t="shared" si="308"/>
        <v>12</v>
      </c>
      <c r="L438" s="44">
        <f t="shared" si="315"/>
        <v>0</v>
      </c>
      <c r="M438" s="115">
        <f>'LOE Breakdown by Year'!I131</f>
        <v>0</v>
      </c>
      <c r="N438" s="44">
        <f t="shared" si="309"/>
        <v>12</v>
      </c>
      <c r="O438" s="44">
        <f t="shared" si="316"/>
        <v>0</v>
      </c>
      <c r="P438" s="115">
        <f>'LOE Breakdown by Year'!I177</f>
        <v>0</v>
      </c>
      <c r="Q438" s="44">
        <f t="shared" si="310"/>
        <v>12</v>
      </c>
      <c r="R438" s="44">
        <f t="shared" si="317"/>
        <v>0</v>
      </c>
      <c r="S438" s="115">
        <f>'LOE Breakdown by Year'!I223</f>
        <v>0</v>
      </c>
      <c r="T438" s="44">
        <f t="shared" si="311"/>
        <v>12</v>
      </c>
      <c r="U438" s="44">
        <f t="shared" si="318"/>
        <v>0</v>
      </c>
      <c r="V438" s="115">
        <f>'LOE Breakdown by Year'!I269</f>
        <v>0</v>
      </c>
      <c r="W438" s="44">
        <f t="shared" si="312"/>
        <v>3</v>
      </c>
      <c r="X438" s="44">
        <f t="shared" si="319"/>
        <v>0</v>
      </c>
      <c r="Y438" s="44">
        <f t="shared" si="320"/>
        <v>0</v>
      </c>
      <c r="Z438" s="44">
        <v>0</v>
      </c>
      <c r="AA438" s="44">
        <f t="shared" si="321"/>
        <v>0</v>
      </c>
    </row>
    <row r="439" spans="1:27" hidden="1">
      <c r="A439" s="595" t="s">
        <v>1007</v>
      </c>
      <c r="B439" s="595">
        <v>70000</v>
      </c>
      <c r="C439" s="595" t="s">
        <v>747</v>
      </c>
      <c r="D439" s="8" t="str">
        <f t="shared" si="306"/>
        <v>Finance Officer</v>
      </c>
      <c r="E439" s="115">
        <f>'LOE Breakdown by Year'!I40</f>
        <v>0</v>
      </c>
      <c r="F439" s="50" t="s">
        <v>100</v>
      </c>
      <c r="G439" s="44">
        <f t="shared" si="322"/>
        <v>9</v>
      </c>
      <c r="H439" s="44">
        <f t="shared" si="322"/>
        <v>1250</v>
      </c>
      <c r="I439" s="44">
        <f t="shared" si="314"/>
        <v>0</v>
      </c>
      <c r="J439" s="115">
        <f>'LOE Breakdown by Year'!I86</f>
        <v>0</v>
      </c>
      <c r="K439" s="44">
        <f t="shared" si="308"/>
        <v>12</v>
      </c>
      <c r="L439" s="44">
        <f t="shared" si="315"/>
        <v>0</v>
      </c>
      <c r="M439" s="115">
        <f>'LOE Breakdown by Year'!I132</f>
        <v>0</v>
      </c>
      <c r="N439" s="44">
        <f t="shared" si="309"/>
        <v>12</v>
      </c>
      <c r="O439" s="44">
        <f t="shared" si="316"/>
        <v>0</v>
      </c>
      <c r="P439" s="115">
        <f>'LOE Breakdown by Year'!I178</f>
        <v>0</v>
      </c>
      <c r="Q439" s="44">
        <f t="shared" si="310"/>
        <v>12</v>
      </c>
      <c r="R439" s="44">
        <f t="shared" si="317"/>
        <v>0</v>
      </c>
      <c r="S439" s="115">
        <f>'LOE Breakdown by Year'!I224</f>
        <v>0</v>
      </c>
      <c r="T439" s="44">
        <f t="shared" si="311"/>
        <v>12</v>
      </c>
      <c r="U439" s="44">
        <f t="shared" si="318"/>
        <v>0</v>
      </c>
      <c r="V439" s="115">
        <f>'LOE Breakdown by Year'!I270</f>
        <v>0</v>
      </c>
      <c r="W439" s="44">
        <f t="shared" si="312"/>
        <v>11</v>
      </c>
      <c r="X439" s="44">
        <f t="shared" si="319"/>
        <v>0</v>
      </c>
      <c r="Y439" s="44">
        <f t="shared" si="320"/>
        <v>0</v>
      </c>
      <c r="Z439" s="44">
        <v>0</v>
      </c>
      <c r="AA439" s="44">
        <f t="shared" si="321"/>
        <v>0</v>
      </c>
    </row>
    <row r="440" spans="1:27" hidden="1">
      <c r="A440" s="595" t="s">
        <v>1008</v>
      </c>
      <c r="B440" s="595">
        <v>70000</v>
      </c>
      <c r="C440" s="595" t="s">
        <v>747</v>
      </c>
      <c r="D440" s="8" t="str">
        <f t="shared" si="306"/>
        <v>Accountant</v>
      </c>
      <c r="E440" s="115">
        <f>'LOE Breakdown by Year'!I41</f>
        <v>0</v>
      </c>
      <c r="F440" s="50" t="s">
        <v>100</v>
      </c>
      <c r="G440" s="44">
        <f t="shared" si="322"/>
        <v>3</v>
      </c>
      <c r="H440" s="44">
        <f t="shared" si="322"/>
        <v>1000</v>
      </c>
      <c r="I440" s="44">
        <f t="shared" si="314"/>
        <v>0</v>
      </c>
      <c r="J440" s="115">
        <f>'LOE Breakdown by Year'!I87</f>
        <v>0</v>
      </c>
      <c r="K440" s="44">
        <f t="shared" si="308"/>
        <v>12</v>
      </c>
      <c r="L440" s="44">
        <f t="shared" si="315"/>
        <v>0</v>
      </c>
      <c r="M440" s="115">
        <f>'LOE Breakdown by Year'!I133</f>
        <v>0</v>
      </c>
      <c r="N440" s="44">
        <f t="shared" si="309"/>
        <v>12</v>
      </c>
      <c r="O440" s="44">
        <f t="shared" si="316"/>
        <v>0</v>
      </c>
      <c r="P440" s="115">
        <f>'LOE Breakdown by Year'!I179</f>
        <v>0</v>
      </c>
      <c r="Q440" s="44">
        <f t="shared" si="310"/>
        <v>12</v>
      </c>
      <c r="R440" s="44">
        <f t="shared" si="317"/>
        <v>0</v>
      </c>
      <c r="S440" s="115">
        <f>'LOE Breakdown by Year'!I225</f>
        <v>0</v>
      </c>
      <c r="T440" s="44">
        <f t="shared" si="311"/>
        <v>12</v>
      </c>
      <c r="U440" s="44">
        <f t="shared" si="318"/>
        <v>0</v>
      </c>
      <c r="V440" s="115">
        <f>'LOE Breakdown by Year'!I271</f>
        <v>0</v>
      </c>
      <c r="W440" s="44">
        <f t="shared" si="312"/>
        <v>9</v>
      </c>
      <c r="X440" s="44">
        <f t="shared" si="319"/>
        <v>0</v>
      </c>
      <c r="Y440" s="44">
        <f t="shared" si="320"/>
        <v>0</v>
      </c>
      <c r="Z440" s="44">
        <v>0</v>
      </c>
      <c r="AA440" s="44">
        <f t="shared" si="321"/>
        <v>0</v>
      </c>
    </row>
    <row r="441" spans="1:27" hidden="1">
      <c r="A441" s="595" t="s">
        <v>1009</v>
      </c>
      <c r="B441" s="595">
        <v>70000</v>
      </c>
      <c r="C441" s="595" t="s">
        <v>747</v>
      </c>
      <c r="D441" s="8" t="str">
        <f t="shared" si="306"/>
        <v>Operation &amp; HR Manager</v>
      </c>
      <c r="E441" s="115">
        <f>'LOE Breakdown by Year'!I42</f>
        <v>0</v>
      </c>
      <c r="F441" s="50" t="s">
        <v>100</v>
      </c>
      <c r="G441" s="44">
        <f t="shared" si="322"/>
        <v>9</v>
      </c>
      <c r="H441" s="44">
        <f t="shared" si="322"/>
        <v>1800</v>
      </c>
      <c r="I441" s="44">
        <f t="shared" si="314"/>
        <v>0</v>
      </c>
      <c r="J441" s="115">
        <f>'LOE Breakdown by Year'!I88</f>
        <v>0</v>
      </c>
      <c r="K441" s="44">
        <f t="shared" si="308"/>
        <v>12</v>
      </c>
      <c r="L441" s="44">
        <f t="shared" si="315"/>
        <v>0</v>
      </c>
      <c r="M441" s="115">
        <f>'LOE Breakdown by Year'!I134</f>
        <v>0</v>
      </c>
      <c r="N441" s="44">
        <f t="shared" si="309"/>
        <v>12</v>
      </c>
      <c r="O441" s="44">
        <f t="shared" si="316"/>
        <v>0</v>
      </c>
      <c r="P441" s="115">
        <f>'LOE Breakdown by Year'!I180</f>
        <v>0</v>
      </c>
      <c r="Q441" s="44">
        <f t="shared" si="310"/>
        <v>12</v>
      </c>
      <c r="R441" s="44">
        <f t="shared" si="317"/>
        <v>0</v>
      </c>
      <c r="S441" s="115">
        <f>'LOE Breakdown by Year'!I226</f>
        <v>0</v>
      </c>
      <c r="T441" s="44">
        <f t="shared" si="311"/>
        <v>12</v>
      </c>
      <c r="U441" s="44">
        <f t="shared" si="318"/>
        <v>0</v>
      </c>
      <c r="V441" s="115">
        <f>'LOE Breakdown by Year'!I272</f>
        <v>0</v>
      </c>
      <c r="W441" s="44">
        <f t="shared" si="312"/>
        <v>11</v>
      </c>
      <c r="X441" s="44">
        <f t="shared" si="319"/>
        <v>0</v>
      </c>
      <c r="Y441" s="44">
        <f t="shared" si="320"/>
        <v>0</v>
      </c>
      <c r="Z441" s="44">
        <v>0</v>
      </c>
      <c r="AA441" s="44">
        <f t="shared" si="321"/>
        <v>0</v>
      </c>
    </row>
    <row r="442" spans="1:27" hidden="1">
      <c r="A442" s="595" t="s">
        <v>1010</v>
      </c>
      <c r="B442" s="595">
        <v>70000</v>
      </c>
      <c r="C442" s="595" t="s">
        <v>747</v>
      </c>
      <c r="D442" s="8" t="str">
        <f t="shared" si="306"/>
        <v>Administrative Assistant - (2 Individuals)</v>
      </c>
      <c r="E442" s="115">
        <f>'LOE Breakdown by Year'!I43</f>
        <v>0</v>
      </c>
      <c r="F442" s="50" t="s">
        <v>100</v>
      </c>
      <c r="G442" s="44">
        <f t="shared" si="322"/>
        <v>6</v>
      </c>
      <c r="H442" s="44">
        <f t="shared" si="322"/>
        <v>750</v>
      </c>
      <c r="I442" s="44">
        <f t="shared" si="314"/>
        <v>0</v>
      </c>
      <c r="J442" s="115">
        <f>'LOE Breakdown by Year'!I89</f>
        <v>0</v>
      </c>
      <c r="K442" s="44">
        <f t="shared" si="308"/>
        <v>24</v>
      </c>
      <c r="L442" s="44">
        <f t="shared" si="315"/>
        <v>0</v>
      </c>
      <c r="M442" s="115">
        <f>'LOE Breakdown by Year'!I135</f>
        <v>0</v>
      </c>
      <c r="N442" s="44">
        <f t="shared" si="309"/>
        <v>24</v>
      </c>
      <c r="O442" s="44">
        <f t="shared" si="316"/>
        <v>0</v>
      </c>
      <c r="P442" s="115">
        <f>'LOE Breakdown by Year'!I181</f>
        <v>0</v>
      </c>
      <c r="Q442" s="44">
        <f t="shared" si="310"/>
        <v>24</v>
      </c>
      <c r="R442" s="44">
        <f t="shared" si="317"/>
        <v>0</v>
      </c>
      <c r="S442" s="115">
        <f>'LOE Breakdown by Year'!I227</f>
        <v>0</v>
      </c>
      <c r="T442" s="44">
        <f t="shared" si="311"/>
        <v>24</v>
      </c>
      <c r="U442" s="44">
        <f t="shared" si="318"/>
        <v>0</v>
      </c>
      <c r="V442" s="115">
        <f>'LOE Breakdown by Year'!I273</f>
        <v>0</v>
      </c>
      <c r="W442" s="44">
        <f t="shared" si="312"/>
        <v>10</v>
      </c>
      <c r="X442" s="44">
        <f t="shared" si="319"/>
        <v>0</v>
      </c>
      <c r="Y442" s="44">
        <f t="shared" si="320"/>
        <v>0</v>
      </c>
      <c r="Z442" s="44">
        <v>0</v>
      </c>
      <c r="AA442" s="44">
        <f t="shared" si="321"/>
        <v>0</v>
      </c>
    </row>
    <row r="443" spans="1:27" hidden="1">
      <c r="A443" s="595" t="s">
        <v>1011</v>
      </c>
      <c r="B443" s="595">
        <v>70000</v>
      </c>
      <c r="C443" s="595" t="s">
        <v>747</v>
      </c>
      <c r="D443" s="8" t="str">
        <f t="shared" si="306"/>
        <v>Driver - (2 Individuals)</v>
      </c>
      <c r="E443" s="115">
        <f>'LOE Breakdown by Year'!I44</f>
        <v>0</v>
      </c>
      <c r="F443" s="50" t="s">
        <v>100</v>
      </c>
      <c r="G443" s="44">
        <f t="shared" si="322"/>
        <v>6</v>
      </c>
      <c r="H443" s="44">
        <f t="shared" si="322"/>
        <v>500</v>
      </c>
      <c r="I443" s="44">
        <f t="shared" si="314"/>
        <v>0</v>
      </c>
      <c r="J443" s="115">
        <f>'LOE Breakdown by Year'!I90</f>
        <v>0</v>
      </c>
      <c r="K443" s="44">
        <f t="shared" si="308"/>
        <v>24</v>
      </c>
      <c r="L443" s="44">
        <f t="shared" si="315"/>
        <v>0</v>
      </c>
      <c r="M443" s="115">
        <f>'LOE Breakdown by Year'!I136</f>
        <v>0</v>
      </c>
      <c r="N443" s="44">
        <f t="shared" si="309"/>
        <v>24</v>
      </c>
      <c r="O443" s="44">
        <f t="shared" si="316"/>
        <v>0</v>
      </c>
      <c r="P443" s="115">
        <f>'LOE Breakdown by Year'!I182</f>
        <v>0</v>
      </c>
      <c r="Q443" s="44">
        <f t="shared" si="310"/>
        <v>24</v>
      </c>
      <c r="R443" s="44">
        <f t="shared" si="317"/>
        <v>0</v>
      </c>
      <c r="S443" s="115">
        <f>'LOE Breakdown by Year'!I228</f>
        <v>0</v>
      </c>
      <c r="T443" s="44">
        <f t="shared" si="311"/>
        <v>24</v>
      </c>
      <c r="U443" s="44">
        <f t="shared" si="318"/>
        <v>0</v>
      </c>
      <c r="V443" s="115">
        <f>'LOE Breakdown by Year'!I274</f>
        <v>0</v>
      </c>
      <c r="W443" s="44">
        <f t="shared" si="312"/>
        <v>18</v>
      </c>
      <c r="X443" s="44">
        <f t="shared" si="319"/>
        <v>0</v>
      </c>
      <c r="Y443" s="44">
        <f t="shared" si="320"/>
        <v>0</v>
      </c>
      <c r="Z443" s="44">
        <v>0</v>
      </c>
      <c r="AA443" s="44">
        <f t="shared" si="321"/>
        <v>0</v>
      </c>
    </row>
    <row r="444" spans="1:27">
      <c r="A444" s="607"/>
      <c r="B444" s="607"/>
      <c r="C444" s="607"/>
      <c r="D444" s="41" t="s">
        <v>315</v>
      </c>
      <c r="E444" s="127"/>
      <c r="F444" s="46"/>
      <c r="G444" s="47"/>
      <c r="H444" s="47"/>
      <c r="I444" s="48">
        <f>SUM(I410:I443)</f>
        <v>11475</v>
      </c>
      <c r="J444" s="127"/>
      <c r="K444" s="48"/>
      <c r="L444" s="48">
        <f>SUM(L410:L443)</f>
        <v>21735</v>
      </c>
      <c r="M444" s="127"/>
      <c r="N444" s="48"/>
      <c r="O444" s="48">
        <f>SUM(O410:O443)</f>
        <v>22821.75</v>
      </c>
      <c r="P444" s="127"/>
      <c r="Q444" s="48"/>
      <c r="R444" s="48">
        <f>SUM(R410:R443)</f>
        <v>23962.837500000001</v>
      </c>
      <c r="S444" s="127"/>
      <c r="T444" s="48"/>
      <c r="U444" s="48">
        <f>SUM(U410:U443)</f>
        <v>25160.979375000003</v>
      </c>
      <c r="V444" s="127"/>
      <c r="W444" s="48"/>
      <c r="X444" s="48">
        <f>SUM(X410:X443)</f>
        <v>8997.7850156250024</v>
      </c>
      <c r="Y444" s="48">
        <f>SUM(Y410:Y443)</f>
        <v>114153.351890625</v>
      </c>
      <c r="Z444" s="48">
        <f>SUM(Z410:Z443)</f>
        <v>0</v>
      </c>
      <c r="AA444" s="48">
        <f>SUM(AA410:AA443)</f>
        <v>114153.351890625</v>
      </c>
    </row>
    <row r="445" spans="1:27">
      <c r="A445" s="608"/>
      <c r="B445" s="608"/>
      <c r="C445" s="608"/>
      <c r="D445" s="100"/>
      <c r="E445" s="128"/>
      <c r="F445" s="81"/>
      <c r="G445" s="63"/>
      <c r="H445" s="63"/>
      <c r="I445" s="63"/>
      <c r="J445" s="128"/>
      <c r="K445" s="63"/>
      <c r="L445" s="63"/>
      <c r="M445" s="128"/>
      <c r="N445" s="63"/>
      <c r="O445" s="63"/>
      <c r="P445" s="128"/>
      <c r="Q445" s="63"/>
      <c r="R445" s="63"/>
      <c r="S445" s="128"/>
      <c r="T445" s="63"/>
      <c r="U445" s="63"/>
      <c r="V445" s="128"/>
      <c r="W445" s="63"/>
      <c r="X445" s="63"/>
      <c r="Y445" s="63"/>
      <c r="Z445" s="63"/>
      <c r="AA445" s="63"/>
    </row>
    <row r="446" spans="1:27">
      <c r="A446" s="607"/>
      <c r="B446" s="607"/>
      <c r="C446" s="607"/>
      <c r="D446" s="41" t="s">
        <v>316</v>
      </c>
      <c r="E446" s="127"/>
      <c r="F446" s="46"/>
      <c r="G446" s="47"/>
      <c r="H446" s="47"/>
      <c r="I446" s="48"/>
      <c r="J446" s="127"/>
      <c r="K446" s="48"/>
      <c r="L446" s="48"/>
      <c r="M446" s="127"/>
      <c r="N446" s="48"/>
      <c r="O446" s="48"/>
      <c r="P446" s="127"/>
      <c r="Q446" s="48"/>
      <c r="R446" s="48"/>
      <c r="S446" s="127"/>
      <c r="T446" s="48"/>
      <c r="U446" s="48"/>
      <c r="V446" s="127"/>
      <c r="W446" s="48"/>
      <c r="X446" s="48"/>
      <c r="Y446" s="48"/>
      <c r="Z446" s="48"/>
      <c r="AA446" s="48"/>
    </row>
    <row r="447" spans="1:27">
      <c r="A447" s="591" t="s">
        <v>868</v>
      </c>
      <c r="B447" s="591" t="s">
        <v>791</v>
      </c>
      <c r="C447" s="591" t="s">
        <v>747</v>
      </c>
      <c r="D447" s="8" t="str">
        <f>D56</f>
        <v>Fringe Benefits CCN - Honduras</v>
      </c>
      <c r="E447" s="116"/>
      <c r="F447" s="82" t="str">
        <f>F56</f>
        <v>%</v>
      </c>
      <c r="G447" s="44">
        <f>G56</f>
        <v>0</v>
      </c>
      <c r="H447" s="60">
        <f>H56</f>
        <v>0.48259999999999997</v>
      </c>
      <c r="I447" s="44">
        <f>(SUM(I410:I443))*$H$447</f>
        <v>5537.835</v>
      </c>
      <c r="J447" s="116"/>
      <c r="K447" s="44">
        <f>K56</f>
        <v>0</v>
      </c>
      <c r="L447" s="44">
        <f>(SUM(L410:L443))*$H$447</f>
        <v>10489.311</v>
      </c>
      <c r="M447" s="116"/>
      <c r="N447" s="44">
        <f>N56</f>
        <v>0</v>
      </c>
      <c r="O447" s="44">
        <f>(SUM(O410:O443))*$H$447</f>
        <v>11013.776549999999</v>
      </c>
      <c r="P447" s="116"/>
      <c r="Q447" s="44">
        <f>Q56</f>
        <v>0</v>
      </c>
      <c r="R447" s="44">
        <f>(SUM(R410:R443))*$H$447</f>
        <v>11564.465377500001</v>
      </c>
      <c r="S447" s="116"/>
      <c r="T447" s="44">
        <f>T56</f>
        <v>0</v>
      </c>
      <c r="U447" s="44">
        <f>(SUM(U410:U443))*$H$447</f>
        <v>12142.688646375</v>
      </c>
      <c r="V447" s="116"/>
      <c r="W447" s="44">
        <f>W56</f>
        <v>0</v>
      </c>
      <c r="X447" s="44">
        <f>(SUM(X410:X443))*$H$447</f>
        <v>4342.3310485406255</v>
      </c>
      <c r="Y447" s="44">
        <f t="shared" ref="Y447" si="323">SUM(R447,O447,L447,I447,U447,X447)</f>
        <v>55090.407622415623</v>
      </c>
      <c r="Z447" s="63">
        <v>0</v>
      </c>
      <c r="AA447" s="44">
        <f>SUM(Y447:Z447)</f>
        <v>55090.407622415623</v>
      </c>
    </row>
    <row r="448" spans="1:27">
      <c r="A448" s="607"/>
      <c r="B448" s="607"/>
      <c r="C448" s="607"/>
      <c r="D448" s="41" t="s">
        <v>317</v>
      </c>
      <c r="E448" s="127"/>
      <c r="F448" s="46"/>
      <c r="G448" s="47"/>
      <c r="H448" s="47"/>
      <c r="I448" s="48">
        <f>SUM(I447:I447)</f>
        <v>5537.835</v>
      </c>
      <c r="J448" s="127"/>
      <c r="K448" s="48"/>
      <c r="L448" s="48">
        <f>SUM(L447:L447)</f>
        <v>10489.311</v>
      </c>
      <c r="M448" s="127"/>
      <c r="N448" s="48"/>
      <c r="O448" s="48">
        <f>SUM(O447:O447)</f>
        <v>11013.776549999999</v>
      </c>
      <c r="P448" s="127"/>
      <c r="Q448" s="48"/>
      <c r="R448" s="48">
        <f>SUM(R447:R447)</f>
        <v>11564.465377500001</v>
      </c>
      <c r="S448" s="127"/>
      <c r="T448" s="48"/>
      <c r="U448" s="48">
        <f>SUM(U447:U447)</f>
        <v>12142.688646375</v>
      </c>
      <c r="V448" s="127"/>
      <c r="W448" s="48"/>
      <c r="X448" s="48">
        <f>SUM(X447:X447)</f>
        <v>4342.3310485406255</v>
      </c>
      <c r="Y448" s="48">
        <f>SUM(Y447:Y447)</f>
        <v>55090.407622415623</v>
      </c>
      <c r="Z448" s="48">
        <f>SUM(Z447:Z447)</f>
        <v>0</v>
      </c>
      <c r="AA448" s="48">
        <f>SUM(AA447:AA447)</f>
        <v>55090.407622415623</v>
      </c>
    </row>
    <row r="449" spans="1:27">
      <c r="A449" s="608"/>
      <c r="B449" s="608"/>
      <c r="C449" s="608"/>
      <c r="D449" s="100"/>
      <c r="E449" s="128"/>
      <c r="F449" s="81"/>
      <c r="G449" s="63"/>
      <c r="H449" s="63"/>
      <c r="I449" s="63"/>
      <c r="J449" s="128"/>
      <c r="K449" s="63"/>
      <c r="L449" s="63"/>
      <c r="M449" s="128"/>
      <c r="N449" s="63"/>
      <c r="O449" s="63"/>
      <c r="P449" s="128"/>
      <c r="Q449" s="63"/>
      <c r="R449" s="63"/>
      <c r="S449" s="128"/>
      <c r="T449" s="63"/>
      <c r="U449" s="63"/>
      <c r="V449" s="128"/>
      <c r="W449" s="63"/>
      <c r="X449" s="63"/>
      <c r="Y449" s="63"/>
      <c r="Z449" s="63"/>
      <c r="AA449" s="63"/>
    </row>
    <row r="450" spans="1:27">
      <c r="A450" s="607"/>
      <c r="B450" s="607"/>
      <c r="C450" s="607"/>
      <c r="D450" s="41" t="s">
        <v>318</v>
      </c>
      <c r="E450" s="127"/>
      <c r="F450" s="46"/>
      <c r="G450" s="47"/>
      <c r="H450" s="47"/>
      <c r="I450" s="47"/>
      <c r="J450" s="127"/>
      <c r="K450" s="47"/>
      <c r="L450" s="47"/>
      <c r="M450" s="127"/>
      <c r="N450" s="47"/>
      <c r="O450" s="47"/>
      <c r="P450" s="127"/>
      <c r="Q450" s="47"/>
      <c r="R450" s="47"/>
      <c r="S450" s="127"/>
      <c r="T450" s="47"/>
      <c r="U450" s="47"/>
      <c r="V450" s="127"/>
      <c r="W450" s="47"/>
      <c r="X450" s="47"/>
      <c r="Y450" s="47"/>
      <c r="Z450" s="47"/>
      <c r="AA450" s="47"/>
    </row>
    <row r="451" spans="1:27">
      <c r="A451" s="591" t="s">
        <v>1304</v>
      </c>
      <c r="B451" s="591" t="s">
        <v>1308</v>
      </c>
      <c r="C451" s="591" t="s">
        <v>747</v>
      </c>
      <c r="D451" s="8" t="s">
        <v>319</v>
      </c>
      <c r="E451" s="120"/>
      <c r="F451" s="50" t="s">
        <v>320</v>
      </c>
      <c r="G451" s="44">
        <v>0</v>
      </c>
      <c r="H451" s="44">
        <v>300</v>
      </c>
      <c r="I451" s="44">
        <f>G451*H451</f>
        <v>0</v>
      </c>
      <c r="J451" s="120"/>
      <c r="K451" s="44">
        <v>167</v>
      </c>
      <c r="L451" s="44">
        <f>K451*H451</f>
        <v>50100</v>
      </c>
      <c r="M451" s="120"/>
      <c r="N451" s="44">
        <v>167</v>
      </c>
      <c r="O451" s="44">
        <f>N451*H451</f>
        <v>50100</v>
      </c>
      <c r="P451" s="120"/>
      <c r="Q451" s="44">
        <v>0</v>
      </c>
      <c r="R451" s="44">
        <f>Q451*H451</f>
        <v>0</v>
      </c>
      <c r="S451" s="120"/>
      <c r="T451" s="44">
        <v>0</v>
      </c>
      <c r="U451" s="44">
        <f t="shared" ref="U451" si="324">T451*K451</f>
        <v>0</v>
      </c>
      <c r="V451" s="120"/>
      <c r="W451" s="44">
        <v>0</v>
      </c>
      <c r="X451" s="44">
        <f>W451*H451</f>
        <v>0</v>
      </c>
      <c r="Y451" s="44">
        <f>SUM(R451,O451,L451,I451,U451,X451)</f>
        <v>100200</v>
      </c>
      <c r="Z451" s="44">
        <v>0</v>
      </c>
      <c r="AA451" s="44">
        <f>Y451+Z451</f>
        <v>100200</v>
      </c>
    </row>
    <row r="452" spans="1:27">
      <c r="A452" s="591" t="s">
        <v>1305</v>
      </c>
      <c r="B452" s="591" t="s">
        <v>1308</v>
      </c>
      <c r="C452" s="591" t="s">
        <v>747</v>
      </c>
      <c r="D452" s="8" t="s">
        <v>321</v>
      </c>
      <c r="E452" s="120"/>
      <c r="F452" s="50" t="s">
        <v>320</v>
      </c>
      <c r="G452" s="44">
        <v>0</v>
      </c>
      <c r="H452" s="44">
        <v>600</v>
      </c>
      <c r="I452" s="44">
        <f>G452*H452</f>
        <v>0</v>
      </c>
      <c r="J452" s="120"/>
      <c r="K452" s="44">
        <v>20</v>
      </c>
      <c r="L452" s="44">
        <f>K452*H452</f>
        <v>12000</v>
      </c>
      <c r="M452" s="120"/>
      <c r="N452" s="44">
        <v>20</v>
      </c>
      <c r="O452" s="44">
        <f>N452*H452</f>
        <v>12000</v>
      </c>
      <c r="P452" s="120"/>
      <c r="Q452" s="44">
        <v>20</v>
      </c>
      <c r="R452" s="44">
        <f>Q452*H452</f>
        <v>12000</v>
      </c>
      <c r="S452" s="120"/>
      <c r="T452" s="44">
        <v>20</v>
      </c>
      <c r="U452" s="44">
        <f>T452*H452</f>
        <v>12000</v>
      </c>
      <c r="V452" s="120"/>
      <c r="W452" s="44">
        <v>0</v>
      </c>
      <c r="X452" s="44">
        <f t="shared" ref="X452:X454" si="325">W452*H452</f>
        <v>0</v>
      </c>
      <c r="Y452" s="44">
        <f t="shared" ref="Y452:Y454" si="326">SUM(R452,O452,L452,I452,U452,X452)</f>
        <v>48000</v>
      </c>
      <c r="Z452" s="44">
        <v>0</v>
      </c>
      <c r="AA452" s="44">
        <f>Y452+Z452</f>
        <v>48000</v>
      </c>
    </row>
    <row r="453" spans="1:27">
      <c r="A453" s="591" t="s">
        <v>1306</v>
      </c>
      <c r="B453" s="591" t="s">
        <v>1308</v>
      </c>
      <c r="C453" s="591" t="s">
        <v>747</v>
      </c>
      <c r="D453" s="8" t="s">
        <v>322</v>
      </c>
      <c r="E453" s="120"/>
      <c r="F453" s="50" t="s">
        <v>320</v>
      </c>
      <c r="G453" s="44">
        <v>0</v>
      </c>
      <c r="H453" s="44">
        <v>1500</v>
      </c>
      <c r="I453" s="44">
        <f>G453*H453</f>
        <v>0</v>
      </c>
      <c r="J453" s="120"/>
      <c r="K453" s="44">
        <v>10</v>
      </c>
      <c r="L453" s="44">
        <f>K453*H453</f>
        <v>15000</v>
      </c>
      <c r="M453" s="120"/>
      <c r="N453" s="44">
        <v>10</v>
      </c>
      <c r="O453" s="44">
        <f>N453*H453</f>
        <v>15000</v>
      </c>
      <c r="P453" s="120"/>
      <c r="Q453" s="44">
        <v>10</v>
      </c>
      <c r="R453" s="44">
        <f>Q453*H453</f>
        <v>15000</v>
      </c>
      <c r="S453" s="120"/>
      <c r="T453" s="44">
        <v>10</v>
      </c>
      <c r="U453" s="44">
        <f>T453*H453</f>
        <v>15000</v>
      </c>
      <c r="V453" s="120"/>
      <c r="W453" s="44">
        <v>0</v>
      </c>
      <c r="X453" s="44">
        <f t="shared" ref="X453" si="327">W453*H453</f>
        <v>0</v>
      </c>
      <c r="Y453" s="44">
        <f t="shared" ref="Y453" si="328">SUM(R453,O453,L453,I453,U453,X453)</f>
        <v>60000</v>
      </c>
      <c r="Z453" s="44">
        <v>0</v>
      </c>
      <c r="AA453" s="44">
        <f>Y453+Z453</f>
        <v>60000</v>
      </c>
    </row>
    <row r="454" spans="1:27">
      <c r="A454" s="591" t="s">
        <v>1307</v>
      </c>
      <c r="B454" s="591" t="s">
        <v>1308</v>
      </c>
      <c r="C454" s="591" t="s">
        <v>747</v>
      </c>
      <c r="D454" s="8" t="s">
        <v>323</v>
      </c>
      <c r="E454" s="120"/>
      <c r="F454" s="50" t="s">
        <v>320</v>
      </c>
      <c r="G454" s="44">
        <v>100</v>
      </c>
      <c r="H454" s="44">
        <v>100</v>
      </c>
      <c r="I454" s="44">
        <f>G454*H454</f>
        <v>10000</v>
      </c>
      <c r="J454" s="120"/>
      <c r="K454" s="44">
        <v>100</v>
      </c>
      <c r="L454" s="44">
        <f>K454*H454</f>
        <v>10000</v>
      </c>
      <c r="M454" s="120"/>
      <c r="N454" s="44">
        <v>100</v>
      </c>
      <c r="O454" s="44">
        <f>N454*H454</f>
        <v>10000</v>
      </c>
      <c r="P454" s="120"/>
      <c r="Q454" s="44">
        <v>100</v>
      </c>
      <c r="R454" s="44">
        <f>Q454*H454</f>
        <v>10000</v>
      </c>
      <c r="S454" s="120"/>
      <c r="T454" s="44">
        <v>100</v>
      </c>
      <c r="U454" s="44">
        <f>T454*H454</f>
        <v>10000</v>
      </c>
      <c r="V454" s="120"/>
      <c r="W454" s="44">
        <v>0</v>
      </c>
      <c r="X454" s="44">
        <f t="shared" si="325"/>
        <v>0</v>
      </c>
      <c r="Y454" s="44">
        <f t="shared" si="326"/>
        <v>50000</v>
      </c>
      <c r="Z454" s="44">
        <v>0</v>
      </c>
      <c r="AA454" s="44">
        <f>Y454+Z454</f>
        <v>50000</v>
      </c>
    </row>
    <row r="455" spans="1:27">
      <c r="A455" s="607"/>
      <c r="B455" s="607"/>
      <c r="C455" s="607"/>
      <c r="D455" s="41" t="s">
        <v>324</v>
      </c>
      <c r="E455" s="127"/>
      <c r="F455" s="46"/>
      <c r="G455" s="47"/>
      <c r="H455" s="48"/>
      <c r="I455" s="48">
        <f>SUM(I451:I454)</f>
        <v>10000</v>
      </c>
      <c r="J455" s="130"/>
      <c r="K455" s="48"/>
      <c r="L455" s="48">
        <f>SUM(L451:L454)</f>
        <v>87100</v>
      </c>
      <c r="M455" s="130"/>
      <c r="N455" s="48"/>
      <c r="O455" s="48">
        <f>SUM(O451:O454)</f>
        <v>87100</v>
      </c>
      <c r="P455" s="130"/>
      <c r="Q455" s="48"/>
      <c r="R455" s="48">
        <f>SUM(R451:R454)</f>
        <v>37000</v>
      </c>
      <c r="S455" s="130"/>
      <c r="T455" s="48"/>
      <c r="U455" s="48">
        <f>SUM(U451:U454)</f>
        <v>37000</v>
      </c>
      <c r="V455" s="130"/>
      <c r="W455" s="48"/>
      <c r="X455" s="48">
        <f>SUM(X451:X454)</f>
        <v>0</v>
      </c>
      <c r="Y455" s="101">
        <f>SUM(Y451:Y454)</f>
        <v>258200</v>
      </c>
      <c r="Z455" s="48">
        <f>SUM(Z451:Z454)</f>
        <v>0</v>
      </c>
      <c r="AA455" s="48">
        <f>SUM(AA451:AA454)</f>
        <v>258200</v>
      </c>
    </row>
    <row r="456" spans="1:27">
      <c r="A456" s="608"/>
      <c r="B456" s="608"/>
      <c r="C456" s="608"/>
      <c r="D456" s="100"/>
      <c r="E456" s="128"/>
      <c r="F456" s="81"/>
      <c r="G456" s="63"/>
      <c r="H456" s="63"/>
      <c r="I456" s="63"/>
      <c r="J456" s="128"/>
      <c r="K456" s="63"/>
      <c r="L456" s="63"/>
      <c r="M456" s="128"/>
      <c r="N456" s="63"/>
      <c r="O456" s="63"/>
      <c r="P456" s="128"/>
      <c r="Q456" s="63"/>
      <c r="R456" s="63"/>
      <c r="S456" s="128"/>
      <c r="T456" s="63"/>
      <c r="U456" s="63"/>
      <c r="V456" s="128"/>
      <c r="W456" s="63"/>
      <c r="X456" s="63"/>
      <c r="Y456" s="63"/>
      <c r="Z456" s="63"/>
      <c r="AA456" s="63"/>
    </row>
    <row r="457" spans="1:27">
      <c r="A457" s="607"/>
      <c r="B457" s="607"/>
      <c r="C457" s="607"/>
      <c r="D457" s="41" t="s">
        <v>325</v>
      </c>
      <c r="E457" s="127"/>
      <c r="F457" s="46"/>
      <c r="G457" s="47"/>
      <c r="H457" s="47"/>
      <c r="I457" s="47"/>
      <c r="J457" s="127"/>
      <c r="K457" s="47"/>
      <c r="L457" s="47"/>
      <c r="M457" s="127"/>
      <c r="N457" s="47"/>
      <c r="O457" s="47"/>
      <c r="P457" s="127"/>
      <c r="Q457" s="47"/>
      <c r="R457" s="47"/>
      <c r="S457" s="127"/>
      <c r="T457" s="47"/>
      <c r="U457" s="47"/>
      <c r="V457" s="127"/>
      <c r="W457" s="47"/>
      <c r="X457" s="47"/>
      <c r="Y457" s="47"/>
      <c r="Z457" s="47"/>
      <c r="AA457" s="47"/>
    </row>
    <row r="458" spans="1:27">
      <c r="A458" s="591" t="s">
        <v>1298</v>
      </c>
      <c r="B458" s="591" t="s">
        <v>1265</v>
      </c>
      <c r="C458" s="591" t="s">
        <v>747</v>
      </c>
      <c r="D458" s="8" t="s">
        <v>160</v>
      </c>
      <c r="F458" s="8" t="s">
        <v>100</v>
      </c>
      <c r="G458" s="44">
        <v>3</v>
      </c>
      <c r="H458" s="237">
        <v>200</v>
      </c>
      <c r="I458" s="44">
        <f>G458*H458</f>
        <v>600</v>
      </c>
      <c r="J458" s="44"/>
      <c r="K458" s="44">
        <v>12</v>
      </c>
      <c r="L458" s="44">
        <f>H458*K458*$E$6</f>
        <v>2520</v>
      </c>
      <c r="M458" s="123"/>
      <c r="N458" s="44">
        <v>12</v>
      </c>
      <c r="O458" s="44">
        <f>H458*N458*$E$6*$E$6</f>
        <v>2646</v>
      </c>
      <c r="P458" s="123"/>
      <c r="Q458" s="44">
        <v>12</v>
      </c>
      <c r="R458" s="44">
        <f>H458*Q458*$E$6*$E$6*$E$6</f>
        <v>2778.3</v>
      </c>
      <c r="S458" s="123"/>
      <c r="T458" s="44">
        <v>12</v>
      </c>
      <c r="U458" s="44">
        <f>H458*T458*$E$6*$E$6*$E$6*$E$6</f>
        <v>2917.2150000000001</v>
      </c>
      <c r="V458" s="123"/>
      <c r="W458" s="44">
        <v>9</v>
      </c>
      <c r="X458" s="44">
        <f t="shared" ref="X458" si="329">W458*H458*$E$6*$E$6*$E$6*$E$6*$E$6</f>
        <v>2297.3068125000004</v>
      </c>
      <c r="Y458" s="44">
        <f t="shared" ref="Y458" si="330">SUM(R458,O458,L458,I458,U458,X458)</f>
        <v>13758.8218125</v>
      </c>
      <c r="Z458" s="44" t="s">
        <v>149</v>
      </c>
      <c r="AA458" s="44">
        <f>SUM(Y458:Z458)</f>
        <v>13758.8218125</v>
      </c>
    </row>
    <row r="459" spans="1:27">
      <c r="A459" s="591" t="s">
        <v>1299</v>
      </c>
      <c r="B459" s="591" t="s">
        <v>1265</v>
      </c>
      <c r="C459" s="591" t="s">
        <v>747</v>
      </c>
      <c r="D459" s="8" t="s">
        <v>326</v>
      </c>
      <c r="F459" s="8" t="s">
        <v>148</v>
      </c>
      <c r="G459" s="44">
        <v>2</v>
      </c>
      <c r="H459" s="44">
        <v>35</v>
      </c>
      <c r="I459" s="44">
        <f>G459*H459</f>
        <v>70</v>
      </c>
      <c r="J459" s="123"/>
      <c r="K459" s="44">
        <v>2</v>
      </c>
      <c r="L459" s="44">
        <f t="shared" ref="L459:L460" si="331">H459*K459*$E$6</f>
        <v>73.5</v>
      </c>
      <c r="M459" s="123"/>
      <c r="N459" s="44">
        <v>2</v>
      </c>
      <c r="O459" s="44">
        <f t="shared" ref="O459:O460" si="332">H459*N459*$E$6*$E$6</f>
        <v>77.174999999999997</v>
      </c>
      <c r="P459" s="123"/>
      <c r="Q459" s="44">
        <v>2</v>
      </c>
      <c r="R459" s="44">
        <f t="shared" ref="R459:R460" si="333">H459*Q459*$E$6*$E$6*$E$6</f>
        <v>81.033749999999998</v>
      </c>
      <c r="S459" s="123"/>
      <c r="T459" s="44">
        <v>2</v>
      </c>
      <c r="U459" s="44">
        <f t="shared" ref="U459:U460" si="334">T459*H459*$E$6*$E$6*$E$6*$E$6</f>
        <v>85.085437499999998</v>
      </c>
      <c r="V459" s="123"/>
      <c r="W459" s="44">
        <v>2</v>
      </c>
      <c r="X459" s="44">
        <f>W459*H459*$E$6*$E$6*$E$6*$E$6*$E$6</f>
        <v>89.339709374999998</v>
      </c>
      <c r="Y459" s="44">
        <f>SUM(R459,O459,L459,I459,U459,X459)</f>
        <v>476.133896875</v>
      </c>
      <c r="Z459" s="44" t="s">
        <v>149</v>
      </c>
      <c r="AA459" s="44">
        <f>SUM(Y459:Z459)</f>
        <v>476.133896875</v>
      </c>
    </row>
    <row r="460" spans="1:27" ht="25.2">
      <c r="A460" s="591" t="s">
        <v>1299</v>
      </c>
      <c r="B460" s="45" t="s">
        <v>794</v>
      </c>
      <c r="C460" s="591" t="s">
        <v>747</v>
      </c>
      <c r="D460" s="8" t="s">
        <v>327</v>
      </c>
      <c r="F460" s="8" t="s">
        <v>151</v>
      </c>
      <c r="G460" s="44">
        <f>2*G459</f>
        <v>4</v>
      </c>
      <c r="H460" s="44">
        <f xml:space="preserve"> 75 +  + (0.5*80)</f>
        <v>115</v>
      </c>
      <c r="I460" s="44">
        <f>G460*H460</f>
        <v>460</v>
      </c>
      <c r="J460" s="123"/>
      <c r="K460" s="44">
        <f>2*K459</f>
        <v>4</v>
      </c>
      <c r="L460" s="44">
        <f t="shared" si="331"/>
        <v>483</v>
      </c>
      <c r="M460" s="123"/>
      <c r="N460" s="44">
        <f>2*N459</f>
        <v>4</v>
      </c>
      <c r="O460" s="44">
        <f t="shared" si="332"/>
        <v>507.15000000000003</v>
      </c>
      <c r="P460" s="123"/>
      <c r="Q460" s="44">
        <f>2*Q459</f>
        <v>4</v>
      </c>
      <c r="R460" s="44">
        <f t="shared" si="333"/>
        <v>532.50750000000005</v>
      </c>
      <c r="S460" s="123"/>
      <c r="T460" s="44">
        <f>2*T459</f>
        <v>4</v>
      </c>
      <c r="U460" s="44">
        <f t="shared" si="334"/>
        <v>559.13287500000013</v>
      </c>
      <c r="V460" s="123"/>
      <c r="W460" s="44">
        <f>2*W459</f>
        <v>4</v>
      </c>
      <c r="X460" s="44">
        <f>W460*H460*$E$6*$E$6*$E$6*$E$6*$E$6</f>
        <v>587.08951875000014</v>
      </c>
      <c r="Y460" s="44">
        <f>SUM(R460,O460,L460,I460,U460,X460)</f>
        <v>3128.8798937500001</v>
      </c>
      <c r="Z460" s="44" t="s">
        <v>149</v>
      </c>
      <c r="AA460" s="44">
        <f>SUM(Y460:Z460)</f>
        <v>3128.8798937500001</v>
      </c>
    </row>
    <row r="461" spans="1:27" ht="25.2">
      <c r="A461" s="591" t="s">
        <v>1300</v>
      </c>
      <c r="B461" s="591" t="s">
        <v>1265</v>
      </c>
      <c r="C461" s="591" t="s">
        <v>747</v>
      </c>
      <c r="D461" s="8" t="s">
        <v>328</v>
      </c>
      <c r="F461" s="8" t="s">
        <v>148</v>
      </c>
      <c r="G461" s="44">
        <f>G467*2</f>
        <v>2</v>
      </c>
      <c r="H461" s="44">
        <v>35</v>
      </c>
      <c r="I461" s="44">
        <f>G461*H461</f>
        <v>70</v>
      </c>
      <c r="J461" s="44"/>
      <c r="K461" s="44">
        <f>K467*2</f>
        <v>2</v>
      </c>
      <c r="L461" s="44">
        <f>H461*K461*$E$6</f>
        <v>73.5</v>
      </c>
      <c r="M461" s="123"/>
      <c r="N461" s="44">
        <f>N467*2</f>
        <v>2</v>
      </c>
      <c r="O461" s="44">
        <f>H461*N461*$E$6*$E$6</f>
        <v>77.174999999999997</v>
      </c>
      <c r="P461" s="123"/>
      <c r="Q461" s="44">
        <f>Q467*2</f>
        <v>2</v>
      </c>
      <c r="R461" s="44">
        <f>H461*Q461*$E$6*$E$6*$E$6</f>
        <v>81.033749999999998</v>
      </c>
      <c r="S461" s="123"/>
      <c r="T461" s="44">
        <f>T467*2</f>
        <v>2</v>
      </c>
      <c r="U461" s="44">
        <f>H461*T461*$E$6*$E$6*$E$6*$E$6</f>
        <v>85.085437499999998</v>
      </c>
      <c r="V461" s="123"/>
      <c r="W461" s="44">
        <v>0</v>
      </c>
      <c r="X461" s="44">
        <f>W461*H461*$E$6*$E$6*$E$6*$E$6*$E$6</f>
        <v>0</v>
      </c>
      <c r="Y461" s="44">
        <f t="shared" ref="Y461:Y462" si="335">SUM(R461,O461,L461,I461,U461,X461)</f>
        <v>386.79418750000002</v>
      </c>
      <c r="Z461" s="44" t="s">
        <v>149</v>
      </c>
      <c r="AA461" s="44">
        <f>SUM(Y461:Z461)</f>
        <v>386.79418750000002</v>
      </c>
    </row>
    <row r="462" spans="1:27" ht="25.2">
      <c r="A462" s="591" t="s">
        <v>1300</v>
      </c>
      <c r="B462" s="45" t="s">
        <v>794</v>
      </c>
      <c r="C462" s="591" t="s">
        <v>747</v>
      </c>
      <c r="D462" s="8" t="s">
        <v>329</v>
      </c>
      <c r="F462" s="8" t="s">
        <v>151</v>
      </c>
      <c r="G462" s="44">
        <f>G461*2</f>
        <v>4</v>
      </c>
      <c r="H462" s="44">
        <f xml:space="preserve"> 75 +  + (0.5*80)</f>
        <v>115</v>
      </c>
      <c r="I462" s="44">
        <f>G462*H462</f>
        <v>460</v>
      </c>
      <c r="J462" s="44"/>
      <c r="K462" s="44">
        <f>K461*2</f>
        <v>4</v>
      </c>
      <c r="L462" s="44">
        <f>H462*K462*$E$6</f>
        <v>483</v>
      </c>
      <c r="M462" s="123"/>
      <c r="N462" s="44">
        <f>N461*2</f>
        <v>4</v>
      </c>
      <c r="O462" s="44">
        <f>H462*N462*$E$6*$E$6</f>
        <v>507.15000000000003</v>
      </c>
      <c r="P462" s="123"/>
      <c r="Q462" s="44">
        <f>Q461*2</f>
        <v>4</v>
      </c>
      <c r="R462" s="44">
        <f>H462*Q462*$E$6*$E$6*$E$6</f>
        <v>532.50750000000005</v>
      </c>
      <c r="S462" s="123"/>
      <c r="T462" s="44">
        <f>T461*2</f>
        <v>4</v>
      </c>
      <c r="U462" s="44">
        <f>H462*T462*$E$6*$E$6*$E$6*$E$6</f>
        <v>559.13287500000013</v>
      </c>
      <c r="V462" s="123"/>
      <c r="W462" s="44">
        <f>W461*2</f>
        <v>0</v>
      </c>
      <c r="X462" s="44">
        <f t="shared" ref="X462" si="336">W462*H462*$E$6*$E$6*$E$6*$E$6*$E$6</f>
        <v>0</v>
      </c>
      <c r="Y462" s="44">
        <f t="shared" si="335"/>
        <v>2541.790375</v>
      </c>
      <c r="Z462" s="44" t="s">
        <v>149</v>
      </c>
      <c r="AA462" s="44">
        <f>SUM(Y462:Z462)</f>
        <v>2541.790375</v>
      </c>
    </row>
    <row r="463" spans="1:27">
      <c r="A463" s="607"/>
      <c r="B463" s="607"/>
      <c r="C463" s="607"/>
      <c r="D463" s="41" t="s">
        <v>330</v>
      </c>
      <c r="E463" s="127"/>
      <c r="F463" s="46"/>
      <c r="G463" s="47"/>
      <c r="H463" s="47"/>
      <c r="I463" s="48">
        <f>SUM(I458:I462)</f>
        <v>1660</v>
      </c>
      <c r="J463" s="127"/>
      <c r="K463" s="47"/>
      <c r="L463" s="48">
        <f>SUM(L458:L462)</f>
        <v>3633</v>
      </c>
      <c r="M463" s="127"/>
      <c r="N463" s="47"/>
      <c r="O463" s="48">
        <f>SUM(O458:O462)</f>
        <v>3814.6500000000005</v>
      </c>
      <c r="P463" s="127"/>
      <c r="Q463" s="47"/>
      <c r="R463" s="48">
        <f>SUM(R458:R462)</f>
        <v>4005.3825000000006</v>
      </c>
      <c r="S463" s="127"/>
      <c r="T463" s="47"/>
      <c r="U463" s="48">
        <f>SUM(U458:U462)</f>
        <v>4205.6516250000004</v>
      </c>
      <c r="V463" s="127"/>
      <c r="W463" s="47"/>
      <c r="X463" s="48">
        <f>SUM(X458:X462)</f>
        <v>2973.7360406250004</v>
      </c>
      <c r="Y463" s="576">
        <f>SUM(Y458:Y462)</f>
        <v>20292.420165625001</v>
      </c>
      <c r="Z463" s="48">
        <f>SUM(Z458:Z462)</f>
        <v>0</v>
      </c>
      <c r="AA463" s="48">
        <f>SUM(AA458:AA462)</f>
        <v>20292.420165625001</v>
      </c>
    </row>
    <row r="464" spans="1:27">
      <c r="A464" s="608"/>
      <c r="B464" s="608"/>
      <c r="C464" s="608"/>
      <c r="D464" s="100"/>
      <c r="E464" s="128"/>
      <c r="F464" s="81"/>
      <c r="G464" s="63"/>
      <c r="H464" s="63"/>
      <c r="I464" s="63"/>
      <c r="J464" s="128"/>
      <c r="K464" s="63"/>
      <c r="L464" s="63"/>
      <c r="M464" s="128"/>
      <c r="N464" s="63"/>
      <c r="O464" s="63"/>
      <c r="P464" s="128"/>
      <c r="Q464" s="63"/>
      <c r="R464" s="63"/>
      <c r="S464" s="128"/>
      <c r="T464" s="63"/>
      <c r="U464" s="63"/>
      <c r="V464" s="128"/>
      <c r="W464" s="63"/>
      <c r="X464" s="63"/>
      <c r="Y464" s="63"/>
      <c r="Z464" s="63"/>
      <c r="AA464" s="63"/>
    </row>
    <row r="465" spans="1:30">
      <c r="A465" s="607"/>
      <c r="B465" s="607"/>
      <c r="C465" s="607"/>
      <c r="D465" s="41" t="s">
        <v>331</v>
      </c>
      <c r="E465" s="127"/>
      <c r="F465" s="46"/>
      <c r="G465" s="47"/>
      <c r="H465" s="47"/>
      <c r="I465" s="47"/>
      <c r="J465" s="127"/>
      <c r="K465" s="47"/>
      <c r="L465" s="47"/>
      <c r="M465" s="127"/>
      <c r="N465" s="47"/>
      <c r="O465" s="47"/>
      <c r="P465" s="127"/>
      <c r="Q465" s="47"/>
      <c r="R465" s="47"/>
      <c r="S465" s="127"/>
      <c r="T465" s="47"/>
      <c r="U465" s="47"/>
      <c r="V465" s="127"/>
      <c r="W465" s="47"/>
      <c r="X465" s="47"/>
      <c r="Y465" s="47"/>
      <c r="Z465" s="47"/>
      <c r="AA465" s="47"/>
    </row>
    <row r="466" spans="1:30">
      <c r="A466" s="603"/>
      <c r="B466" s="603"/>
      <c r="C466" s="603"/>
      <c r="D466" s="87" t="s">
        <v>284</v>
      </c>
      <c r="E466" s="129"/>
      <c r="F466" s="87"/>
      <c r="G466" s="87"/>
      <c r="H466" s="87"/>
      <c r="I466" s="87"/>
      <c r="J466" s="129"/>
      <c r="K466" s="87"/>
      <c r="L466" s="87"/>
      <c r="M466" s="129"/>
      <c r="N466" s="87"/>
      <c r="O466" s="87"/>
      <c r="P466" s="129"/>
      <c r="Q466" s="87"/>
      <c r="R466" s="87"/>
      <c r="S466" s="129"/>
      <c r="T466" s="87"/>
      <c r="U466" s="87"/>
      <c r="V466" s="129"/>
      <c r="W466" s="87"/>
      <c r="X466" s="87"/>
      <c r="Y466" s="87"/>
      <c r="Z466" s="87"/>
      <c r="AA466" s="87"/>
    </row>
    <row r="467" spans="1:30">
      <c r="A467" s="591" t="s">
        <v>1303</v>
      </c>
      <c r="B467" s="591" t="s">
        <v>819</v>
      </c>
      <c r="C467" s="591" t="s">
        <v>747</v>
      </c>
      <c r="D467" s="8" t="s">
        <v>332</v>
      </c>
      <c r="F467" s="8" t="s">
        <v>284</v>
      </c>
      <c r="G467" s="44">
        <v>1</v>
      </c>
      <c r="H467" s="44">
        <f>(52*5)+(52*8*1)</f>
        <v>676</v>
      </c>
      <c r="I467" s="44">
        <f>G467*H467</f>
        <v>676</v>
      </c>
      <c r="J467" s="123"/>
      <c r="K467" s="44">
        <v>1</v>
      </c>
      <c r="L467" s="44">
        <f>H467*K467</f>
        <v>676</v>
      </c>
      <c r="M467" s="123"/>
      <c r="N467" s="44">
        <v>1</v>
      </c>
      <c r="O467" s="44">
        <f>H467*N467</f>
        <v>676</v>
      </c>
      <c r="P467" s="123"/>
      <c r="Q467" s="44">
        <v>1</v>
      </c>
      <c r="R467" s="44">
        <f>H467*Q467</f>
        <v>676</v>
      </c>
      <c r="S467" s="123"/>
      <c r="T467" s="44">
        <v>1</v>
      </c>
      <c r="U467" s="44">
        <f>H467*T467</f>
        <v>676</v>
      </c>
      <c r="V467" s="123"/>
      <c r="W467" s="44">
        <v>0</v>
      </c>
      <c r="X467" s="44">
        <f t="shared" ref="X467" si="337">W467*H467</f>
        <v>0</v>
      </c>
      <c r="Y467" s="44">
        <f t="shared" ref="Y467" si="338">SUM(R467,O467,L467,I467,U467,X467)</f>
        <v>3380</v>
      </c>
      <c r="Z467" s="44">
        <v>0</v>
      </c>
      <c r="AA467" s="44">
        <f t="shared" ref="AA467" si="339">SUM(Y467:Z467)</f>
        <v>3380</v>
      </c>
    </row>
    <row r="468" spans="1:30">
      <c r="A468" s="603"/>
      <c r="B468" s="603"/>
      <c r="C468" s="603"/>
      <c r="D468" s="87" t="s">
        <v>333</v>
      </c>
      <c r="E468" s="129"/>
      <c r="F468" s="87"/>
      <c r="G468" s="87"/>
      <c r="H468" s="87"/>
      <c r="I468" s="87"/>
      <c r="J468" s="129"/>
      <c r="K468" s="87"/>
      <c r="L468" s="87"/>
      <c r="M468" s="129"/>
      <c r="N468" s="87"/>
      <c r="O468" s="87"/>
      <c r="P468" s="129"/>
      <c r="Q468" s="87"/>
      <c r="R468" s="87"/>
      <c r="S468" s="129"/>
      <c r="T468" s="87"/>
      <c r="U468" s="87"/>
      <c r="V468" s="129"/>
      <c r="W468" s="87"/>
      <c r="X468" s="87"/>
      <c r="Y468" s="87"/>
      <c r="Z468" s="87"/>
      <c r="AA468" s="572"/>
    </row>
    <row r="469" spans="1:30">
      <c r="A469" s="591" t="s">
        <v>1302</v>
      </c>
      <c r="B469" s="591" t="s">
        <v>1301</v>
      </c>
      <c r="C469" s="591" t="s">
        <v>747</v>
      </c>
      <c r="D469" s="8" t="s">
        <v>334</v>
      </c>
      <c r="F469" s="8" t="s">
        <v>335</v>
      </c>
      <c r="G469" s="44">
        <v>100</v>
      </c>
      <c r="H469" s="44">
        <v>120</v>
      </c>
      <c r="I469" s="44">
        <f>G469*H469</f>
        <v>12000</v>
      </c>
      <c r="J469" s="123"/>
      <c r="K469" s="44">
        <f>K452+K454</f>
        <v>120</v>
      </c>
      <c r="L469" s="44">
        <f>H469*K469</f>
        <v>14400</v>
      </c>
      <c r="M469" s="123"/>
      <c r="N469" s="44">
        <f>N452+N454</f>
        <v>120</v>
      </c>
      <c r="O469" s="44">
        <f>H469*N469</f>
        <v>14400</v>
      </c>
      <c r="P469" s="123"/>
      <c r="Q469" s="44">
        <f>Q452+Q454</f>
        <v>120</v>
      </c>
      <c r="R469" s="44">
        <f>H469*Q469</f>
        <v>14400</v>
      </c>
      <c r="S469" s="123"/>
      <c r="T469" s="44">
        <f>T452+T454</f>
        <v>120</v>
      </c>
      <c r="U469" s="44">
        <f>H469*T469</f>
        <v>14400</v>
      </c>
      <c r="V469" s="123"/>
      <c r="W469" s="44">
        <f>W452+W454</f>
        <v>0</v>
      </c>
      <c r="X469" s="44">
        <f t="shared" ref="X469" si="340">W469*H469</f>
        <v>0</v>
      </c>
      <c r="Y469" s="44">
        <f t="shared" ref="Y469" si="341">SUM(R469,O469,L469,I469,U469,X469)</f>
        <v>69600</v>
      </c>
      <c r="Z469" s="44">
        <v>0</v>
      </c>
      <c r="AA469" s="44">
        <f>SUM(Y469:Z469)</f>
        <v>69600</v>
      </c>
    </row>
    <row r="470" spans="1:30">
      <c r="A470" s="607"/>
      <c r="B470" s="607"/>
      <c r="C470" s="607"/>
      <c r="D470" s="41" t="s">
        <v>336</v>
      </c>
      <c r="E470" s="127"/>
      <c r="F470" s="46"/>
      <c r="G470" s="47"/>
      <c r="H470" s="47"/>
      <c r="I470" s="48">
        <f>SUM(I466:I469)</f>
        <v>12676</v>
      </c>
      <c r="J470" s="127"/>
      <c r="K470" s="48"/>
      <c r="L470" s="48">
        <f>SUM(L466:L469)</f>
        <v>15076</v>
      </c>
      <c r="M470" s="127"/>
      <c r="N470" s="48"/>
      <c r="O470" s="48">
        <f>SUM(O466:O469)</f>
        <v>15076</v>
      </c>
      <c r="P470" s="127"/>
      <c r="Q470" s="48"/>
      <c r="R470" s="48">
        <f>SUM(R466:R469)</f>
        <v>15076</v>
      </c>
      <c r="S470" s="127"/>
      <c r="T470" s="48"/>
      <c r="U470" s="48">
        <f>SUM(U466:U469)</f>
        <v>15076</v>
      </c>
      <c r="V470" s="127"/>
      <c r="W470" s="48"/>
      <c r="X470" s="48">
        <f>SUM(X466:X469)</f>
        <v>0</v>
      </c>
      <c r="Y470" s="101">
        <f>SUM(Y466:Y469)</f>
        <v>72980</v>
      </c>
      <c r="Z470" s="48">
        <f>SUM(Z466:Z469)</f>
        <v>0</v>
      </c>
      <c r="AA470" s="48">
        <f>SUM(AA466:AA469)</f>
        <v>72980</v>
      </c>
    </row>
    <row r="471" spans="1:30">
      <c r="A471" s="608"/>
      <c r="B471" s="608"/>
      <c r="C471" s="608"/>
      <c r="D471" s="100"/>
      <c r="E471" s="128"/>
      <c r="F471" s="81"/>
      <c r="G471" s="63"/>
      <c r="H471" s="63"/>
      <c r="I471" s="63"/>
      <c r="J471" s="128"/>
      <c r="K471" s="63"/>
      <c r="L471" s="63"/>
      <c r="M471" s="128"/>
      <c r="N471" s="63"/>
      <c r="O471" s="63"/>
      <c r="P471" s="128"/>
      <c r="Q471" s="63"/>
      <c r="R471" s="63"/>
      <c r="S471" s="128"/>
      <c r="T471" s="63"/>
      <c r="U471" s="63"/>
      <c r="V471" s="128"/>
      <c r="W471" s="63"/>
      <c r="X471" s="63"/>
      <c r="Y471" s="63"/>
      <c r="Z471" s="63"/>
      <c r="AA471" s="63"/>
    </row>
    <row r="472" spans="1:30">
      <c r="A472" s="607"/>
      <c r="B472" s="607"/>
      <c r="C472" s="607"/>
      <c r="D472" s="41" t="s">
        <v>337</v>
      </c>
      <c r="E472" s="127"/>
      <c r="F472" s="46"/>
      <c r="G472" s="47"/>
      <c r="H472" s="47"/>
      <c r="I472" s="47"/>
      <c r="J472" s="127"/>
      <c r="K472" s="47"/>
      <c r="L472" s="47"/>
      <c r="M472" s="127"/>
      <c r="N472" s="47"/>
      <c r="O472" s="47"/>
      <c r="P472" s="127"/>
      <c r="Q472" s="47"/>
      <c r="R472" s="47"/>
      <c r="S472" s="127"/>
      <c r="T472" s="47"/>
      <c r="U472" s="47"/>
      <c r="V472" s="127"/>
      <c r="W472" s="47"/>
      <c r="X472" s="47"/>
      <c r="Y472" s="47"/>
      <c r="Z472" s="47"/>
      <c r="AA472" s="47"/>
    </row>
    <row r="473" spans="1:30">
      <c r="A473" s="591" t="s">
        <v>1269</v>
      </c>
      <c r="B473" s="591" t="s">
        <v>1268</v>
      </c>
      <c r="C473" s="591" t="s">
        <v>747</v>
      </c>
      <c r="D473" s="8" t="s">
        <v>338</v>
      </c>
      <c r="F473" s="8" t="s">
        <v>320</v>
      </c>
      <c r="G473" s="44">
        <f>G454</f>
        <v>100</v>
      </c>
      <c r="H473" s="44">
        <v>265</v>
      </c>
      <c r="I473" s="44">
        <v>0</v>
      </c>
      <c r="J473" s="123"/>
      <c r="K473" s="44">
        <f>K454</f>
        <v>100</v>
      </c>
      <c r="L473" s="44">
        <v>0</v>
      </c>
      <c r="M473" s="123"/>
      <c r="N473" s="44">
        <f>N454</f>
        <v>100</v>
      </c>
      <c r="O473" s="44">
        <v>0</v>
      </c>
      <c r="P473" s="123"/>
      <c r="Q473" s="44">
        <f>Q454</f>
        <v>100</v>
      </c>
      <c r="R473" s="44">
        <v>0</v>
      </c>
      <c r="S473" s="123"/>
      <c r="T473" s="44">
        <f>T454</f>
        <v>100</v>
      </c>
      <c r="U473" s="44">
        <v>0</v>
      </c>
      <c r="V473" s="123"/>
      <c r="W473" s="44">
        <f>W454</f>
        <v>0</v>
      </c>
      <c r="X473" s="44">
        <v>0</v>
      </c>
      <c r="Y473" s="44">
        <v>0</v>
      </c>
      <c r="Z473" s="44">
        <f>(G473*H473)+(K473*H473)+(N473*H473)+(H473*Q473)+(T473*H473)+(W473*H473)</f>
        <v>132500</v>
      </c>
      <c r="AA473" s="44">
        <f>SUM(Y473:Z473)</f>
        <v>132500</v>
      </c>
    </row>
    <row r="474" spans="1:30">
      <c r="A474" s="591" t="s">
        <v>1269</v>
      </c>
      <c r="B474" s="591" t="s">
        <v>1268</v>
      </c>
      <c r="C474" s="591" t="s">
        <v>747</v>
      </c>
      <c r="D474" s="8" t="s">
        <v>339</v>
      </c>
      <c r="F474" s="8" t="s">
        <v>340</v>
      </c>
      <c r="G474" s="44">
        <f>G454*4</f>
        <v>400</v>
      </c>
      <c r="H474" s="44">
        <v>25</v>
      </c>
      <c r="I474" s="44">
        <v>0</v>
      </c>
      <c r="J474" s="123"/>
      <c r="K474" s="44">
        <f>K454*4</f>
        <v>400</v>
      </c>
      <c r="L474" s="44">
        <v>0</v>
      </c>
      <c r="M474" s="123"/>
      <c r="N474" s="44">
        <f>N454*4</f>
        <v>400</v>
      </c>
      <c r="O474" s="44">
        <v>0</v>
      </c>
      <c r="P474" s="123"/>
      <c r="Q474" s="44">
        <f>Q454*4</f>
        <v>400</v>
      </c>
      <c r="R474" s="44">
        <v>0</v>
      </c>
      <c r="S474" s="123"/>
      <c r="T474" s="44">
        <f>T454*4</f>
        <v>400</v>
      </c>
      <c r="U474" s="44">
        <v>0</v>
      </c>
      <c r="V474" s="123"/>
      <c r="W474" s="44">
        <f>W454*4</f>
        <v>0</v>
      </c>
      <c r="X474" s="44">
        <v>0</v>
      </c>
      <c r="Y474" s="44">
        <v>0</v>
      </c>
      <c r="Z474" s="44">
        <f>(G474*H474)+(K474*H474)+(N474*H474)+(H474*Q474)+(T474*H474)+(W474*H474)</f>
        <v>50000</v>
      </c>
      <c r="AA474" s="44">
        <f t="shared" ref="AA474" si="342">SUM(Y474:Z474)</f>
        <v>50000</v>
      </c>
      <c r="AD474" s="566"/>
    </row>
    <row r="475" spans="1:30">
      <c r="A475" s="607"/>
      <c r="B475" s="607"/>
      <c r="C475" s="607"/>
      <c r="D475" s="41" t="s">
        <v>341</v>
      </c>
      <c r="E475" s="127"/>
      <c r="F475" s="46"/>
      <c r="G475" s="47"/>
      <c r="H475" s="47"/>
      <c r="I475" s="48">
        <f>SUM(I473:I474)</f>
        <v>0</v>
      </c>
      <c r="J475" s="127"/>
      <c r="K475" s="47"/>
      <c r="L475" s="48">
        <f>SUM(L473:L474)</f>
        <v>0</v>
      </c>
      <c r="M475" s="127"/>
      <c r="N475" s="47"/>
      <c r="O475" s="48">
        <f>SUM(O473:O474)</f>
        <v>0</v>
      </c>
      <c r="P475" s="127"/>
      <c r="Q475" s="47"/>
      <c r="R475" s="48">
        <f>SUM(R473:R474)</f>
        <v>0</v>
      </c>
      <c r="S475" s="127"/>
      <c r="T475" s="47"/>
      <c r="U475" s="48">
        <f>SUM(U473:U474)</f>
        <v>0</v>
      </c>
      <c r="V475" s="127"/>
      <c r="W475" s="47"/>
      <c r="X475" s="48">
        <f>SUM(X473:X474)</f>
        <v>0</v>
      </c>
      <c r="Y475" s="48">
        <f>SUM(Y473:Y474)</f>
        <v>0</v>
      </c>
      <c r="Z475" s="48">
        <f>SUM(Z473:Z474)</f>
        <v>182500</v>
      </c>
      <c r="AA475" s="48">
        <f>SUM(AA473:AA474)</f>
        <v>182500</v>
      </c>
    </row>
    <row r="476" spans="1:30">
      <c r="A476" s="608"/>
      <c r="B476" s="608"/>
      <c r="C476" s="608"/>
      <c r="D476" s="100"/>
      <c r="E476" s="128"/>
      <c r="F476" s="81"/>
      <c r="G476" s="63"/>
      <c r="H476" s="63"/>
      <c r="I476" s="63"/>
      <c r="J476" s="128"/>
      <c r="K476" s="63"/>
      <c r="L476" s="63"/>
      <c r="M476" s="128"/>
      <c r="N476" s="63"/>
      <c r="O476" s="63"/>
      <c r="P476" s="128"/>
      <c r="Q476" s="63"/>
      <c r="R476" s="63"/>
      <c r="S476" s="128"/>
      <c r="T476" s="63"/>
      <c r="U476" s="63"/>
      <c r="V476" s="128"/>
      <c r="W476" s="63"/>
      <c r="X476" s="63"/>
      <c r="Y476" s="63"/>
      <c r="Z476" s="63"/>
      <c r="AA476" s="63"/>
    </row>
    <row r="477" spans="1:30" ht="12.9" thickBot="1">
      <c r="A477" s="596"/>
      <c r="B477" s="596"/>
      <c r="C477" s="596"/>
      <c r="D477" s="54" t="s">
        <v>342</v>
      </c>
      <c r="E477" s="121"/>
      <c r="F477" s="54"/>
      <c r="G477" s="69"/>
      <c r="H477" s="69"/>
      <c r="I477" s="65">
        <f>I463+I448+I444+I470+I455+I475</f>
        <v>41348.834999999999</v>
      </c>
      <c r="J477" s="121"/>
      <c r="K477" s="65"/>
      <c r="L477" s="65">
        <f>L463+L448+L444+L470+L455+L475</f>
        <v>138033.31099999999</v>
      </c>
      <c r="M477" s="121"/>
      <c r="N477" s="65"/>
      <c r="O477" s="65">
        <f>O463+O448+O444+O470+O455+O475</f>
        <v>139826.17655</v>
      </c>
      <c r="P477" s="121"/>
      <c r="Q477" s="65"/>
      <c r="R477" s="65">
        <f>R463+R448+R444+R470+R455+R475</f>
        <v>91608.685377500005</v>
      </c>
      <c r="S477" s="121"/>
      <c r="T477" s="65"/>
      <c r="U477" s="65">
        <f>U463+U448+U444+U470+U455+U475</f>
        <v>93585.319646375006</v>
      </c>
      <c r="V477" s="121"/>
      <c r="W477" s="65"/>
      <c r="X477" s="65">
        <f>X463+X448+X444+X470+X455+X475</f>
        <v>16313.852104790629</v>
      </c>
      <c r="Y477" s="65">
        <f>Y463+Y448+Y444+Y470+Y455+Y475</f>
        <v>520716.17967866559</v>
      </c>
      <c r="Z477" s="65">
        <f>Z463+Z448+Z444+Z470+Z455+Z475</f>
        <v>182500</v>
      </c>
      <c r="AA477" s="65">
        <f>AA463+AA448+AA444+AA470+AA455+AA475</f>
        <v>703216.17967866559</v>
      </c>
      <c r="AC477" s="566"/>
    </row>
    <row r="478" spans="1:30">
      <c r="A478" s="597"/>
      <c r="B478" s="597"/>
      <c r="C478" s="597"/>
      <c r="D478" s="81"/>
      <c r="E478" s="118"/>
      <c r="F478" s="81"/>
      <c r="G478" s="63"/>
      <c r="H478" s="63"/>
      <c r="I478" s="63"/>
      <c r="J478" s="118"/>
      <c r="K478" s="63"/>
      <c r="L478" s="63"/>
      <c r="M478" s="118"/>
      <c r="N478" s="63"/>
      <c r="O478" s="63"/>
      <c r="P478" s="118"/>
      <c r="Q478" s="63"/>
      <c r="R478" s="63"/>
      <c r="S478" s="118"/>
      <c r="T478" s="63"/>
      <c r="U478" s="63"/>
      <c r="V478" s="118"/>
      <c r="W478" s="63"/>
      <c r="X478" s="63"/>
      <c r="Y478" s="63"/>
      <c r="Z478" s="63"/>
      <c r="AA478" s="63"/>
    </row>
    <row r="479" spans="1:30">
      <c r="A479" s="605"/>
      <c r="B479" s="605"/>
      <c r="C479" s="605"/>
      <c r="D479" s="94" t="str">
        <f>'USDA Budget Summary'!A32</f>
        <v>Activity 6: Training: Good Health and Nutrition Practices</v>
      </c>
      <c r="E479" s="125"/>
      <c r="F479" s="38"/>
      <c r="G479" s="38"/>
      <c r="H479" s="39"/>
      <c r="I479" s="95"/>
      <c r="J479" s="125"/>
      <c r="K479" s="95"/>
      <c r="L479" s="95"/>
      <c r="M479" s="125"/>
      <c r="N479" s="95"/>
      <c r="O479" s="95"/>
      <c r="P479" s="125"/>
      <c r="Q479" s="95"/>
      <c r="R479" s="95"/>
      <c r="S479" s="125"/>
      <c r="T479" s="95"/>
      <c r="U479" s="95"/>
      <c r="V479" s="125"/>
      <c r="W479" s="95"/>
      <c r="X479" s="95"/>
      <c r="Y479" s="95"/>
      <c r="Z479" s="96"/>
      <c r="AA479" s="95"/>
    </row>
    <row r="480" spans="1:30">
      <c r="A480" s="606"/>
      <c r="B480" s="606"/>
      <c r="C480" s="606"/>
      <c r="D480" s="97" t="s">
        <v>227</v>
      </c>
      <c r="E480" s="126"/>
      <c r="F480" s="98"/>
      <c r="G480" s="99"/>
      <c r="H480" s="99"/>
      <c r="I480" s="99"/>
      <c r="J480" s="126"/>
      <c r="K480" s="99"/>
      <c r="L480" s="99"/>
      <c r="M480" s="126"/>
      <c r="N480" s="99"/>
      <c r="O480" s="99"/>
      <c r="P480" s="126"/>
      <c r="Q480" s="99"/>
      <c r="R480" s="99"/>
      <c r="S480" s="126"/>
      <c r="T480" s="99"/>
      <c r="U480" s="99"/>
      <c r="V480" s="126"/>
      <c r="W480" s="99"/>
      <c r="X480" s="99"/>
      <c r="Y480" s="99"/>
      <c r="Z480" s="99"/>
      <c r="AA480" s="99"/>
    </row>
    <row r="481" spans="1:28">
      <c r="A481" s="607"/>
      <c r="B481" s="607"/>
      <c r="C481" s="607"/>
      <c r="D481" s="41" t="s">
        <v>343</v>
      </c>
      <c r="E481" s="127"/>
      <c r="F481" s="46"/>
      <c r="G481" s="47"/>
      <c r="H481" s="47"/>
      <c r="I481" s="47"/>
      <c r="J481" s="127"/>
      <c r="K481" s="47"/>
      <c r="L481" s="47"/>
      <c r="M481" s="127"/>
      <c r="N481" s="47"/>
      <c r="O481" s="47"/>
      <c r="P481" s="127"/>
      <c r="Q481" s="47"/>
      <c r="R481" s="47"/>
      <c r="S481" s="127"/>
      <c r="T481" s="47"/>
      <c r="U481" s="47"/>
      <c r="V481" s="127"/>
      <c r="W481" s="47"/>
      <c r="X481" s="47"/>
      <c r="Y481" s="47"/>
      <c r="Z481" s="47"/>
      <c r="AA481" s="47"/>
    </row>
    <row r="482" spans="1:28" hidden="1">
      <c r="A482" s="595" t="s">
        <v>1012</v>
      </c>
      <c r="B482" s="595">
        <v>70000</v>
      </c>
      <c r="C482" s="595" t="s">
        <v>747</v>
      </c>
      <c r="D482" s="8" t="str">
        <f t="shared" ref="D482:D515" si="343">D12</f>
        <v xml:space="preserve">Key Personnel: Chief of Party - Roger Sanchez O’Neill </v>
      </c>
      <c r="E482" s="115">
        <f>'LOE Breakdown by Year'!J11</f>
        <v>0</v>
      </c>
      <c r="F482" s="50" t="s">
        <v>100</v>
      </c>
      <c r="G482" s="44">
        <f t="shared" ref="G482:H501" si="344">G12</f>
        <v>11</v>
      </c>
      <c r="H482" s="44">
        <f t="shared" si="344"/>
        <v>9583.3333333333339</v>
      </c>
      <c r="I482" s="44">
        <f>G482*H482*E482</f>
        <v>0</v>
      </c>
      <c r="J482" s="115">
        <f>'LOE Breakdown by Year'!J57</f>
        <v>0</v>
      </c>
      <c r="K482" s="44">
        <f t="shared" ref="K482:K515" si="345">K12</f>
        <v>12</v>
      </c>
      <c r="L482" s="44">
        <f>K482*H482*$E$7*$J482</f>
        <v>0</v>
      </c>
      <c r="M482" s="115">
        <f>'LOE Breakdown by Year'!J103</f>
        <v>0</v>
      </c>
      <c r="N482" s="44">
        <f t="shared" ref="N482:N515" si="346">N12</f>
        <v>12</v>
      </c>
      <c r="O482" s="44">
        <f>N482*H482*$M482*$E$7*$E$7</f>
        <v>0</v>
      </c>
      <c r="P482" s="115">
        <f>'LOE Breakdown by Year'!J149</f>
        <v>0</v>
      </c>
      <c r="Q482" s="44">
        <f t="shared" ref="Q482:Q515" si="347">Q12</f>
        <v>12</v>
      </c>
      <c r="R482" s="44">
        <f>Q482*H482*$P482*$E$7*$E$7*$E$7</f>
        <v>0</v>
      </c>
      <c r="S482" s="115">
        <f>'LOE Breakdown by Year'!J195</f>
        <v>0</v>
      </c>
      <c r="T482" s="44">
        <f t="shared" ref="T482:T515" si="348">T12</f>
        <v>12</v>
      </c>
      <c r="U482" s="44">
        <f>T482*H482*$S482*$E$7*$E$7*$E$7*$E$7</f>
        <v>0</v>
      </c>
      <c r="V482" s="115">
        <f>'LOE Breakdown by Year'!J241</f>
        <v>0</v>
      </c>
      <c r="W482" s="44">
        <f t="shared" ref="W482:W515" si="349">W12</f>
        <v>12</v>
      </c>
      <c r="X482" s="44">
        <f>W482*H482*$V482*$E$7*$E$7*$E$7*$E$7*$E$7</f>
        <v>0</v>
      </c>
      <c r="Y482" s="44">
        <f>SUM(R482,O482,L482,I482,U482,X482)</f>
        <v>0</v>
      </c>
      <c r="Z482" s="44">
        <v>0</v>
      </c>
      <c r="AA482" s="44">
        <f t="shared" ref="AA482" si="350">SUM(Y482:Z482)</f>
        <v>0</v>
      </c>
    </row>
    <row r="483" spans="1:28" hidden="1">
      <c r="A483" s="595" t="s">
        <v>1013</v>
      </c>
      <c r="B483" s="595">
        <v>70000</v>
      </c>
      <c r="C483" s="595" t="s">
        <v>747</v>
      </c>
      <c r="D483" s="8" t="str">
        <f t="shared" si="343"/>
        <v>Key Personnel: Deputy Chief of Party - David Medina Mayo</v>
      </c>
      <c r="E483" s="115">
        <f>'LOE Breakdown by Year'!J12</f>
        <v>0</v>
      </c>
      <c r="F483" s="50" t="s">
        <v>100</v>
      </c>
      <c r="G483" s="44">
        <f t="shared" si="344"/>
        <v>11</v>
      </c>
      <c r="H483" s="44">
        <f t="shared" si="344"/>
        <v>6500</v>
      </c>
      <c r="I483" s="44">
        <f t="shared" ref="I483:I515" si="351">G483*H483*E483</f>
        <v>0</v>
      </c>
      <c r="J483" s="115">
        <f>'LOE Breakdown by Year'!J58</f>
        <v>0</v>
      </c>
      <c r="K483" s="44">
        <f t="shared" si="345"/>
        <v>12</v>
      </c>
      <c r="L483" s="44">
        <f t="shared" ref="L483:L515" si="352">K483*H483*$E$7*$J483</f>
        <v>0</v>
      </c>
      <c r="M483" s="115">
        <f>'LOE Breakdown by Year'!J104</f>
        <v>0</v>
      </c>
      <c r="N483" s="44">
        <f t="shared" si="346"/>
        <v>12</v>
      </c>
      <c r="O483" s="44">
        <f t="shared" ref="O483:O515" si="353">N483*H483*$M483*$E$7*$E$7</f>
        <v>0</v>
      </c>
      <c r="P483" s="115">
        <f>'LOE Breakdown by Year'!J150</f>
        <v>0</v>
      </c>
      <c r="Q483" s="44">
        <f t="shared" si="347"/>
        <v>12</v>
      </c>
      <c r="R483" s="44">
        <f t="shared" ref="R483:R515" si="354">Q483*H483*$P483*$E$7*$E$7*$E$7</f>
        <v>0</v>
      </c>
      <c r="S483" s="115">
        <f>'LOE Breakdown by Year'!J196</f>
        <v>0</v>
      </c>
      <c r="T483" s="44">
        <f t="shared" si="348"/>
        <v>12</v>
      </c>
      <c r="U483" s="44">
        <f t="shared" ref="U483:U515" si="355">T483*H483*$S483*$E$7*$E$7*$E$7*$E$7</f>
        <v>0</v>
      </c>
      <c r="V483" s="115">
        <f>'LOE Breakdown by Year'!J242</f>
        <v>0</v>
      </c>
      <c r="W483" s="44">
        <f t="shared" si="349"/>
        <v>12</v>
      </c>
      <c r="X483" s="44">
        <f t="shared" ref="X483:X515" si="356">W483*H483*$V483*$E$7*$E$7*$E$7*$E$7*$E$7</f>
        <v>0</v>
      </c>
      <c r="Y483" s="44">
        <f t="shared" ref="Y483:Y515" si="357">SUM(R483,O483,L483,I483,U483,X483)</f>
        <v>0</v>
      </c>
      <c r="Z483" s="44">
        <v>0</v>
      </c>
      <c r="AA483" s="44">
        <f t="shared" ref="AA483:AA515" si="358">SUM(Y483:Z483)</f>
        <v>0</v>
      </c>
    </row>
    <row r="484" spans="1:28" hidden="1">
      <c r="A484" s="595" t="s">
        <v>1014</v>
      </c>
      <c r="B484" s="595">
        <v>70000</v>
      </c>
      <c r="C484" s="595" t="s">
        <v>747</v>
      </c>
      <c r="D484" s="8" t="str">
        <f t="shared" si="343"/>
        <v>Policy &amp; Sustainability Specialist</v>
      </c>
      <c r="E484" s="115">
        <f>'LOE Breakdown by Year'!J13</f>
        <v>0</v>
      </c>
      <c r="F484" s="50" t="s">
        <v>100</v>
      </c>
      <c r="G484" s="44">
        <f t="shared" si="344"/>
        <v>0</v>
      </c>
      <c r="H484" s="44">
        <f t="shared" si="344"/>
        <v>1500</v>
      </c>
      <c r="I484" s="44">
        <f t="shared" si="351"/>
        <v>0</v>
      </c>
      <c r="J484" s="115">
        <f>'LOE Breakdown by Year'!J59</f>
        <v>0</v>
      </c>
      <c r="K484" s="44">
        <f t="shared" si="345"/>
        <v>0</v>
      </c>
      <c r="L484" s="44">
        <f t="shared" si="352"/>
        <v>0</v>
      </c>
      <c r="M484" s="115">
        <f>'LOE Breakdown by Year'!J105</f>
        <v>0</v>
      </c>
      <c r="N484" s="44">
        <f t="shared" si="346"/>
        <v>7</v>
      </c>
      <c r="O484" s="44">
        <f t="shared" si="353"/>
        <v>0</v>
      </c>
      <c r="P484" s="115">
        <f>'LOE Breakdown by Year'!J151</f>
        <v>0</v>
      </c>
      <c r="Q484" s="44">
        <f t="shared" si="347"/>
        <v>12</v>
      </c>
      <c r="R484" s="44">
        <f t="shared" si="354"/>
        <v>0</v>
      </c>
      <c r="S484" s="115">
        <f>'LOE Breakdown by Year'!J197</f>
        <v>0</v>
      </c>
      <c r="T484" s="44">
        <f t="shared" si="348"/>
        <v>12</v>
      </c>
      <c r="U484" s="44">
        <f t="shared" si="355"/>
        <v>0</v>
      </c>
      <c r="V484" s="115">
        <f>'LOE Breakdown by Year'!J243</f>
        <v>0</v>
      </c>
      <c r="W484" s="44">
        <f t="shared" si="349"/>
        <v>6</v>
      </c>
      <c r="X484" s="44">
        <f t="shared" si="356"/>
        <v>0</v>
      </c>
      <c r="Y484" s="44">
        <f t="shared" si="357"/>
        <v>0</v>
      </c>
      <c r="Z484" s="44">
        <v>0</v>
      </c>
      <c r="AA484" s="44">
        <f t="shared" si="358"/>
        <v>0</v>
      </c>
    </row>
    <row r="485" spans="1:28">
      <c r="A485" s="595" t="s">
        <v>1015</v>
      </c>
      <c r="B485" s="595">
        <v>70000</v>
      </c>
      <c r="C485" s="595" t="s">
        <v>747</v>
      </c>
      <c r="D485" s="8" t="str">
        <f t="shared" si="343"/>
        <v xml:space="preserve">Education Director </v>
      </c>
      <c r="E485" s="115">
        <f>'LOE Breakdown by Year'!J14</f>
        <v>0.2</v>
      </c>
      <c r="F485" s="50" t="s">
        <v>100</v>
      </c>
      <c r="G485" s="44">
        <f t="shared" si="344"/>
        <v>9</v>
      </c>
      <c r="H485" s="44">
        <f t="shared" si="344"/>
        <v>4583.333333333333</v>
      </c>
      <c r="I485" s="44">
        <f t="shared" si="351"/>
        <v>8250</v>
      </c>
      <c r="J485" s="115">
        <f>'LOE Breakdown by Year'!J60</f>
        <v>0.2</v>
      </c>
      <c r="K485" s="44">
        <f t="shared" si="345"/>
        <v>12</v>
      </c>
      <c r="L485" s="44">
        <f t="shared" si="352"/>
        <v>11550</v>
      </c>
      <c r="M485" s="115">
        <f>'LOE Breakdown by Year'!J106</f>
        <v>0.2</v>
      </c>
      <c r="N485" s="44">
        <f t="shared" si="346"/>
        <v>12</v>
      </c>
      <c r="O485" s="44">
        <f t="shared" si="353"/>
        <v>12127.5</v>
      </c>
      <c r="P485" s="115">
        <f>'LOE Breakdown by Year'!J152</f>
        <v>0.2</v>
      </c>
      <c r="Q485" s="44">
        <f t="shared" si="347"/>
        <v>12</v>
      </c>
      <c r="R485" s="44">
        <f t="shared" si="354"/>
        <v>12733.875</v>
      </c>
      <c r="S485" s="115">
        <f>'LOE Breakdown by Year'!J198</f>
        <v>0.2</v>
      </c>
      <c r="T485" s="44">
        <f t="shared" si="348"/>
        <v>12</v>
      </c>
      <c r="U485" s="44">
        <f t="shared" si="355"/>
        <v>13370.56875</v>
      </c>
      <c r="V485" s="115">
        <f>'LOE Breakdown by Year'!J244</f>
        <v>0.2</v>
      </c>
      <c r="W485" s="44">
        <f t="shared" si="349"/>
        <v>8</v>
      </c>
      <c r="X485" s="44">
        <f t="shared" si="356"/>
        <v>9359.3981249999997</v>
      </c>
      <c r="Y485" s="44">
        <f t="shared" si="357"/>
        <v>67391.341874999998</v>
      </c>
      <c r="Z485" s="44">
        <v>0</v>
      </c>
      <c r="AA485" s="44">
        <f t="shared" si="358"/>
        <v>67391.341874999998</v>
      </c>
    </row>
    <row r="486" spans="1:28">
      <c r="A486" s="595" t="s">
        <v>1016</v>
      </c>
      <c r="B486" s="595">
        <v>70000</v>
      </c>
      <c r="C486" s="595" t="s">
        <v>747</v>
      </c>
      <c r="D486" s="8" t="str">
        <f t="shared" si="343"/>
        <v>Education Specialist</v>
      </c>
      <c r="E486" s="115">
        <f>'LOE Breakdown by Year'!J15</f>
        <v>0.2</v>
      </c>
      <c r="F486" s="50" t="s">
        <v>100</v>
      </c>
      <c r="G486" s="44">
        <f t="shared" si="344"/>
        <v>8</v>
      </c>
      <c r="H486" s="44">
        <f t="shared" si="344"/>
        <v>2500</v>
      </c>
      <c r="I486" s="44">
        <f t="shared" si="351"/>
        <v>4000</v>
      </c>
      <c r="J486" s="115">
        <f>'LOE Breakdown by Year'!J61</f>
        <v>0.2</v>
      </c>
      <c r="K486" s="44">
        <f t="shared" si="345"/>
        <v>12</v>
      </c>
      <c r="L486" s="44">
        <f t="shared" si="352"/>
        <v>6300</v>
      </c>
      <c r="M486" s="115">
        <f>'LOE Breakdown by Year'!J107</f>
        <v>0.2</v>
      </c>
      <c r="N486" s="44">
        <f t="shared" si="346"/>
        <v>12</v>
      </c>
      <c r="O486" s="44">
        <f t="shared" si="353"/>
        <v>6615</v>
      </c>
      <c r="P486" s="115">
        <f>'LOE Breakdown by Year'!J153</f>
        <v>0.2</v>
      </c>
      <c r="Q486" s="44">
        <f t="shared" si="347"/>
        <v>12</v>
      </c>
      <c r="R486" s="44">
        <f t="shared" si="354"/>
        <v>6945.75</v>
      </c>
      <c r="S486" s="115">
        <f>'LOE Breakdown by Year'!J199</f>
        <v>0.2</v>
      </c>
      <c r="T486" s="44">
        <f t="shared" si="348"/>
        <v>12</v>
      </c>
      <c r="U486" s="44">
        <f t="shared" si="355"/>
        <v>7293.0375000000004</v>
      </c>
      <c r="V486" s="115">
        <f>'LOE Breakdown by Year'!J245</f>
        <v>0.2</v>
      </c>
      <c r="W486" s="44">
        <f t="shared" si="349"/>
        <v>3</v>
      </c>
      <c r="X486" s="44">
        <f t="shared" si="356"/>
        <v>1914.4223437500002</v>
      </c>
      <c r="Y486" s="44">
        <f t="shared" si="357"/>
        <v>33068.209843749995</v>
      </c>
      <c r="Z486" s="44">
        <v>0</v>
      </c>
      <c r="AA486" s="44">
        <f t="shared" si="358"/>
        <v>33068.209843749995</v>
      </c>
    </row>
    <row r="487" spans="1:28">
      <c r="A487" s="595" t="s">
        <v>1017</v>
      </c>
      <c r="B487" s="595">
        <v>70000</v>
      </c>
      <c r="C487" s="595" t="s">
        <v>747</v>
      </c>
      <c r="D487" s="8" t="str">
        <f t="shared" si="343"/>
        <v>Education Officer</v>
      </c>
      <c r="E487" s="115">
        <f>'LOE Breakdown by Year'!J16</f>
        <v>0.2</v>
      </c>
      <c r="F487" s="50" t="s">
        <v>100</v>
      </c>
      <c r="G487" s="44">
        <f t="shared" si="344"/>
        <v>6</v>
      </c>
      <c r="H487" s="44">
        <f t="shared" si="344"/>
        <v>1000</v>
      </c>
      <c r="I487" s="44">
        <f t="shared" si="351"/>
        <v>1200</v>
      </c>
      <c r="J487" s="115">
        <f>'LOE Breakdown by Year'!J62</f>
        <v>0.2</v>
      </c>
      <c r="K487" s="44">
        <f t="shared" si="345"/>
        <v>12</v>
      </c>
      <c r="L487" s="44">
        <f t="shared" si="352"/>
        <v>2520</v>
      </c>
      <c r="M487" s="115">
        <f>'LOE Breakdown by Year'!J108</f>
        <v>0.2</v>
      </c>
      <c r="N487" s="44">
        <f t="shared" si="346"/>
        <v>12</v>
      </c>
      <c r="O487" s="44">
        <f t="shared" si="353"/>
        <v>2646</v>
      </c>
      <c r="P487" s="115">
        <f>'LOE Breakdown by Year'!J154</f>
        <v>0.2</v>
      </c>
      <c r="Q487" s="44">
        <f t="shared" si="347"/>
        <v>12</v>
      </c>
      <c r="R487" s="44">
        <f t="shared" si="354"/>
        <v>2778.3</v>
      </c>
      <c r="S487" s="115">
        <f>'LOE Breakdown by Year'!J200</f>
        <v>0.2</v>
      </c>
      <c r="T487" s="44">
        <f t="shared" si="348"/>
        <v>12</v>
      </c>
      <c r="U487" s="44">
        <f t="shared" si="355"/>
        <v>2917.2150000000001</v>
      </c>
      <c r="V487" s="115">
        <f>'LOE Breakdown by Year'!J246</f>
        <v>0.2</v>
      </c>
      <c r="W487" s="44">
        <f t="shared" si="349"/>
        <v>3</v>
      </c>
      <c r="X487" s="44">
        <f t="shared" si="356"/>
        <v>765.76893750000011</v>
      </c>
      <c r="Y487" s="44">
        <f t="shared" si="357"/>
        <v>12827.2839375</v>
      </c>
      <c r="Z487" s="44">
        <v>0</v>
      </c>
      <c r="AA487" s="44">
        <f t="shared" si="358"/>
        <v>12827.2839375</v>
      </c>
    </row>
    <row r="488" spans="1:28">
      <c r="A488" s="595" t="s">
        <v>1018</v>
      </c>
      <c r="B488" s="595">
        <v>70000</v>
      </c>
      <c r="C488" s="595" t="s">
        <v>747</v>
      </c>
      <c r="D488" s="8" t="str">
        <f t="shared" si="343"/>
        <v>Nutrition and Health Specialist</v>
      </c>
      <c r="E488" s="115">
        <f>'LOE Breakdown by Year'!J17</f>
        <v>0.15</v>
      </c>
      <c r="F488" s="50" t="s">
        <v>100</v>
      </c>
      <c r="G488" s="44">
        <f t="shared" si="344"/>
        <v>9</v>
      </c>
      <c r="H488" s="44">
        <f t="shared" si="344"/>
        <v>1500</v>
      </c>
      <c r="I488" s="44">
        <f t="shared" si="351"/>
        <v>2025</v>
      </c>
      <c r="J488" s="115">
        <f>'LOE Breakdown by Year'!J63</f>
        <v>0.15</v>
      </c>
      <c r="K488" s="44">
        <f t="shared" si="345"/>
        <v>12</v>
      </c>
      <c r="L488" s="44">
        <f t="shared" si="352"/>
        <v>2835</v>
      </c>
      <c r="M488" s="115">
        <f>'LOE Breakdown by Year'!J109</f>
        <v>0.15</v>
      </c>
      <c r="N488" s="44">
        <f t="shared" si="346"/>
        <v>12</v>
      </c>
      <c r="O488" s="44">
        <f t="shared" si="353"/>
        <v>2976.75</v>
      </c>
      <c r="P488" s="115">
        <f>'LOE Breakdown by Year'!J155</f>
        <v>0.15</v>
      </c>
      <c r="Q488" s="44">
        <f t="shared" si="347"/>
        <v>12</v>
      </c>
      <c r="R488" s="44">
        <f t="shared" si="354"/>
        <v>3125.5875000000001</v>
      </c>
      <c r="S488" s="115">
        <f>'LOE Breakdown by Year'!J201</f>
        <v>0.15</v>
      </c>
      <c r="T488" s="44">
        <f t="shared" si="348"/>
        <v>12</v>
      </c>
      <c r="U488" s="44">
        <f t="shared" si="355"/>
        <v>3281.8668750000002</v>
      </c>
      <c r="V488" s="115">
        <f>'LOE Breakdown by Year'!J247</f>
        <v>0.15</v>
      </c>
      <c r="W488" s="44">
        <f t="shared" si="349"/>
        <v>6</v>
      </c>
      <c r="X488" s="44">
        <f t="shared" si="356"/>
        <v>1722.9801093750002</v>
      </c>
      <c r="Y488" s="44">
        <f t="shared" si="357"/>
        <v>15967.184484375</v>
      </c>
      <c r="Z488" s="44">
        <v>0</v>
      </c>
      <c r="AA488" s="44">
        <f t="shared" si="358"/>
        <v>15967.184484375</v>
      </c>
    </row>
    <row r="489" spans="1:28">
      <c r="A489" s="595" t="s">
        <v>1019</v>
      </c>
      <c r="B489" s="595">
        <v>70000</v>
      </c>
      <c r="C489" s="595" t="s">
        <v>747</v>
      </c>
      <c r="D489" s="8" t="str">
        <f t="shared" si="343"/>
        <v>Nutrition Officer - (2 Individuals)</v>
      </c>
      <c r="E489" s="115">
        <f>'LOE Breakdown by Year'!J18</f>
        <v>0.15</v>
      </c>
      <c r="F489" s="50" t="s">
        <v>100</v>
      </c>
      <c r="G489" s="44">
        <f t="shared" si="344"/>
        <v>6</v>
      </c>
      <c r="H489" s="44">
        <f t="shared" si="344"/>
        <v>1000</v>
      </c>
      <c r="I489" s="44">
        <f t="shared" si="351"/>
        <v>900</v>
      </c>
      <c r="J489" s="115">
        <f>'LOE Breakdown by Year'!J64</f>
        <v>0.15</v>
      </c>
      <c r="K489" s="44">
        <f t="shared" si="345"/>
        <v>24</v>
      </c>
      <c r="L489" s="44">
        <f t="shared" si="352"/>
        <v>3780</v>
      </c>
      <c r="M489" s="115">
        <f>'LOE Breakdown by Year'!J110</f>
        <v>0.15</v>
      </c>
      <c r="N489" s="44">
        <f t="shared" si="346"/>
        <v>24</v>
      </c>
      <c r="O489" s="44">
        <f t="shared" si="353"/>
        <v>3969</v>
      </c>
      <c r="P489" s="115">
        <f>'LOE Breakdown by Year'!J156</f>
        <v>0.15</v>
      </c>
      <c r="Q489" s="44">
        <f t="shared" si="347"/>
        <v>24</v>
      </c>
      <c r="R489" s="44">
        <f t="shared" si="354"/>
        <v>4167.45</v>
      </c>
      <c r="S489" s="115">
        <f>'LOE Breakdown by Year'!J202</f>
        <v>0.15</v>
      </c>
      <c r="T489" s="44">
        <f t="shared" si="348"/>
        <v>24</v>
      </c>
      <c r="U489" s="44">
        <f t="shared" si="355"/>
        <v>4375.8225000000002</v>
      </c>
      <c r="V489" s="115">
        <f>'LOE Breakdown by Year'!J248</f>
        <v>0.15</v>
      </c>
      <c r="W489" s="44">
        <f t="shared" si="349"/>
        <v>6</v>
      </c>
      <c r="X489" s="44">
        <f t="shared" si="356"/>
        <v>1148.6534062500002</v>
      </c>
      <c r="Y489" s="44">
        <f t="shared" si="357"/>
        <v>18340.925906249999</v>
      </c>
      <c r="Z489" s="44">
        <v>0</v>
      </c>
      <c r="AA489" s="44">
        <f t="shared" si="358"/>
        <v>18340.925906249999</v>
      </c>
      <c r="AB489" s="569"/>
    </row>
    <row r="490" spans="1:28">
      <c r="A490" s="595" t="s">
        <v>1020</v>
      </c>
      <c r="B490" s="595">
        <v>70000</v>
      </c>
      <c r="C490" s="595" t="s">
        <v>747</v>
      </c>
      <c r="D490" s="8" t="str">
        <f t="shared" si="343"/>
        <v>School Feeding Specialist</v>
      </c>
      <c r="E490" s="115">
        <f>'LOE Breakdown by Year'!J19</f>
        <v>0.15</v>
      </c>
      <c r="F490" s="50" t="s">
        <v>100</v>
      </c>
      <c r="G490" s="44">
        <f t="shared" si="344"/>
        <v>9</v>
      </c>
      <c r="H490" s="44">
        <f t="shared" si="344"/>
        <v>1500</v>
      </c>
      <c r="I490" s="44">
        <f t="shared" si="351"/>
        <v>2025</v>
      </c>
      <c r="J490" s="115">
        <f>'LOE Breakdown by Year'!J65</f>
        <v>0.15</v>
      </c>
      <c r="K490" s="44">
        <f t="shared" si="345"/>
        <v>12</v>
      </c>
      <c r="L490" s="44">
        <f t="shared" si="352"/>
        <v>2835</v>
      </c>
      <c r="M490" s="115">
        <f>'LOE Breakdown by Year'!J111</f>
        <v>0.15</v>
      </c>
      <c r="N490" s="44">
        <f t="shared" si="346"/>
        <v>12</v>
      </c>
      <c r="O490" s="44">
        <f t="shared" si="353"/>
        <v>2976.75</v>
      </c>
      <c r="P490" s="115">
        <f>'LOE Breakdown by Year'!J157</f>
        <v>0.15</v>
      </c>
      <c r="Q490" s="44">
        <f t="shared" si="347"/>
        <v>12</v>
      </c>
      <c r="R490" s="44">
        <f t="shared" si="354"/>
        <v>3125.5875000000001</v>
      </c>
      <c r="S490" s="115">
        <f>'LOE Breakdown by Year'!J203</f>
        <v>0.15</v>
      </c>
      <c r="T490" s="44">
        <f t="shared" si="348"/>
        <v>6</v>
      </c>
      <c r="U490" s="44">
        <f t="shared" si="355"/>
        <v>1640.9334375000001</v>
      </c>
      <c r="V490" s="115">
        <f>'LOE Breakdown by Year'!J249</f>
        <v>0.15</v>
      </c>
      <c r="W490" s="44">
        <f t="shared" si="349"/>
        <v>6</v>
      </c>
      <c r="X490" s="44">
        <f t="shared" si="356"/>
        <v>1722.9801093750002</v>
      </c>
      <c r="Y490" s="44">
        <f t="shared" si="357"/>
        <v>14326.251046875001</v>
      </c>
      <c r="Z490" s="44">
        <v>0</v>
      </c>
      <c r="AA490" s="44">
        <f t="shared" si="358"/>
        <v>14326.251046875001</v>
      </c>
    </row>
    <row r="491" spans="1:28">
      <c r="A491" s="595" t="s">
        <v>1021</v>
      </c>
      <c r="B491" s="595">
        <v>70000</v>
      </c>
      <c r="C491" s="595" t="s">
        <v>747</v>
      </c>
      <c r="D491" s="8" t="str">
        <f t="shared" si="343"/>
        <v>Food Aid Monitors - (2 Individuals)</v>
      </c>
      <c r="E491" s="115">
        <f>'LOE Breakdown by Year'!J20</f>
        <v>7.0000000000000007E-2</v>
      </c>
      <c r="F491" s="50" t="s">
        <v>100</v>
      </c>
      <c r="G491" s="44">
        <f t="shared" si="344"/>
        <v>6</v>
      </c>
      <c r="H491" s="44">
        <f t="shared" si="344"/>
        <v>1000</v>
      </c>
      <c r="I491" s="44">
        <f t="shared" si="351"/>
        <v>420.00000000000006</v>
      </c>
      <c r="J491" s="115">
        <f>'LOE Breakdown by Year'!J66</f>
        <v>7.0000000000000007E-2</v>
      </c>
      <c r="K491" s="44">
        <f t="shared" si="345"/>
        <v>24</v>
      </c>
      <c r="L491" s="44">
        <f t="shared" si="352"/>
        <v>1764.0000000000002</v>
      </c>
      <c r="M491" s="115">
        <f>'LOE Breakdown by Year'!J112</f>
        <v>7.0000000000000007E-2</v>
      </c>
      <c r="N491" s="44">
        <f t="shared" si="346"/>
        <v>24</v>
      </c>
      <c r="O491" s="44">
        <f t="shared" si="353"/>
        <v>1852.2000000000003</v>
      </c>
      <c r="P491" s="115">
        <f>'LOE Breakdown by Year'!J158</f>
        <v>7.0000000000000007E-2</v>
      </c>
      <c r="Q491" s="44">
        <f t="shared" si="347"/>
        <v>24</v>
      </c>
      <c r="R491" s="44">
        <f t="shared" si="354"/>
        <v>1944.8100000000004</v>
      </c>
      <c r="S491" s="115">
        <f>'LOE Breakdown by Year'!J204</f>
        <v>7.0000000000000007E-2</v>
      </c>
      <c r="T491" s="44">
        <f t="shared" si="348"/>
        <v>24</v>
      </c>
      <c r="U491" s="44">
        <f t="shared" si="355"/>
        <v>2042.0505000000005</v>
      </c>
      <c r="V491" s="115">
        <f>'LOE Breakdown by Year'!J250</f>
        <v>7.0000000000000007E-2</v>
      </c>
      <c r="W491" s="44">
        <f t="shared" si="349"/>
        <v>12</v>
      </c>
      <c r="X491" s="44">
        <f t="shared" si="356"/>
        <v>1072.0765125000003</v>
      </c>
      <c r="Y491" s="44">
        <f t="shared" si="357"/>
        <v>9095.1370125000012</v>
      </c>
      <c r="Z491" s="44">
        <v>0</v>
      </c>
      <c r="AA491" s="44">
        <f t="shared" si="358"/>
        <v>9095.1370125000012</v>
      </c>
      <c r="AB491" s="569"/>
    </row>
    <row r="492" spans="1:28" hidden="1">
      <c r="A492" s="595" t="s">
        <v>1022</v>
      </c>
      <c r="B492" s="595">
        <v>70000</v>
      </c>
      <c r="C492" s="595" t="s">
        <v>747</v>
      </c>
      <c r="D492" s="8" t="str">
        <f t="shared" si="343"/>
        <v>WASH Officer</v>
      </c>
      <c r="E492" s="115">
        <f>'LOE Breakdown by Year'!J21</f>
        <v>0</v>
      </c>
      <c r="F492" s="50" t="s">
        <v>100</v>
      </c>
      <c r="G492" s="44">
        <f t="shared" si="344"/>
        <v>6</v>
      </c>
      <c r="H492" s="44">
        <f t="shared" si="344"/>
        <v>1000</v>
      </c>
      <c r="I492" s="44">
        <f t="shared" si="351"/>
        <v>0</v>
      </c>
      <c r="J492" s="115">
        <f>'LOE Breakdown by Year'!J67</f>
        <v>0</v>
      </c>
      <c r="K492" s="44">
        <f t="shared" si="345"/>
        <v>12</v>
      </c>
      <c r="L492" s="44">
        <f t="shared" si="352"/>
        <v>0</v>
      </c>
      <c r="M492" s="115">
        <f>'LOE Breakdown by Year'!J113</f>
        <v>0</v>
      </c>
      <c r="N492" s="44">
        <f t="shared" si="346"/>
        <v>12</v>
      </c>
      <c r="O492" s="44">
        <f t="shared" si="353"/>
        <v>0</v>
      </c>
      <c r="P492" s="115">
        <f>'LOE Breakdown by Year'!J159</f>
        <v>0</v>
      </c>
      <c r="Q492" s="44">
        <f t="shared" si="347"/>
        <v>12</v>
      </c>
      <c r="R492" s="44">
        <f t="shared" si="354"/>
        <v>0</v>
      </c>
      <c r="S492" s="115">
        <f>'LOE Breakdown by Year'!J205</f>
        <v>0</v>
      </c>
      <c r="T492" s="44">
        <f t="shared" si="348"/>
        <v>12</v>
      </c>
      <c r="U492" s="44">
        <f t="shared" si="355"/>
        <v>0</v>
      </c>
      <c r="V492" s="115">
        <f>'LOE Breakdown by Year'!J251</f>
        <v>0</v>
      </c>
      <c r="W492" s="44">
        <f t="shared" si="349"/>
        <v>3</v>
      </c>
      <c r="X492" s="44">
        <f t="shared" si="356"/>
        <v>0</v>
      </c>
      <c r="Y492" s="44">
        <f t="shared" si="357"/>
        <v>0</v>
      </c>
      <c r="Z492" s="44">
        <v>0</v>
      </c>
      <c r="AA492" s="44">
        <f t="shared" si="358"/>
        <v>0</v>
      </c>
    </row>
    <row r="493" spans="1:28">
      <c r="A493" s="595" t="s">
        <v>1023</v>
      </c>
      <c r="B493" s="595">
        <v>70000</v>
      </c>
      <c r="C493" s="595" t="s">
        <v>747</v>
      </c>
      <c r="D493" s="8" t="str">
        <f t="shared" si="343"/>
        <v>Communications Specialist</v>
      </c>
      <c r="E493" s="115">
        <f>'LOE Breakdown by Year'!J22</f>
        <v>0.15</v>
      </c>
      <c r="F493" s="50" t="s">
        <v>100</v>
      </c>
      <c r="G493" s="44">
        <f t="shared" si="344"/>
        <v>8</v>
      </c>
      <c r="H493" s="44">
        <f t="shared" si="344"/>
        <v>1500</v>
      </c>
      <c r="I493" s="44">
        <f t="shared" si="351"/>
        <v>1800</v>
      </c>
      <c r="J493" s="115">
        <f>'LOE Breakdown by Year'!J68</f>
        <v>0.15</v>
      </c>
      <c r="K493" s="44">
        <f t="shared" si="345"/>
        <v>12</v>
      </c>
      <c r="L493" s="44">
        <f t="shared" si="352"/>
        <v>2835</v>
      </c>
      <c r="M493" s="115">
        <f>'LOE Breakdown by Year'!J114</f>
        <v>0.15</v>
      </c>
      <c r="N493" s="44">
        <f t="shared" si="346"/>
        <v>12</v>
      </c>
      <c r="O493" s="44">
        <f t="shared" si="353"/>
        <v>2976.75</v>
      </c>
      <c r="P493" s="115">
        <f>'LOE Breakdown by Year'!J160</f>
        <v>0.15</v>
      </c>
      <c r="Q493" s="44">
        <f t="shared" si="347"/>
        <v>12</v>
      </c>
      <c r="R493" s="44">
        <f t="shared" si="354"/>
        <v>3125.5875000000001</v>
      </c>
      <c r="S493" s="115">
        <f>'LOE Breakdown by Year'!J206</f>
        <v>0.15</v>
      </c>
      <c r="T493" s="44">
        <f t="shared" si="348"/>
        <v>12</v>
      </c>
      <c r="U493" s="44">
        <f t="shared" si="355"/>
        <v>3281.8668750000002</v>
      </c>
      <c r="V493" s="115">
        <f>'LOE Breakdown by Year'!J252</f>
        <v>0.15</v>
      </c>
      <c r="W493" s="44">
        <f t="shared" si="349"/>
        <v>8</v>
      </c>
      <c r="X493" s="44">
        <f t="shared" si="356"/>
        <v>2297.3068125000004</v>
      </c>
      <c r="Y493" s="44">
        <f t="shared" si="357"/>
        <v>16316.5111875</v>
      </c>
      <c r="Z493" s="44">
        <v>0</v>
      </c>
      <c r="AA493" s="44">
        <f t="shared" si="358"/>
        <v>16316.5111875</v>
      </c>
    </row>
    <row r="494" spans="1:28">
      <c r="A494" s="595" t="s">
        <v>1024</v>
      </c>
      <c r="B494" s="595">
        <v>70000</v>
      </c>
      <c r="C494" s="595" t="s">
        <v>747</v>
      </c>
      <c r="D494" s="8" t="str">
        <f t="shared" si="343"/>
        <v>Communications Officer</v>
      </c>
      <c r="E494" s="115">
        <f>'LOE Breakdown by Year'!J23</f>
        <v>0.15</v>
      </c>
      <c r="F494" s="50" t="s">
        <v>100</v>
      </c>
      <c r="G494" s="44">
        <f t="shared" si="344"/>
        <v>0</v>
      </c>
      <c r="H494" s="44">
        <f t="shared" si="344"/>
        <v>1000</v>
      </c>
      <c r="I494" s="44">
        <f t="shared" si="351"/>
        <v>0</v>
      </c>
      <c r="J494" s="115">
        <f>'LOE Breakdown by Year'!J69</f>
        <v>0.15</v>
      </c>
      <c r="K494" s="44">
        <f t="shared" si="345"/>
        <v>12</v>
      </c>
      <c r="L494" s="44">
        <f t="shared" si="352"/>
        <v>1890</v>
      </c>
      <c r="M494" s="115">
        <f>'LOE Breakdown by Year'!J115</f>
        <v>0.15</v>
      </c>
      <c r="N494" s="44">
        <f t="shared" si="346"/>
        <v>12</v>
      </c>
      <c r="O494" s="44">
        <f t="shared" si="353"/>
        <v>1984.5</v>
      </c>
      <c r="P494" s="115">
        <f>'LOE Breakdown by Year'!J161</f>
        <v>0.15</v>
      </c>
      <c r="Q494" s="44">
        <f t="shared" si="347"/>
        <v>12</v>
      </c>
      <c r="R494" s="44">
        <f t="shared" si="354"/>
        <v>2083.7249999999999</v>
      </c>
      <c r="S494" s="115">
        <f>'LOE Breakdown by Year'!J207</f>
        <v>0.15</v>
      </c>
      <c r="T494" s="44">
        <f t="shared" si="348"/>
        <v>12</v>
      </c>
      <c r="U494" s="44">
        <f t="shared" si="355"/>
        <v>2187.9112500000001</v>
      </c>
      <c r="V494" s="115">
        <f>'LOE Breakdown by Year'!J253</f>
        <v>0.15</v>
      </c>
      <c r="W494" s="44">
        <f t="shared" si="349"/>
        <v>0</v>
      </c>
      <c r="X494" s="44">
        <f t="shared" si="356"/>
        <v>0</v>
      </c>
      <c r="Y494" s="44">
        <f t="shared" si="357"/>
        <v>8146.1362500000005</v>
      </c>
      <c r="Z494" s="44">
        <v>0</v>
      </c>
      <c r="AA494" s="44">
        <f t="shared" si="358"/>
        <v>8146.1362500000005</v>
      </c>
    </row>
    <row r="495" spans="1:28">
      <c r="A495" s="595" t="s">
        <v>1025</v>
      </c>
      <c r="B495" s="595">
        <v>70000</v>
      </c>
      <c r="C495" s="595" t="s">
        <v>747</v>
      </c>
      <c r="D495" s="8" t="str">
        <f t="shared" si="343"/>
        <v>Education &amp; Community Engagement Specialist</v>
      </c>
      <c r="E495" s="115">
        <f>'LOE Breakdown by Year'!J24</f>
        <v>0.1</v>
      </c>
      <c r="F495" s="50" t="s">
        <v>100</v>
      </c>
      <c r="G495" s="44">
        <f t="shared" si="344"/>
        <v>6</v>
      </c>
      <c r="H495" s="44">
        <f t="shared" si="344"/>
        <v>1500</v>
      </c>
      <c r="I495" s="44">
        <f t="shared" si="351"/>
        <v>900</v>
      </c>
      <c r="J495" s="115">
        <f>'LOE Breakdown by Year'!J70</f>
        <v>0.1</v>
      </c>
      <c r="K495" s="44">
        <f t="shared" si="345"/>
        <v>12</v>
      </c>
      <c r="L495" s="44">
        <f t="shared" si="352"/>
        <v>1890</v>
      </c>
      <c r="M495" s="115">
        <f>'LOE Breakdown by Year'!J116</f>
        <v>0.1</v>
      </c>
      <c r="N495" s="44">
        <f t="shared" si="346"/>
        <v>12</v>
      </c>
      <c r="O495" s="44">
        <f t="shared" si="353"/>
        <v>1984.5</v>
      </c>
      <c r="P495" s="115">
        <f>'LOE Breakdown by Year'!J162</f>
        <v>0.1</v>
      </c>
      <c r="Q495" s="44">
        <f t="shared" si="347"/>
        <v>12</v>
      </c>
      <c r="R495" s="44">
        <f t="shared" si="354"/>
        <v>2083.7249999999999</v>
      </c>
      <c r="S495" s="115">
        <f>'LOE Breakdown by Year'!J208</f>
        <v>0.1</v>
      </c>
      <c r="T495" s="44">
        <f t="shared" si="348"/>
        <v>12</v>
      </c>
      <c r="U495" s="44">
        <f t="shared" si="355"/>
        <v>2187.9112500000001</v>
      </c>
      <c r="V495" s="115">
        <f>'LOE Breakdown by Year'!J254</f>
        <v>0.1</v>
      </c>
      <c r="W495" s="44">
        <f t="shared" si="349"/>
        <v>8</v>
      </c>
      <c r="X495" s="44">
        <f t="shared" si="356"/>
        <v>1531.5378750000002</v>
      </c>
      <c r="Y495" s="44">
        <f t="shared" si="357"/>
        <v>10577.674125</v>
      </c>
      <c r="Z495" s="44">
        <v>0</v>
      </c>
      <c r="AA495" s="44">
        <f t="shared" si="358"/>
        <v>10577.674125</v>
      </c>
    </row>
    <row r="496" spans="1:28">
      <c r="A496" s="595" t="s">
        <v>1026</v>
      </c>
      <c r="B496" s="595">
        <v>70000</v>
      </c>
      <c r="C496" s="595" t="s">
        <v>747</v>
      </c>
      <c r="D496" s="8" t="str">
        <f t="shared" si="343"/>
        <v>Education &amp; Community Engagement Officer</v>
      </c>
      <c r="E496" s="115">
        <f>'LOE Breakdown by Year'!J25</f>
        <v>0.1</v>
      </c>
      <c r="F496" s="50" t="s">
        <v>100</v>
      </c>
      <c r="G496" s="44">
        <f t="shared" si="344"/>
        <v>3</v>
      </c>
      <c r="H496" s="44">
        <f t="shared" si="344"/>
        <v>1000</v>
      </c>
      <c r="I496" s="44">
        <f t="shared" si="351"/>
        <v>300</v>
      </c>
      <c r="J496" s="115">
        <f>'LOE Breakdown by Year'!J71</f>
        <v>0.1</v>
      </c>
      <c r="K496" s="44">
        <f t="shared" si="345"/>
        <v>12</v>
      </c>
      <c r="L496" s="44">
        <f t="shared" si="352"/>
        <v>1260</v>
      </c>
      <c r="M496" s="115">
        <f>'LOE Breakdown by Year'!J117</f>
        <v>0.1</v>
      </c>
      <c r="N496" s="44">
        <f t="shared" si="346"/>
        <v>12</v>
      </c>
      <c r="O496" s="44">
        <f t="shared" si="353"/>
        <v>1323</v>
      </c>
      <c r="P496" s="115">
        <f>'LOE Breakdown by Year'!J163</f>
        <v>0.1</v>
      </c>
      <c r="Q496" s="44">
        <f t="shared" si="347"/>
        <v>12</v>
      </c>
      <c r="R496" s="44">
        <f t="shared" si="354"/>
        <v>1389.15</v>
      </c>
      <c r="S496" s="115">
        <f>'LOE Breakdown by Year'!J209</f>
        <v>0.1</v>
      </c>
      <c r="T496" s="44">
        <f t="shared" si="348"/>
        <v>12</v>
      </c>
      <c r="U496" s="44">
        <f t="shared" si="355"/>
        <v>1458.6075000000001</v>
      </c>
      <c r="V496" s="115">
        <f>'LOE Breakdown by Year'!J255</f>
        <v>0.1</v>
      </c>
      <c r="W496" s="44">
        <f t="shared" si="349"/>
        <v>0</v>
      </c>
      <c r="X496" s="44">
        <f t="shared" si="356"/>
        <v>0</v>
      </c>
      <c r="Y496" s="44">
        <f t="shared" si="357"/>
        <v>5730.7574999999997</v>
      </c>
      <c r="Z496" s="44">
        <v>0</v>
      </c>
      <c r="AA496" s="44">
        <f t="shared" si="358"/>
        <v>5730.7574999999997</v>
      </c>
    </row>
    <row r="497" spans="1:27" hidden="1">
      <c r="A497" s="595" t="s">
        <v>1027</v>
      </c>
      <c r="B497" s="595">
        <v>70000</v>
      </c>
      <c r="C497" s="595" t="s">
        <v>747</v>
      </c>
      <c r="D497" s="8" t="str">
        <f t="shared" si="343"/>
        <v>Private Sector Specialist</v>
      </c>
      <c r="E497" s="115">
        <f>'LOE Breakdown by Year'!J26</f>
        <v>0</v>
      </c>
      <c r="F497" s="50" t="s">
        <v>100</v>
      </c>
      <c r="G497" s="44">
        <f t="shared" si="344"/>
        <v>9</v>
      </c>
      <c r="H497" s="44">
        <f t="shared" si="344"/>
        <v>2000</v>
      </c>
      <c r="I497" s="44">
        <f t="shared" si="351"/>
        <v>0</v>
      </c>
      <c r="J497" s="115">
        <f>'LOE Breakdown by Year'!J72</f>
        <v>0</v>
      </c>
      <c r="K497" s="44">
        <f t="shared" si="345"/>
        <v>12</v>
      </c>
      <c r="L497" s="44">
        <f t="shared" si="352"/>
        <v>0</v>
      </c>
      <c r="M497" s="115">
        <f>'LOE Breakdown by Year'!J118</f>
        <v>0</v>
      </c>
      <c r="N497" s="44">
        <f t="shared" si="346"/>
        <v>12</v>
      </c>
      <c r="O497" s="44">
        <f t="shared" si="353"/>
        <v>0</v>
      </c>
      <c r="P497" s="115">
        <f>'LOE Breakdown by Year'!J164</f>
        <v>0</v>
      </c>
      <c r="Q497" s="44">
        <f t="shared" si="347"/>
        <v>12</v>
      </c>
      <c r="R497" s="44">
        <f t="shared" si="354"/>
        <v>0</v>
      </c>
      <c r="S497" s="115">
        <f>'LOE Breakdown by Year'!J210</f>
        <v>0</v>
      </c>
      <c r="T497" s="44">
        <f t="shared" si="348"/>
        <v>12</v>
      </c>
      <c r="U497" s="44">
        <f t="shared" si="355"/>
        <v>0</v>
      </c>
      <c r="V497" s="115">
        <f>'LOE Breakdown by Year'!J256</f>
        <v>0</v>
      </c>
      <c r="W497" s="44">
        <f t="shared" si="349"/>
        <v>6</v>
      </c>
      <c r="X497" s="44">
        <f t="shared" si="356"/>
        <v>0</v>
      </c>
      <c r="Y497" s="44">
        <f t="shared" si="357"/>
        <v>0</v>
      </c>
      <c r="Z497" s="44">
        <v>0</v>
      </c>
      <c r="AA497" s="44">
        <f t="shared" si="358"/>
        <v>0</v>
      </c>
    </row>
    <row r="498" spans="1:27" hidden="1">
      <c r="A498" s="595" t="s">
        <v>1028</v>
      </c>
      <c r="B498" s="595">
        <v>70000</v>
      </c>
      <c r="C498" s="595" t="s">
        <v>747</v>
      </c>
      <c r="D498" s="8" t="str">
        <f t="shared" si="343"/>
        <v xml:space="preserve">Key Personnel: M&amp;E Director </v>
      </c>
      <c r="E498" s="115">
        <f>'LOE Breakdown by Year'!J27</f>
        <v>0</v>
      </c>
      <c r="F498" s="50" t="s">
        <v>100</v>
      </c>
      <c r="G498" s="44">
        <f t="shared" si="344"/>
        <v>11</v>
      </c>
      <c r="H498" s="44">
        <f t="shared" si="344"/>
        <v>4583.333333333333</v>
      </c>
      <c r="I498" s="44">
        <f t="shared" si="351"/>
        <v>0</v>
      </c>
      <c r="J498" s="115">
        <f>'LOE Breakdown by Year'!J73</f>
        <v>0</v>
      </c>
      <c r="K498" s="44">
        <f t="shared" si="345"/>
        <v>12</v>
      </c>
      <c r="L498" s="44">
        <f t="shared" si="352"/>
        <v>0</v>
      </c>
      <c r="M498" s="115">
        <f>'LOE Breakdown by Year'!J119</f>
        <v>0</v>
      </c>
      <c r="N498" s="44">
        <f t="shared" si="346"/>
        <v>12</v>
      </c>
      <c r="O498" s="44">
        <f t="shared" si="353"/>
        <v>0</v>
      </c>
      <c r="P498" s="115">
        <f>'LOE Breakdown by Year'!J165</f>
        <v>0</v>
      </c>
      <c r="Q498" s="44">
        <f t="shared" si="347"/>
        <v>12</v>
      </c>
      <c r="R498" s="44">
        <f t="shared" si="354"/>
        <v>0</v>
      </c>
      <c r="S498" s="115">
        <f>'LOE Breakdown by Year'!J211</f>
        <v>0</v>
      </c>
      <c r="T498" s="44">
        <f t="shared" si="348"/>
        <v>12</v>
      </c>
      <c r="U498" s="44">
        <f t="shared" si="355"/>
        <v>0</v>
      </c>
      <c r="V498" s="115">
        <f>'LOE Breakdown by Year'!J257</f>
        <v>0</v>
      </c>
      <c r="W498" s="44">
        <f t="shared" si="349"/>
        <v>12</v>
      </c>
      <c r="X498" s="44">
        <f t="shared" si="356"/>
        <v>0</v>
      </c>
      <c r="Y498" s="44">
        <f t="shared" si="357"/>
        <v>0</v>
      </c>
      <c r="Z498" s="44">
        <v>0</v>
      </c>
      <c r="AA498" s="44">
        <f t="shared" si="358"/>
        <v>0</v>
      </c>
    </row>
    <row r="499" spans="1:27" hidden="1">
      <c r="A499" s="595" t="s">
        <v>1029</v>
      </c>
      <c r="B499" s="595">
        <v>70000</v>
      </c>
      <c r="C499" s="595" t="s">
        <v>747</v>
      </c>
      <c r="D499" s="8" t="str">
        <f t="shared" si="343"/>
        <v>M&amp;E Specialist</v>
      </c>
      <c r="E499" s="115">
        <f>'LOE Breakdown by Year'!J28</f>
        <v>0</v>
      </c>
      <c r="F499" s="50" t="s">
        <v>100</v>
      </c>
      <c r="G499" s="44">
        <f t="shared" si="344"/>
        <v>6</v>
      </c>
      <c r="H499" s="44">
        <f t="shared" si="344"/>
        <v>2000</v>
      </c>
      <c r="I499" s="44">
        <f t="shared" si="351"/>
        <v>0</v>
      </c>
      <c r="J499" s="115">
        <f>'LOE Breakdown by Year'!J74</f>
        <v>0</v>
      </c>
      <c r="K499" s="44">
        <f t="shared" si="345"/>
        <v>12</v>
      </c>
      <c r="L499" s="44">
        <f t="shared" si="352"/>
        <v>0</v>
      </c>
      <c r="M499" s="115">
        <f>'LOE Breakdown by Year'!J120</f>
        <v>0</v>
      </c>
      <c r="N499" s="44">
        <f t="shared" si="346"/>
        <v>12</v>
      </c>
      <c r="O499" s="44">
        <f t="shared" si="353"/>
        <v>0</v>
      </c>
      <c r="P499" s="115">
        <f>'LOE Breakdown by Year'!J166</f>
        <v>0</v>
      </c>
      <c r="Q499" s="44">
        <f t="shared" si="347"/>
        <v>12</v>
      </c>
      <c r="R499" s="44">
        <f t="shared" si="354"/>
        <v>0</v>
      </c>
      <c r="S499" s="115">
        <f>'LOE Breakdown by Year'!J212</f>
        <v>0</v>
      </c>
      <c r="T499" s="44">
        <f t="shared" si="348"/>
        <v>12</v>
      </c>
      <c r="U499" s="44">
        <f t="shared" si="355"/>
        <v>0</v>
      </c>
      <c r="V499" s="115">
        <f>'LOE Breakdown by Year'!J258</f>
        <v>0</v>
      </c>
      <c r="W499" s="44">
        <f t="shared" si="349"/>
        <v>11</v>
      </c>
      <c r="X499" s="44">
        <f t="shared" si="356"/>
        <v>0</v>
      </c>
      <c r="Y499" s="44">
        <f t="shared" si="357"/>
        <v>0</v>
      </c>
      <c r="Z499" s="44">
        <v>0</v>
      </c>
      <c r="AA499" s="44">
        <f t="shared" si="358"/>
        <v>0</v>
      </c>
    </row>
    <row r="500" spans="1:27" hidden="1">
      <c r="A500" s="595" t="s">
        <v>1030</v>
      </c>
      <c r="B500" s="595">
        <v>70000</v>
      </c>
      <c r="C500" s="595" t="s">
        <v>747</v>
      </c>
      <c r="D500" s="8" t="str">
        <f t="shared" si="343"/>
        <v>M&amp;E Officer</v>
      </c>
      <c r="E500" s="115">
        <f>'LOE Breakdown by Year'!J29</f>
        <v>0</v>
      </c>
      <c r="F500" s="50" t="s">
        <v>100</v>
      </c>
      <c r="G500" s="44">
        <f t="shared" si="344"/>
        <v>2</v>
      </c>
      <c r="H500" s="44">
        <f t="shared" si="344"/>
        <v>1250</v>
      </c>
      <c r="I500" s="44">
        <f t="shared" si="351"/>
        <v>0</v>
      </c>
      <c r="J500" s="115">
        <f>'LOE Breakdown by Year'!J75</f>
        <v>0</v>
      </c>
      <c r="K500" s="44">
        <f t="shared" si="345"/>
        <v>12</v>
      </c>
      <c r="L500" s="44">
        <f t="shared" si="352"/>
        <v>0</v>
      </c>
      <c r="M500" s="115">
        <f>'LOE Breakdown by Year'!J121</f>
        <v>0</v>
      </c>
      <c r="N500" s="44">
        <f t="shared" si="346"/>
        <v>12</v>
      </c>
      <c r="O500" s="44">
        <f t="shared" si="353"/>
        <v>0</v>
      </c>
      <c r="P500" s="115">
        <f>'LOE Breakdown by Year'!J167</f>
        <v>0</v>
      </c>
      <c r="Q500" s="44">
        <f t="shared" si="347"/>
        <v>12</v>
      </c>
      <c r="R500" s="44">
        <f t="shared" si="354"/>
        <v>0</v>
      </c>
      <c r="S500" s="115">
        <f>'LOE Breakdown by Year'!J213</f>
        <v>0</v>
      </c>
      <c r="T500" s="44">
        <f t="shared" si="348"/>
        <v>12</v>
      </c>
      <c r="U500" s="44">
        <f t="shared" si="355"/>
        <v>0</v>
      </c>
      <c r="V500" s="115">
        <f>'LOE Breakdown by Year'!J259</f>
        <v>0</v>
      </c>
      <c r="W500" s="44">
        <f t="shared" si="349"/>
        <v>3</v>
      </c>
      <c r="X500" s="44">
        <f t="shared" si="356"/>
        <v>0</v>
      </c>
      <c r="Y500" s="44">
        <f t="shared" si="357"/>
        <v>0</v>
      </c>
      <c r="Z500" s="44">
        <v>0</v>
      </c>
      <c r="AA500" s="44">
        <f t="shared" si="358"/>
        <v>0</v>
      </c>
    </row>
    <row r="501" spans="1:27" hidden="1">
      <c r="A501" s="595" t="s">
        <v>1031</v>
      </c>
      <c r="B501" s="595">
        <v>70000</v>
      </c>
      <c r="C501" s="595" t="s">
        <v>747</v>
      </c>
      <c r="D501" s="8" t="str">
        <f t="shared" si="343"/>
        <v>Supply Chain Manager</v>
      </c>
      <c r="E501" s="115">
        <f>'LOE Breakdown by Year'!J30</f>
        <v>0</v>
      </c>
      <c r="F501" s="50" t="s">
        <v>100</v>
      </c>
      <c r="G501" s="44">
        <f t="shared" si="344"/>
        <v>11</v>
      </c>
      <c r="H501" s="44">
        <f t="shared" si="344"/>
        <v>5000</v>
      </c>
      <c r="I501" s="44">
        <f t="shared" si="351"/>
        <v>0</v>
      </c>
      <c r="J501" s="115">
        <f>'LOE Breakdown by Year'!J76</f>
        <v>0</v>
      </c>
      <c r="K501" s="44">
        <f t="shared" si="345"/>
        <v>12</v>
      </c>
      <c r="L501" s="44">
        <f t="shared" si="352"/>
        <v>0</v>
      </c>
      <c r="M501" s="115">
        <f>'LOE Breakdown by Year'!J122</f>
        <v>0</v>
      </c>
      <c r="N501" s="44">
        <f t="shared" si="346"/>
        <v>12</v>
      </c>
      <c r="O501" s="44">
        <f t="shared" si="353"/>
        <v>0</v>
      </c>
      <c r="P501" s="115">
        <f>'LOE Breakdown by Year'!J168</f>
        <v>0</v>
      </c>
      <c r="Q501" s="44">
        <f t="shared" si="347"/>
        <v>12</v>
      </c>
      <c r="R501" s="44">
        <f t="shared" si="354"/>
        <v>0</v>
      </c>
      <c r="S501" s="115">
        <f>'LOE Breakdown by Year'!J214</f>
        <v>0</v>
      </c>
      <c r="T501" s="44">
        <f t="shared" si="348"/>
        <v>12</v>
      </c>
      <c r="U501" s="44">
        <f t="shared" si="355"/>
        <v>0</v>
      </c>
      <c r="V501" s="115">
        <f>'LOE Breakdown by Year'!J260</f>
        <v>0</v>
      </c>
      <c r="W501" s="44">
        <f t="shared" si="349"/>
        <v>8</v>
      </c>
      <c r="X501" s="44">
        <f t="shared" si="356"/>
        <v>0</v>
      </c>
      <c r="Y501" s="44">
        <f t="shared" si="357"/>
        <v>0</v>
      </c>
      <c r="Z501" s="44">
        <v>0</v>
      </c>
      <c r="AA501" s="44">
        <f t="shared" si="358"/>
        <v>0</v>
      </c>
    </row>
    <row r="502" spans="1:27" hidden="1">
      <c r="A502" s="595" t="s">
        <v>1032</v>
      </c>
      <c r="B502" s="595">
        <v>70000</v>
      </c>
      <c r="C502" s="595" t="s">
        <v>747</v>
      </c>
      <c r="D502" s="8" t="str">
        <f t="shared" si="343"/>
        <v>In-Country Logistics Specialist</v>
      </c>
      <c r="E502" s="115">
        <f>'LOE Breakdown by Year'!J31</f>
        <v>0</v>
      </c>
      <c r="F502" s="50" t="s">
        <v>100</v>
      </c>
      <c r="G502" s="44">
        <f t="shared" ref="G502:H515" si="359">G32</f>
        <v>9</v>
      </c>
      <c r="H502" s="44">
        <f t="shared" si="359"/>
        <v>2000</v>
      </c>
      <c r="I502" s="44">
        <f t="shared" si="351"/>
        <v>0</v>
      </c>
      <c r="J502" s="115">
        <f>'LOE Breakdown by Year'!J77</f>
        <v>0</v>
      </c>
      <c r="K502" s="44">
        <f t="shared" si="345"/>
        <v>12</v>
      </c>
      <c r="L502" s="44">
        <f t="shared" si="352"/>
        <v>0</v>
      </c>
      <c r="M502" s="115">
        <f>'LOE Breakdown by Year'!J123</f>
        <v>0</v>
      </c>
      <c r="N502" s="44">
        <f t="shared" si="346"/>
        <v>12</v>
      </c>
      <c r="O502" s="44">
        <f t="shared" si="353"/>
        <v>0</v>
      </c>
      <c r="P502" s="115">
        <f>'LOE Breakdown by Year'!J169</f>
        <v>0</v>
      </c>
      <c r="Q502" s="44">
        <f t="shared" si="347"/>
        <v>12</v>
      </c>
      <c r="R502" s="44">
        <f t="shared" si="354"/>
        <v>0</v>
      </c>
      <c r="S502" s="115">
        <f>'LOE Breakdown by Year'!J215</f>
        <v>0</v>
      </c>
      <c r="T502" s="44">
        <f t="shared" si="348"/>
        <v>12</v>
      </c>
      <c r="U502" s="44">
        <f t="shared" si="355"/>
        <v>0</v>
      </c>
      <c r="V502" s="115">
        <f>'LOE Breakdown by Year'!J261</f>
        <v>0</v>
      </c>
      <c r="W502" s="44">
        <f t="shared" si="349"/>
        <v>8</v>
      </c>
      <c r="X502" s="44">
        <f t="shared" si="356"/>
        <v>0</v>
      </c>
      <c r="Y502" s="44">
        <f t="shared" si="357"/>
        <v>0</v>
      </c>
      <c r="Z502" s="44">
        <v>0</v>
      </c>
      <c r="AA502" s="44">
        <f t="shared" si="358"/>
        <v>0</v>
      </c>
    </row>
    <row r="503" spans="1:27" hidden="1">
      <c r="A503" s="595" t="s">
        <v>1033</v>
      </c>
      <c r="B503" s="595">
        <v>70000</v>
      </c>
      <c r="C503" s="595" t="s">
        <v>747</v>
      </c>
      <c r="D503" s="8" t="str">
        <f t="shared" si="343"/>
        <v>US Commodity Logistics Specialist</v>
      </c>
      <c r="E503" s="115">
        <f>'LOE Breakdown by Year'!J32</f>
        <v>0</v>
      </c>
      <c r="F503" s="50" t="s">
        <v>100</v>
      </c>
      <c r="G503" s="44">
        <f t="shared" si="359"/>
        <v>9</v>
      </c>
      <c r="H503" s="44">
        <f t="shared" si="359"/>
        <v>2000</v>
      </c>
      <c r="I503" s="44">
        <f t="shared" si="351"/>
        <v>0</v>
      </c>
      <c r="J503" s="115">
        <f>'LOE Breakdown by Year'!J78</f>
        <v>0</v>
      </c>
      <c r="K503" s="44">
        <f t="shared" si="345"/>
        <v>12</v>
      </c>
      <c r="L503" s="44">
        <f t="shared" si="352"/>
        <v>0</v>
      </c>
      <c r="M503" s="115">
        <f>'LOE Breakdown by Year'!J124</f>
        <v>0</v>
      </c>
      <c r="N503" s="44">
        <f t="shared" si="346"/>
        <v>12</v>
      </c>
      <c r="O503" s="44">
        <f t="shared" si="353"/>
        <v>0</v>
      </c>
      <c r="P503" s="115">
        <f>'LOE Breakdown by Year'!J170</f>
        <v>0</v>
      </c>
      <c r="Q503" s="44">
        <f t="shared" si="347"/>
        <v>12</v>
      </c>
      <c r="R503" s="44">
        <f t="shared" si="354"/>
        <v>0</v>
      </c>
      <c r="S503" s="115">
        <f>'LOE Breakdown by Year'!J216</f>
        <v>0</v>
      </c>
      <c r="T503" s="44">
        <f t="shared" si="348"/>
        <v>12</v>
      </c>
      <c r="U503" s="44">
        <f t="shared" si="355"/>
        <v>0</v>
      </c>
      <c r="V503" s="115">
        <f>'LOE Breakdown by Year'!J262</f>
        <v>0</v>
      </c>
      <c r="W503" s="44">
        <f t="shared" si="349"/>
        <v>8</v>
      </c>
      <c r="X503" s="44">
        <f t="shared" si="356"/>
        <v>0</v>
      </c>
      <c r="Y503" s="44">
        <f t="shared" si="357"/>
        <v>0</v>
      </c>
      <c r="Z503" s="44">
        <v>0</v>
      </c>
      <c r="AA503" s="44">
        <f t="shared" si="358"/>
        <v>0</v>
      </c>
    </row>
    <row r="504" spans="1:27" hidden="1">
      <c r="A504" s="595" t="s">
        <v>1034</v>
      </c>
      <c r="B504" s="595">
        <v>70000</v>
      </c>
      <c r="C504" s="595" t="s">
        <v>747</v>
      </c>
      <c r="D504" s="8" t="str">
        <f t="shared" si="343"/>
        <v>Warehouse Manager</v>
      </c>
      <c r="E504" s="115">
        <f>'LOE Breakdown by Year'!J33</f>
        <v>0</v>
      </c>
      <c r="F504" s="50" t="s">
        <v>100</v>
      </c>
      <c r="G504" s="44">
        <f t="shared" si="359"/>
        <v>8</v>
      </c>
      <c r="H504" s="44">
        <f t="shared" si="359"/>
        <v>1250</v>
      </c>
      <c r="I504" s="44">
        <f t="shared" si="351"/>
        <v>0</v>
      </c>
      <c r="J504" s="115">
        <f>'LOE Breakdown by Year'!J79</f>
        <v>0</v>
      </c>
      <c r="K504" s="44">
        <f t="shared" si="345"/>
        <v>12</v>
      </c>
      <c r="L504" s="44">
        <f t="shared" si="352"/>
        <v>0</v>
      </c>
      <c r="M504" s="115">
        <f>'LOE Breakdown by Year'!J125</f>
        <v>0</v>
      </c>
      <c r="N504" s="44">
        <f t="shared" si="346"/>
        <v>12</v>
      </c>
      <c r="O504" s="44">
        <f t="shared" si="353"/>
        <v>0</v>
      </c>
      <c r="P504" s="115">
        <f>'LOE Breakdown by Year'!J171</f>
        <v>0</v>
      </c>
      <c r="Q504" s="44">
        <f t="shared" si="347"/>
        <v>12</v>
      </c>
      <c r="R504" s="44">
        <f t="shared" si="354"/>
        <v>0</v>
      </c>
      <c r="S504" s="115">
        <f>'LOE Breakdown by Year'!J217</f>
        <v>0</v>
      </c>
      <c r="T504" s="44">
        <f t="shared" si="348"/>
        <v>12</v>
      </c>
      <c r="U504" s="44">
        <f t="shared" si="355"/>
        <v>0</v>
      </c>
      <c r="V504" s="115">
        <f>'LOE Breakdown by Year'!J263</f>
        <v>0</v>
      </c>
      <c r="W504" s="44">
        <f t="shared" si="349"/>
        <v>8</v>
      </c>
      <c r="X504" s="44">
        <f t="shared" si="356"/>
        <v>0</v>
      </c>
      <c r="Y504" s="44">
        <f t="shared" si="357"/>
        <v>0</v>
      </c>
      <c r="Z504" s="44">
        <v>0</v>
      </c>
      <c r="AA504" s="44">
        <f t="shared" si="358"/>
        <v>0</v>
      </c>
    </row>
    <row r="505" spans="1:27" hidden="1">
      <c r="A505" s="595" t="s">
        <v>1035</v>
      </c>
      <c r="B505" s="595">
        <v>70000</v>
      </c>
      <c r="C505" s="595" t="s">
        <v>747</v>
      </c>
      <c r="D505" s="8" t="str">
        <f t="shared" si="343"/>
        <v>Warehouse Officer - (2 Individuals)</v>
      </c>
      <c r="E505" s="115">
        <f>'LOE Breakdown by Year'!J34</f>
        <v>0</v>
      </c>
      <c r="F505" s="50" t="s">
        <v>100</v>
      </c>
      <c r="G505" s="44">
        <f t="shared" si="359"/>
        <v>8</v>
      </c>
      <c r="H505" s="44">
        <f t="shared" si="359"/>
        <v>1000</v>
      </c>
      <c r="I505" s="44">
        <f t="shared" si="351"/>
        <v>0</v>
      </c>
      <c r="J505" s="115">
        <f>'LOE Breakdown by Year'!J80</f>
        <v>0</v>
      </c>
      <c r="K505" s="44">
        <f t="shared" si="345"/>
        <v>24</v>
      </c>
      <c r="L505" s="44">
        <f t="shared" si="352"/>
        <v>0</v>
      </c>
      <c r="M505" s="115">
        <f>'LOE Breakdown by Year'!J126</f>
        <v>0</v>
      </c>
      <c r="N505" s="44">
        <f t="shared" si="346"/>
        <v>24</v>
      </c>
      <c r="O505" s="44">
        <f t="shared" si="353"/>
        <v>0</v>
      </c>
      <c r="P505" s="115">
        <f>'LOE Breakdown by Year'!J172</f>
        <v>0</v>
      </c>
      <c r="Q505" s="44">
        <f t="shared" si="347"/>
        <v>24</v>
      </c>
      <c r="R505" s="44">
        <f t="shared" si="354"/>
        <v>0</v>
      </c>
      <c r="S505" s="115">
        <f>'LOE Breakdown by Year'!J218</f>
        <v>0</v>
      </c>
      <c r="T505" s="44">
        <f t="shared" si="348"/>
        <v>24</v>
      </c>
      <c r="U505" s="44">
        <f t="shared" si="355"/>
        <v>0</v>
      </c>
      <c r="V505" s="115">
        <f>'LOE Breakdown by Year'!J264</f>
        <v>0</v>
      </c>
      <c r="W505" s="44">
        <f t="shared" si="349"/>
        <v>8</v>
      </c>
      <c r="X505" s="44">
        <f t="shared" si="356"/>
        <v>0</v>
      </c>
      <c r="Y505" s="44">
        <f t="shared" si="357"/>
        <v>0</v>
      </c>
      <c r="Z505" s="44">
        <v>0</v>
      </c>
      <c r="AA505" s="44">
        <f t="shared" si="358"/>
        <v>0</v>
      </c>
    </row>
    <row r="506" spans="1:27" hidden="1">
      <c r="A506" s="595" t="s">
        <v>1036</v>
      </c>
      <c r="B506" s="595">
        <v>70000</v>
      </c>
      <c r="C506" s="595" t="s">
        <v>747</v>
      </c>
      <c r="D506" s="8" t="str">
        <f t="shared" si="343"/>
        <v xml:space="preserve">LRP Technical Specialist </v>
      </c>
      <c r="E506" s="115">
        <f>'LOE Breakdown by Year'!J35</f>
        <v>0</v>
      </c>
      <c r="F506" s="50" t="s">
        <v>100</v>
      </c>
      <c r="G506" s="44">
        <f t="shared" si="359"/>
        <v>8</v>
      </c>
      <c r="H506" s="44">
        <f t="shared" si="359"/>
        <v>1500</v>
      </c>
      <c r="I506" s="44">
        <f t="shared" si="351"/>
        <v>0</v>
      </c>
      <c r="J506" s="115">
        <f>'LOE Breakdown by Year'!J81</f>
        <v>0</v>
      </c>
      <c r="K506" s="44">
        <f t="shared" si="345"/>
        <v>12</v>
      </c>
      <c r="L506" s="44">
        <f t="shared" si="352"/>
        <v>0</v>
      </c>
      <c r="M506" s="115">
        <f>'LOE Breakdown by Year'!J127</f>
        <v>0</v>
      </c>
      <c r="N506" s="44">
        <f t="shared" si="346"/>
        <v>12</v>
      </c>
      <c r="O506" s="44">
        <f t="shared" si="353"/>
        <v>0</v>
      </c>
      <c r="P506" s="115">
        <f>'LOE Breakdown by Year'!J173</f>
        <v>0</v>
      </c>
      <c r="Q506" s="44">
        <f t="shared" si="347"/>
        <v>12</v>
      </c>
      <c r="R506" s="44">
        <f t="shared" si="354"/>
        <v>0</v>
      </c>
      <c r="S506" s="115">
        <f>'LOE Breakdown by Year'!J219</f>
        <v>0</v>
      </c>
      <c r="T506" s="44">
        <f t="shared" si="348"/>
        <v>12</v>
      </c>
      <c r="U506" s="44">
        <f t="shared" si="355"/>
        <v>0</v>
      </c>
      <c r="V506" s="115">
        <f>'LOE Breakdown by Year'!J265</f>
        <v>0</v>
      </c>
      <c r="W506" s="44">
        <f t="shared" si="349"/>
        <v>0</v>
      </c>
      <c r="X506" s="44">
        <f t="shared" si="356"/>
        <v>0</v>
      </c>
      <c r="Y506" s="44">
        <f t="shared" si="357"/>
        <v>0</v>
      </c>
      <c r="Z506" s="44">
        <v>0</v>
      </c>
      <c r="AA506" s="44">
        <f t="shared" si="358"/>
        <v>0</v>
      </c>
    </row>
    <row r="507" spans="1:27" hidden="1">
      <c r="A507" s="595" t="s">
        <v>1037</v>
      </c>
      <c r="B507" s="595">
        <v>70000</v>
      </c>
      <c r="C507" s="595" t="s">
        <v>747</v>
      </c>
      <c r="D507" s="8" t="str">
        <f t="shared" si="343"/>
        <v>Finance &amp; Administration Director</v>
      </c>
      <c r="E507" s="115">
        <f>'LOE Breakdown by Year'!J36</f>
        <v>0</v>
      </c>
      <c r="F507" s="50" t="s">
        <v>100</v>
      </c>
      <c r="G507" s="44">
        <f t="shared" si="359"/>
        <v>9</v>
      </c>
      <c r="H507" s="44">
        <f t="shared" si="359"/>
        <v>5000</v>
      </c>
      <c r="I507" s="44">
        <f t="shared" si="351"/>
        <v>0</v>
      </c>
      <c r="J507" s="115">
        <f>'LOE Breakdown by Year'!J82</f>
        <v>0</v>
      </c>
      <c r="K507" s="44">
        <f t="shared" si="345"/>
        <v>12</v>
      </c>
      <c r="L507" s="44">
        <f t="shared" si="352"/>
        <v>0</v>
      </c>
      <c r="M507" s="115">
        <f>'LOE Breakdown by Year'!J128</f>
        <v>0</v>
      </c>
      <c r="N507" s="44">
        <f t="shared" si="346"/>
        <v>12</v>
      </c>
      <c r="O507" s="44">
        <f t="shared" si="353"/>
        <v>0</v>
      </c>
      <c r="P507" s="115">
        <f>'LOE Breakdown by Year'!J174</f>
        <v>0</v>
      </c>
      <c r="Q507" s="44">
        <f t="shared" si="347"/>
        <v>12</v>
      </c>
      <c r="R507" s="44">
        <f t="shared" si="354"/>
        <v>0</v>
      </c>
      <c r="S507" s="115">
        <f>'LOE Breakdown by Year'!J220</f>
        <v>0</v>
      </c>
      <c r="T507" s="44">
        <f t="shared" si="348"/>
        <v>12</v>
      </c>
      <c r="U507" s="44">
        <f t="shared" si="355"/>
        <v>0</v>
      </c>
      <c r="V507" s="115">
        <f>'LOE Breakdown by Year'!J266</f>
        <v>0</v>
      </c>
      <c r="W507" s="44">
        <f t="shared" si="349"/>
        <v>12</v>
      </c>
      <c r="X507" s="44">
        <f t="shared" si="356"/>
        <v>0</v>
      </c>
      <c r="Y507" s="44">
        <f t="shared" si="357"/>
        <v>0</v>
      </c>
      <c r="Z507" s="44">
        <v>0</v>
      </c>
      <c r="AA507" s="44">
        <f t="shared" si="358"/>
        <v>0</v>
      </c>
    </row>
    <row r="508" spans="1:27" hidden="1">
      <c r="A508" s="595" t="s">
        <v>1038</v>
      </c>
      <c r="B508" s="595">
        <v>70000</v>
      </c>
      <c r="C508" s="595" t="s">
        <v>747</v>
      </c>
      <c r="D508" s="8" t="str">
        <f t="shared" si="343"/>
        <v>Contracts &amp; Compliance Manager</v>
      </c>
      <c r="E508" s="115">
        <f>'LOE Breakdown by Year'!J37</f>
        <v>0</v>
      </c>
      <c r="F508" s="50" t="s">
        <v>100</v>
      </c>
      <c r="G508" s="44">
        <f t="shared" si="359"/>
        <v>9</v>
      </c>
      <c r="H508" s="44">
        <f t="shared" si="359"/>
        <v>2633.3333333333335</v>
      </c>
      <c r="I508" s="44">
        <f t="shared" si="351"/>
        <v>0</v>
      </c>
      <c r="J508" s="115">
        <f>'LOE Breakdown by Year'!J83</f>
        <v>0</v>
      </c>
      <c r="K508" s="44">
        <f t="shared" si="345"/>
        <v>12</v>
      </c>
      <c r="L508" s="44">
        <f t="shared" si="352"/>
        <v>0</v>
      </c>
      <c r="M508" s="115">
        <f>'LOE Breakdown by Year'!J129</f>
        <v>0</v>
      </c>
      <c r="N508" s="44">
        <f t="shared" si="346"/>
        <v>12</v>
      </c>
      <c r="O508" s="44">
        <f t="shared" si="353"/>
        <v>0</v>
      </c>
      <c r="P508" s="115">
        <f>'LOE Breakdown by Year'!J175</f>
        <v>0</v>
      </c>
      <c r="Q508" s="44">
        <f t="shared" si="347"/>
        <v>12</v>
      </c>
      <c r="R508" s="44">
        <f t="shared" si="354"/>
        <v>0</v>
      </c>
      <c r="S508" s="115">
        <f>'LOE Breakdown by Year'!J221</f>
        <v>0</v>
      </c>
      <c r="T508" s="44">
        <f t="shared" si="348"/>
        <v>12</v>
      </c>
      <c r="U508" s="44">
        <f t="shared" si="355"/>
        <v>0</v>
      </c>
      <c r="V508" s="115">
        <f>'LOE Breakdown by Year'!J267</f>
        <v>0</v>
      </c>
      <c r="W508" s="44">
        <f t="shared" si="349"/>
        <v>11</v>
      </c>
      <c r="X508" s="44">
        <f t="shared" si="356"/>
        <v>0</v>
      </c>
      <c r="Y508" s="44">
        <f t="shared" si="357"/>
        <v>0</v>
      </c>
      <c r="Z508" s="44">
        <v>0</v>
      </c>
      <c r="AA508" s="44">
        <f t="shared" si="358"/>
        <v>0</v>
      </c>
    </row>
    <row r="509" spans="1:27" hidden="1">
      <c r="A509" s="595" t="s">
        <v>1039</v>
      </c>
      <c r="B509" s="595">
        <v>70000</v>
      </c>
      <c r="C509" s="595" t="s">
        <v>747</v>
      </c>
      <c r="D509" s="8" t="str">
        <f t="shared" si="343"/>
        <v>Grants &amp; Procurement Specialist</v>
      </c>
      <c r="E509" s="115">
        <f>'LOE Breakdown by Year'!J38</f>
        <v>0</v>
      </c>
      <c r="F509" s="50" t="s">
        <v>100</v>
      </c>
      <c r="G509" s="44">
        <f t="shared" si="359"/>
        <v>6</v>
      </c>
      <c r="H509" s="44">
        <f t="shared" si="359"/>
        <v>1500</v>
      </c>
      <c r="I509" s="44">
        <f t="shared" si="351"/>
        <v>0</v>
      </c>
      <c r="J509" s="115">
        <f>'LOE Breakdown by Year'!J84</f>
        <v>0</v>
      </c>
      <c r="K509" s="44">
        <f t="shared" si="345"/>
        <v>12</v>
      </c>
      <c r="L509" s="44">
        <f t="shared" si="352"/>
        <v>0</v>
      </c>
      <c r="M509" s="115">
        <f>'LOE Breakdown by Year'!J130</f>
        <v>0</v>
      </c>
      <c r="N509" s="44">
        <f t="shared" si="346"/>
        <v>12</v>
      </c>
      <c r="O509" s="44">
        <f t="shared" si="353"/>
        <v>0</v>
      </c>
      <c r="P509" s="115">
        <f>'LOE Breakdown by Year'!J176</f>
        <v>0</v>
      </c>
      <c r="Q509" s="44">
        <f t="shared" si="347"/>
        <v>12</v>
      </c>
      <c r="R509" s="44">
        <f t="shared" si="354"/>
        <v>0</v>
      </c>
      <c r="S509" s="115">
        <f>'LOE Breakdown by Year'!J222</f>
        <v>0</v>
      </c>
      <c r="T509" s="44">
        <f t="shared" si="348"/>
        <v>12</v>
      </c>
      <c r="U509" s="44">
        <f t="shared" si="355"/>
        <v>0</v>
      </c>
      <c r="V509" s="115">
        <f>'LOE Breakdown by Year'!J268</f>
        <v>0</v>
      </c>
      <c r="W509" s="44">
        <f t="shared" si="349"/>
        <v>6</v>
      </c>
      <c r="X509" s="44">
        <f t="shared" si="356"/>
        <v>0</v>
      </c>
      <c r="Y509" s="44">
        <f t="shared" si="357"/>
        <v>0</v>
      </c>
      <c r="Z509" s="44">
        <v>0</v>
      </c>
      <c r="AA509" s="44">
        <f t="shared" si="358"/>
        <v>0</v>
      </c>
    </row>
    <row r="510" spans="1:27" hidden="1">
      <c r="A510" s="595" t="s">
        <v>1040</v>
      </c>
      <c r="B510" s="595">
        <v>70000</v>
      </c>
      <c r="C510" s="595" t="s">
        <v>747</v>
      </c>
      <c r="D510" s="8" t="str">
        <f t="shared" si="343"/>
        <v>Grants &amp; Procurement Officer</v>
      </c>
      <c r="E510" s="115">
        <f>'LOE Breakdown by Year'!J39</f>
        <v>0</v>
      </c>
      <c r="F510" s="50" t="s">
        <v>100</v>
      </c>
      <c r="G510" s="44">
        <f t="shared" si="359"/>
        <v>2</v>
      </c>
      <c r="H510" s="44">
        <f t="shared" si="359"/>
        <v>1000</v>
      </c>
      <c r="I510" s="44">
        <f t="shared" si="351"/>
        <v>0</v>
      </c>
      <c r="J510" s="115">
        <f>'LOE Breakdown by Year'!J85</f>
        <v>0</v>
      </c>
      <c r="K510" s="44">
        <f t="shared" si="345"/>
        <v>12</v>
      </c>
      <c r="L510" s="44">
        <f t="shared" si="352"/>
        <v>0</v>
      </c>
      <c r="M510" s="115">
        <f>'LOE Breakdown by Year'!J131</f>
        <v>0</v>
      </c>
      <c r="N510" s="44">
        <f t="shared" si="346"/>
        <v>12</v>
      </c>
      <c r="O510" s="44">
        <f t="shared" si="353"/>
        <v>0</v>
      </c>
      <c r="P510" s="115">
        <f>'LOE Breakdown by Year'!J177</f>
        <v>0</v>
      </c>
      <c r="Q510" s="44">
        <f t="shared" si="347"/>
        <v>12</v>
      </c>
      <c r="R510" s="44">
        <f t="shared" si="354"/>
        <v>0</v>
      </c>
      <c r="S510" s="115">
        <f>'LOE Breakdown by Year'!J223</f>
        <v>0</v>
      </c>
      <c r="T510" s="44">
        <f t="shared" si="348"/>
        <v>12</v>
      </c>
      <c r="U510" s="44">
        <f t="shared" si="355"/>
        <v>0</v>
      </c>
      <c r="V510" s="115">
        <f>'LOE Breakdown by Year'!J269</f>
        <v>0</v>
      </c>
      <c r="W510" s="44">
        <f t="shared" si="349"/>
        <v>3</v>
      </c>
      <c r="X510" s="44">
        <f t="shared" si="356"/>
        <v>0</v>
      </c>
      <c r="Y510" s="44">
        <f t="shared" si="357"/>
        <v>0</v>
      </c>
      <c r="Z510" s="44">
        <v>0</v>
      </c>
      <c r="AA510" s="44">
        <f t="shared" si="358"/>
        <v>0</v>
      </c>
    </row>
    <row r="511" spans="1:27" hidden="1">
      <c r="A511" s="595" t="s">
        <v>1041</v>
      </c>
      <c r="B511" s="595">
        <v>70000</v>
      </c>
      <c r="C511" s="595" t="s">
        <v>747</v>
      </c>
      <c r="D511" s="8" t="str">
        <f t="shared" si="343"/>
        <v>Finance Officer</v>
      </c>
      <c r="E511" s="115">
        <f>'LOE Breakdown by Year'!J40</f>
        <v>0</v>
      </c>
      <c r="F511" s="50" t="s">
        <v>100</v>
      </c>
      <c r="G511" s="44">
        <f t="shared" si="359"/>
        <v>9</v>
      </c>
      <c r="H511" s="44">
        <f t="shared" si="359"/>
        <v>1250</v>
      </c>
      <c r="I511" s="44">
        <f t="shared" si="351"/>
        <v>0</v>
      </c>
      <c r="J511" s="115">
        <f>'LOE Breakdown by Year'!J86</f>
        <v>0</v>
      </c>
      <c r="K511" s="44">
        <f t="shared" si="345"/>
        <v>12</v>
      </c>
      <c r="L511" s="44">
        <f t="shared" si="352"/>
        <v>0</v>
      </c>
      <c r="M511" s="115">
        <f>'LOE Breakdown by Year'!J132</f>
        <v>0</v>
      </c>
      <c r="N511" s="44">
        <f t="shared" si="346"/>
        <v>12</v>
      </c>
      <c r="O511" s="44">
        <f t="shared" si="353"/>
        <v>0</v>
      </c>
      <c r="P511" s="115">
        <f>'LOE Breakdown by Year'!J178</f>
        <v>0</v>
      </c>
      <c r="Q511" s="44">
        <f t="shared" si="347"/>
        <v>12</v>
      </c>
      <c r="R511" s="44">
        <f t="shared" si="354"/>
        <v>0</v>
      </c>
      <c r="S511" s="115">
        <f>'LOE Breakdown by Year'!J224</f>
        <v>0</v>
      </c>
      <c r="T511" s="44">
        <f t="shared" si="348"/>
        <v>12</v>
      </c>
      <c r="U511" s="44">
        <f t="shared" si="355"/>
        <v>0</v>
      </c>
      <c r="V511" s="115">
        <f>'LOE Breakdown by Year'!J270</f>
        <v>0</v>
      </c>
      <c r="W511" s="44">
        <f t="shared" si="349"/>
        <v>11</v>
      </c>
      <c r="X511" s="44">
        <f t="shared" si="356"/>
        <v>0</v>
      </c>
      <c r="Y511" s="44">
        <f t="shared" si="357"/>
        <v>0</v>
      </c>
      <c r="Z511" s="44">
        <v>0</v>
      </c>
      <c r="AA511" s="44">
        <f t="shared" si="358"/>
        <v>0</v>
      </c>
    </row>
    <row r="512" spans="1:27" hidden="1">
      <c r="A512" s="595" t="s">
        <v>1042</v>
      </c>
      <c r="B512" s="595">
        <v>70000</v>
      </c>
      <c r="C512" s="595" t="s">
        <v>747</v>
      </c>
      <c r="D512" s="8" t="str">
        <f t="shared" si="343"/>
        <v>Accountant</v>
      </c>
      <c r="E512" s="115">
        <f>'LOE Breakdown by Year'!J41</f>
        <v>0</v>
      </c>
      <c r="F512" s="50" t="s">
        <v>100</v>
      </c>
      <c r="G512" s="44">
        <f t="shared" si="359"/>
        <v>3</v>
      </c>
      <c r="H512" s="44">
        <f t="shared" si="359"/>
        <v>1000</v>
      </c>
      <c r="I512" s="44">
        <f t="shared" si="351"/>
        <v>0</v>
      </c>
      <c r="J512" s="115">
        <f>'LOE Breakdown by Year'!J87</f>
        <v>0</v>
      </c>
      <c r="K512" s="44">
        <f t="shared" si="345"/>
        <v>12</v>
      </c>
      <c r="L512" s="44">
        <f t="shared" si="352"/>
        <v>0</v>
      </c>
      <c r="M512" s="115">
        <f>'LOE Breakdown by Year'!J133</f>
        <v>0</v>
      </c>
      <c r="N512" s="44">
        <f t="shared" si="346"/>
        <v>12</v>
      </c>
      <c r="O512" s="44">
        <f t="shared" si="353"/>
        <v>0</v>
      </c>
      <c r="P512" s="115">
        <f>'LOE Breakdown by Year'!J179</f>
        <v>0</v>
      </c>
      <c r="Q512" s="44">
        <f t="shared" si="347"/>
        <v>12</v>
      </c>
      <c r="R512" s="44">
        <f t="shared" si="354"/>
        <v>0</v>
      </c>
      <c r="S512" s="115">
        <f>'LOE Breakdown by Year'!J225</f>
        <v>0</v>
      </c>
      <c r="T512" s="44">
        <f t="shared" si="348"/>
        <v>12</v>
      </c>
      <c r="U512" s="44">
        <f t="shared" si="355"/>
        <v>0</v>
      </c>
      <c r="V512" s="115">
        <f>'LOE Breakdown by Year'!J271</f>
        <v>0</v>
      </c>
      <c r="W512" s="44">
        <f t="shared" si="349"/>
        <v>9</v>
      </c>
      <c r="X512" s="44">
        <f t="shared" si="356"/>
        <v>0</v>
      </c>
      <c r="Y512" s="44">
        <f t="shared" si="357"/>
        <v>0</v>
      </c>
      <c r="Z512" s="44">
        <v>0</v>
      </c>
      <c r="AA512" s="44">
        <f t="shared" si="358"/>
        <v>0</v>
      </c>
    </row>
    <row r="513" spans="1:27" hidden="1">
      <c r="A513" s="595" t="s">
        <v>1043</v>
      </c>
      <c r="B513" s="595">
        <v>70000</v>
      </c>
      <c r="C513" s="595" t="s">
        <v>747</v>
      </c>
      <c r="D513" s="8" t="str">
        <f t="shared" si="343"/>
        <v>Operation &amp; HR Manager</v>
      </c>
      <c r="E513" s="115">
        <f>'LOE Breakdown by Year'!J42</f>
        <v>0</v>
      </c>
      <c r="F513" s="50" t="s">
        <v>100</v>
      </c>
      <c r="G513" s="44">
        <f t="shared" si="359"/>
        <v>9</v>
      </c>
      <c r="H513" s="44">
        <f t="shared" si="359"/>
        <v>1800</v>
      </c>
      <c r="I513" s="44">
        <f t="shared" si="351"/>
        <v>0</v>
      </c>
      <c r="J513" s="115">
        <f>'LOE Breakdown by Year'!J88</f>
        <v>0</v>
      </c>
      <c r="K513" s="44">
        <f t="shared" si="345"/>
        <v>12</v>
      </c>
      <c r="L513" s="44">
        <f t="shared" si="352"/>
        <v>0</v>
      </c>
      <c r="M513" s="115">
        <f>'LOE Breakdown by Year'!J134</f>
        <v>0</v>
      </c>
      <c r="N513" s="44">
        <f t="shared" si="346"/>
        <v>12</v>
      </c>
      <c r="O513" s="44">
        <f t="shared" si="353"/>
        <v>0</v>
      </c>
      <c r="P513" s="115">
        <f>'LOE Breakdown by Year'!J180</f>
        <v>0</v>
      </c>
      <c r="Q513" s="44">
        <f t="shared" si="347"/>
        <v>12</v>
      </c>
      <c r="R513" s="44">
        <f t="shared" si="354"/>
        <v>0</v>
      </c>
      <c r="S513" s="115">
        <f>'LOE Breakdown by Year'!J226</f>
        <v>0</v>
      </c>
      <c r="T513" s="44">
        <f t="shared" si="348"/>
        <v>12</v>
      </c>
      <c r="U513" s="44">
        <f t="shared" si="355"/>
        <v>0</v>
      </c>
      <c r="V513" s="115">
        <f>'LOE Breakdown by Year'!J272</f>
        <v>0</v>
      </c>
      <c r="W513" s="44">
        <f t="shared" si="349"/>
        <v>11</v>
      </c>
      <c r="X513" s="44">
        <f t="shared" si="356"/>
        <v>0</v>
      </c>
      <c r="Y513" s="44">
        <f t="shared" si="357"/>
        <v>0</v>
      </c>
      <c r="Z513" s="44">
        <v>0</v>
      </c>
      <c r="AA513" s="44">
        <f t="shared" si="358"/>
        <v>0</v>
      </c>
    </row>
    <row r="514" spans="1:27" hidden="1">
      <c r="A514" s="595" t="s">
        <v>1044</v>
      </c>
      <c r="B514" s="595">
        <v>70000</v>
      </c>
      <c r="C514" s="595" t="s">
        <v>747</v>
      </c>
      <c r="D514" s="8" t="str">
        <f t="shared" si="343"/>
        <v>Administrative Assistant - (2 Individuals)</v>
      </c>
      <c r="E514" s="115">
        <f>'LOE Breakdown by Year'!J43</f>
        <v>0</v>
      </c>
      <c r="F514" s="50" t="s">
        <v>100</v>
      </c>
      <c r="G514" s="44">
        <f t="shared" si="359"/>
        <v>6</v>
      </c>
      <c r="H514" s="44">
        <f t="shared" si="359"/>
        <v>750</v>
      </c>
      <c r="I514" s="44">
        <f t="shared" si="351"/>
        <v>0</v>
      </c>
      <c r="J514" s="115">
        <f>'LOE Breakdown by Year'!J89</f>
        <v>0</v>
      </c>
      <c r="K514" s="44">
        <f t="shared" si="345"/>
        <v>24</v>
      </c>
      <c r="L514" s="44">
        <f t="shared" si="352"/>
        <v>0</v>
      </c>
      <c r="M514" s="115">
        <f>'LOE Breakdown by Year'!J135</f>
        <v>0</v>
      </c>
      <c r="N514" s="44">
        <f t="shared" si="346"/>
        <v>24</v>
      </c>
      <c r="O514" s="44">
        <f t="shared" si="353"/>
        <v>0</v>
      </c>
      <c r="P514" s="115">
        <f>'LOE Breakdown by Year'!J181</f>
        <v>0</v>
      </c>
      <c r="Q514" s="44">
        <f t="shared" si="347"/>
        <v>24</v>
      </c>
      <c r="R514" s="44">
        <f t="shared" si="354"/>
        <v>0</v>
      </c>
      <c r="S514" s="115">
        <f>'LOE Breakdown by Year'!J227</f>
        <v>0</v>
      </c>
      <c r="T514" s="44">
        <f t="shared" si="348"/>
        <v>24</v>
      </c>
      <c r="U514" s="44">
        <f t="shared" si="355"/>
        <v>0</v>
      </c>
      <c r="V514" s="115">
        <f>'LOE Breakdown by Year'!J273</f>
        <v>0</v>
      </c>
      <c r="W514" s="44">
        <f t="shared" si="349"/>
        <v>10</v>
      </c>
      <c r="X514" s="44">
        <f t="shared" si="356"/>
        <v>0</v>
      </c>
      <c r="Y514" s="44">
        <f t="shared" si="357"/>
        <v>0</v>
      </c>
      <c r="Z514" s="44">
        <v>0</v>
      </c>
      <c r="AA514" s="44">
        <f t="shared" si="358"/>
        <v>0</v>
      </c>
    </row>
    <row r="515" spans="1:27" hidden="1">
      <c r="A515" s="595" t="s">
        <v>1045</v>
      </c>
      <c r="B515" s="595">
        <v>70000</v>
      </c>
      <c r="C515" s="595" t="s">
        <v>747</v>
      </c>
      <c r="D515" s="8" t="str">
        <f t="shared" si="343"/>
        <v>Driver - (2 Individuals)</v>
      </c>
      <c r="E515" s="115">
        <f>'LOE Breakdown by Year'!J44</f>
        <v>0</v>
      </c>
      <c r="F515" s="50" t="s">
        <v>100</v>
      </c>
      <c r="G515" s="44">
        <f t="shared" si="359"/>
        <v>6</v>
      </c>
      <c r="H515" s="44">
        <f t="shared" si="359"/>
        <v>500</v>
      </c>
      <c r="I515" s="44">
        <f t="shared" si="351"/>
        <v>0</v>
      </c>
      <c r="J515" s="115">
        <f>'LOE Breakdown by Year'!J90</f>
        <v>0</v>
      </c>
      <c r="K515" s="44">
        <f t="shared" si="345"/>
        <v>24</v>
      </c>
      <c r="L515" s="44">
        <f t="shared" si="352"/>
        <v>0</v>
      </c>
      <c r="M515" s="115">
        <f>'LOE Breakdown by Year'!J136</f>
        <v>0</v>
      </c>
      <c r="N515" s="44">
        <f t="shared" si="346"/>
        <v>24</v>
      </c>
      <c r="O515" s="44">
        <f t="shared" si="353"/>
        <v>0</v>
      </c>
      <c r="P515" s="115">
        <f>'LOE Breakdown by Year'!J182</f>
        <v>0</v>
      </c>
      <c r="Q515" s="44">
        <f t="shared" si="347"/>
        <v>24</v>
      </c>
      <c r="R515" s="44">
        <f t="shared" si="354"/>
        <v>0</v>
      </c>
      <c r="S515" s="115">
        <f>'LOE Breakdown by Year'!J228</f>
        <v>0</v>
      </c>
      <c r="T515" s="44">
        <f t="shared" si="348"/>
        <v>24</v>
      </c>
      <c r="U515" s="44">
        <f t="shared" si="355"/>
        <v>0</v>
      </c>
      <c r="V515" s="115">
        <f>'LOE Breakdown by Year'!J274</f>
        <v>0</v>
      </c>
      <c r="W515" s="44">
        <f t="shared" si="349"/>
        <v>18</v>
      </c>
      <c r="X515" s="44">
        <f t="shared" si="356"/>
        <v>0</v>
      </c>
      <c r="Y515" s="44">
        <f t="shared" si="357"/>
        <v>0</v>
      </c>
      <c r="Z515" s="44">
        <v>0</v>
      </c>
      <c r="AA515" s="44">
        <f t="shared" si="358"/>
        <v>0</v>
      </c>
    </row>
    <row r="516" spans="1:27">
      <c r="A516" s="607"/>
      <c r="B516" s="607"/>
      <c r="C516" s="607"/>
      <c r="D516" s="41" t="s">
        <v>344</v>
      </c>
      <c r="E516" s="127"/>
      <c r="F516" s="46"/>
      <c r="G516" s="47"/>
      <c r="H516" s="47"/>
      <c r="I516" s="48">
        <f>SUM(I482:I515)</f>
        <v>21820</v>
      </c>
      <c r="J516" s="127"/>
      <c r="K516" s="48"/>
      <c r="L516" s="48">
        <f>SUM(L482:L515)</f>
        <v>39459</v>
      </c>
      <c r="M516" s="127"/>
      <c r="N516" s="48"/>
      <c r="O516" s="48">
        <f>SUM(O482:O515)</f>
        <v>41431.949999999997</v>
      </c>
      <c r="P516" s="127"/>
      <c r="Q516" s="48"/>
      <c r="R516" s="48">
        <f>SUM(R482:R515)</f>
        <v>43503.547500000001</v>
      </c>
      <c r="S516" s="127"/>
      <c r="T516" s="48"/>
      <c r="U516" s="48">
        <f>SUM(U482:U515)</f>
        <v>44037.791437499996</v>
      </c>
      <c r="V516" s="127"/>
      <c r="W516" s="48"/>
      <c r="X516" s="48">
        <f>SUM(X482:X515)</f>
        <v>21535.12423125</v>
      </c>
      <c r="Y516" s="48">
        <f>SUM(Y482:Y515)</f>
        <v>211787.41316875</v>
      </c>
      <c r="Z516" s="48">
        <f>SUM(Z482:Z515)</f>
        <v>0</v>
      </c>
      <c r="AA516" s="48">
        <f>SUM(AA482:AA515)</f>
        <v>211787.41316875</v>
      </c>
    </row>
    <row r="517" spans="1:27">
      <c r="A517" s="608"/>
      <c r="B517" s="608"/>
      <c r="C517" s="608"/>
      <c r="D517" s="100"/>
      <c r="E517" s="128"/>
      <c r="F517" s="81"/>
      <c r="G517" s="63"/>
      <c r="H517" s="63"/>
      <c r="I517" s="63"/>
      <c r="J517" s="128"/>
      <c r="K517" s="63"/>
      <c r="L517" s="63"/>
      <c r="M517" s="128"/>
      <c r="N517" s="63"/>
      <c r="O517" s="63"/>
      <c r="P517" s="128"/>
      <c r="Q517" s="63"/>
      <c r="R517" s="63"/>
      <c r="S517" s="128"/>
      <c r="T517" s="63"/>
      <c r="U517" s="63"/>
      <c r="V517" s="128"/>
      <c r="W517" s="63"/>
      <c r="X517" s="63"/>
      <c r="Y517" s="63"/>
      <c r="Z517" s="63"/>
      <c r="AA517" s="63"/>
    </row>
    <row r="518" spans="1:27">
      <c r="A518" s="607"/>
      <c r="B518" s="607"/>
      <c r="C518" s="607"/>
      <c r="D518" s="41" t="s">
        <v>345</v>
      </c>
      <c r="E518" s="127"/>
      <c r="F518" s="46"/>
      <c r="G518" s="47"/>
      <c r="H518" s="47"/>
      <c r="I518" s="48"/>
      <c r="J518" s="127"/>
      <c r="K518" s="48"/>
      <c r="L518" s="48"/>
      <c r="M518" s="127"/>
      <c r="N518" s="48"/>
      <c r="O518" s="48"/>
      <c r="P518" s="127"/>
      <c r="Q518" s="48"/>
      <c r="R518" s="48"/>
      <c r="S518" s="127"/>
      <c r="T518" s="48"/>
      <c r="U518" s="48"/>
      <c r="V518" s="127"/>
      <c r="W518" s="48"/>
      <c r="X518" s="48"/>
      <c r="Y518" s="48"/>
      <c r="Z518" s="48"/>
      <c r="AA518" s="48"/>
    </row>
    <row r="519" spans="1:27">
      <c r="A519" s="591" t="s">
        <v>869</v>
      </c>
      <c r="B519" s="591" t="s">
        <v>791</v>
      </c>
      <c r="C519" s="591" t="s">
        <v>747</v>
      </c>
      <c r="D519" s="8" t="str">
        <f>D56</f>
        <v>Fringe Benefits CCN - Honduras</v>
      </c>
      <c r="E519" s="116"/>
      <c r="F519" s="82" t="str">
        <f>F56</f>
        <v>%</v>
      </c>
      <c r="G519" s="44">
        <f>G56</f>
        <v>0</v>
      </c>
      <c r="H519" s="60">
        <f>H56</f>
        <v>0.48259999999999997</v>
      </c>
      <c r="I519" s="44">
        <f>(SUM(I482:I515))*$H$519</f>
        <v>10530.331999999999</v>
      </c>
      <c r="J519" s="116"/>
      <c r="K519" s="44">
        <f>K56</f>
        <v>0</v>
      </c>
      <c r="L519" s="44">
        <f>(SUM(L482:L515))*$H$519</f>
        <v>19042.913399999998</v>
      </c>
      <c r="M519" s="116"/>
      <c r="N519" s="44">
        <f>N56</f>
        <v>0</v>
      </c>
      <c r="O519" s="44">
        <f>(SUM(O482:O515))*$H$519</f>
        <v>19995.059069999996</v>
      </c>
      <c r="P519" s="116"/>
      <c r="Q519" s="44">
        <f>Q56</f>
        <v>0</v>
      </c>
      <c r="R519" s="44">
        <f>(SUM(R482:R515))*$H$519</f>
        <v>20994.812023499999</v>
      </c>
      <c r="S519" s="116"/>
      <c r="T519" s="44">
        <f>T56</f>
        <v>0</v>
      </c>
      <c r="U519" s="44">
        <f>(SUM(U482:U515))*$H$519</f>
        <v>21252.638147737496</v>
      </c>
      <c r="V519" s="116"/>
      <c r="W519" s="44">
        <f>W56</f>
        <v>0</v>
      </c>
      <c r="X519" s="44">
        <f>(SUM(X482:X515))*$H$519</f>
        <v>10392.850954001249</v>
      </c>
      <c r="Y519" s="44">
        <f t="shared" ref="Y519" si="360">SUM(R519,O519,L519,I519,U519,X519)</f>
        <v>102208.60559523874</v>
      </c>
      <c r="Z519" s="63">
        <v>0</v>
      </c>
      <c r="AA519" s="44">
        <f>SUM(Y519:Z519)</f>
        <v>102208.60559523874</v>
      </c>
    </row>
    <row r="520" spans="1:27">
      <c r="A520" s="607"/>
      <c r="B520" s="607"/>
      <c r="C520" s="607"/>
      <c r="D520" s="41" t="s">
        <v>346</v>
      </c>
      <c r="E520" s="127"/>
      <c r="F520" s="46"/>
      <c r="G520" s="47"/>
      <c r="H520" s="47"/>
      <c r="I520" s="48">
        <f>SUM(I519:I519)</f>
        <v>10530.331999999999</v>
      </c>
      <c r="J520" s="127"/>
      <c r="K520" s="48"/>
      <c r="L520" s="48">
        <f>SUM(L519:L519)</f>
        <v>19042.913399999998</v>
      </c>
      <c r="M520" s="127"/>
      <c r="N520" s="48"/>
      <c r="O520" s="48">
        <f>SUM(O519:O519)</f>
        <v>19995.059069999996</v>
      </c>
      <c r="P520" s="127"/>
      <c r="Q520" s="48"/>
      <c r="R520" s="48">
        <f>SUM(R519:R519)</f>
        <v>20994.812023499999</v>
      </c>
      <c r="S520" s="127"/>
      <c r="T520" s="48"/>
      <c r="U520" s="48">
        <f>SUM(U519:U519)</f>
        <v>21252.638147737496</v>
      </c>
      <c r="V520" s="127"/>
      <c r="W520" s="48"/>
      <c r="X520" s="48">
        <f>SUM(X519:X519)</f>
        <v>10392.850954001249</v>
      </c>
      <c r="Y520" s="48">
        <f>SUM(Y519:Y519)</f>
        <v>102208.60559523874</v>
      </c>
      <c r="Z520" s="48">
        <f>SUM(Z519:Z519)</f>
        <v>0</v>
      </c>
      <c r="AA520" s="48">
        <f>SUM(AA519:AA519)</f>
        <v>102208.60559523874</v>
      </c>
    </row>
    <row r="521" spans="1:27">
      <c r="A521" s="608"/>
      <c r="B521" s="608"/>
      <c r="C521" s="608"/>
      <c r="D521" s="100"/>
      <c r="E521" s="128"/>
      <c r="F521" s="81"/>
      <c r="G521" s="63"/>
      <c r="H521" s="63"/>
      <c r="I521" s="63"/>
      <c r="J521" s="128"/>
      <c r="K521" s="63"/>
      <c r="L521" s="63"/>
      <c r="M521" s="128"/>
      <c r="N521" s="63"/>
      <c r="O521" s="63"/>
      <c r="P521" s="128"/>
      <c r="Q521" s="63"/>
      <c r="R521" s="63"/>
      <c r="S521" s="128"/>
      <c r="T521" s="63"/>
      <c r="U521" s="63"/>
      <c r="V521" s="128"/>
      <c r="W521" s="63"/>
      <c r="X521" s="63"/>
      <c r="Y521" s="63"/>
      <c r="Z521" s="63"/>
      <c r="AA521" s="63"/>
    </row>
    <row r="522" spans="1:27">
      <c r="A522" s="607"/>
      <c r="B522" s="607"/>
      <c r="C522" s="607"/>
      <c r="D522" s="41" t="s">
        <v>347</v>
      </c>
      <c r="E522" s="127"/>
      <c r="F522" s="46"/>
      <c r="G522" s="47"/>
      <c r="H522" s="47"/>
      <c r="I522" s="47"/>
      <c r="J522" s="127"/>
      <c r="K522" s="47"/>
      <c r="L522" s="47"/>
      <c r="M522" s="127"/>
      <c r="N522" s="47"/>
      <c r="O522" s="47"/>
      <c r="P522" s="127"/>
      <c r="Q522" s="47"/>
      <c r="R522" s="47"/>
      <c r="S522" s="127"/>
      <c r="T522" s="47"/>
      <c r="U522" s="47"/>
      <c r="V522" s="127"/>
      <c r="W522" s="47"/>
      <c r="X522" s="47"/>
      <c r="Y522" s="47"/>
      <c r="Z522" s="47"/>
      <c r="AA522" s="47"/>
    </row>
    <row r="523" spans="1:27" ht="25.2">
      <c r="A523" s="591" t="s">
        <v>1318</v>
      </c>
      <c r="B523" s="591" t="s">
        <v>1322</v>
      </c>
      <c r="C523" s="591" t="s">
        <v>747</v>
      </c>
      <c r="D523" s="8" t="s">
        <v>348</v>
      </c>
      <c r="E523" s="120"/>
      <c r="F523" s="49" t="s">
        <v>100</v>
      </c>
      <c r="G523" s="44">
        <v>2</v>
      </c>
      <c r="H523" s="44">
        <v>3000</v>
      </c>
      <c r="I523" s="44">
        <f>G523*H523</f>
        <v>6000</v>
      </c>
      <c r="J523" s="120"/>
      <c r="K523" s="44">
        <v>4</v>
      </c>
      <c r="L523" s="44">
        <f>K523*H523</f>
        <v>12000</v>
      </c>
      <c r="M523" s="120"/>
      <c r="N523" s="44">
        <v>0</v>
      </c>
      <c r="O523" s="44">
        <f>N523*H523</f>
        <v>0</v>
      </c>
      <c r="P523" s="120"/>
      <c r="Q523" s="44">
        <v>0</v>
      </c>
      <c r="R523" s="44">
        <f>Q523*H523</f>
        <v>0</v>
      </c>
      <c r="S523" s="120"/>
      <c r="T523" s="44">
        <v>0</v>
      </c>
      <c r="U523" s="44">
        <f>T523*H523</f>
        <v>0</v>
      </c>
      <c r="V523" s="120"/>
      <c r="W523" s="44">
        <v>0</v>
      </c>
      <c r="X523" s="44">
        <f>W523*H523</f>
        <v>0</v>
      </c>
      <c r="Y523" s="44">
        <f>SUM(R523,O523,L523,I523,U523,X523)</f>
        <v>18000</v>
      </c>
      <c r="Z523" s="44">
        <v>0</v>
      </c>
      <c r="AA523" s="44">
        <f>Y523+Z523</f>
        <v>18000</v>
      </c>
    </row>
    <row r="524" spans="1:27" ht="25.2">
      <c r="A524" s="591" t="s">
        <v>1319</v>
      </c>
      <c r="B524" s="591" t="s">
        <v>1322</v>
      </c>
      <c r="C524" s="591" t="s">
        <v>747</v>
      </c>
      <c r="D524" s="8" t="s">
        <v>349</v>
      </c>
      <c r="E524" s="120"/>
      <c r="F524" s="49" t="s">
        <v>234</v>
      </c>
      <c r="G524" s="44">
        <v>1</v>
      </c>
      <c r="H524" s="44">
        <v>25000</v>
      </c>
      <c r="I524" s="44">
        <f>G524*H524</f>
        <v>25000</v>
      </c>
      <c r="J524" s="120"/>
      <c r="K524" s="44">
        <v>0</v>
      </c>
      <c r="L524" s="44">
        <f>K524*H524</f>
        <v>0</v>
      </c>
      <c r="M524" s="120"/>
      <c r="N524" s="44">
        <v>0</v>
      </c>
      <c r="O524" s="44">
        <f>N524*H524</f>
        <v>0</v>
      </c>
      <c r="P524" s="120"/>
      <c r="Q524" s="44">
        <v>0</v>
      </c>
      <c r="R524" s="44">
        <f>Q524*H524</f>
        <v>0</v>
      </c>
      <c r="S524" s="120"/>
      <c r="T524" s="44">
        <v>0</v>
      </c>
      <c r="U524" s="44">
        <f>T524*H524</f>
        <v>0</v>
      </c>
      <c r="V524" s="120"/>
      <c r="W524" s="44">
        <v>0</v>
      </c>
      <c r="X524" s="44">
        <f t="shared" ref="X524:X526" si="361">W524*H524</f>
        <v>0</v>
      </c>
      <c r="Y524" s="44">
        <f t="shared" ref="Y524:Y526" si="362">SUM(R524,O524,L524,I524,U524,X524)</f>
        <v>25000</v>
      </c>
      <c r="Z524" s="44">
        <v>0</v>
      </c>
      <c r="AA524" s="44">
        <f>Y524+Z524</f>
        <v>25000</v>
      </c>
    </row>
    <row r="525" spans="1:27" ht="25.2">
      <c r="A525" s="591" t="s">
        <v>1320</v>
      </c>
      <c r="B525" s="591" t="s">
        <v>1322</v>
      </c>
      <c r="C525" s="591" t="s">
        <v>747</v>
      </c>
      <c r="D525" s="8" t="s">
        <v>350</v>
      </c>
      <c r="E525" s="120"/>
      <c r="F525" s="49" t="s">
        <v>234</v>
      </c>
      <c r="G525" s="44">
        <v>0</v>
      </c>
      <c r="H525" s="44">
        <v>15000</v>
      </c>
      <c r="I525" s="44">
        <f>G525*H525</f>
        <v>0</v>
      </c>
      <c r="J525" s="120"/>
      <c r="K525" s="44">
        <v>1</v>
      </c>
      <c r="L525" s="44">
        <f>K525*H525</f>
        <v>15000</v>
      </c>
      <c r="M525" s="120"/>
      <c r="N525" s="44">
        <v>1</v>
      </c>
      <c r="O525" s="44">
        <f>N525*H525</f>
        <v>15000</v>
      </c>
      <c r="P525" s="120"/>
      <c r="Q525" s="44">
        <v>1</v>
      </c>
      <c r="R525" s="44">
        <f>Q525*H525</f>
        <v>15000</v>
      </c>
      <c r="S525" s="120"/>
      <c r="T525" s="44">
        <v>1</v>
      </c>
      <c r="U525" s="44">
        <f>T525*H525</f>
        <v>15000</v>
      </c>
      <c r="V525" s="120"/>
      <c r="W525" s="153">
        <v>0.5</v>
      </c>
      <c r="X525" s="44">
        <f t="shared" si="361"/>
        <v>7500</v>
      </c>
      <c r="Y525" s="44">
        <f t="shared" si="362"/>
        <v>67500</v>
      </c>
      <c r="Z525" s="44">
        <v>0</v>
      </c>
      <c r="AA525" s="44">
        <f>Y525+Z525</f>
        <v>67500</v>
      </c>
    </row>
    <row r="526" spans="1:27">
      <c r="A526" s="591" t="s">
        <v>1321</v>
      </c>
      <c r="B526" s="591" t="s">
        <v>1293</v>
      </c>
      <c r="C526" s="591" t="s">
        <v>747</v>
      </c>
      <c r="D526" s="8" t="s">
        <v>351</v>
      </c>
      <c r="E526" s="120"/>
      <c r="F526" s="49" t="s">
        <v>352</v>
      </c>
      <c r="G526" s="44">
        <v>16</v>
      </c>
      <c r="H526" s="44">
        <v>1000</v>
      </c>
      <c r="I526" s="44">
        <f>G526*H526</f>
        <v>16000</v>
      </c>
      <c r="J526" s="120"/>
      <c r="K526" s="44">
        <v>16</v>
      </c>
      <c r="L526" s="44">
        <f>K526*H526</f>
        <v>16000</v>
      </c>
      <c r="M526" s="120"/>
      <c r="N526" s="44">
        <v>16</v>
      </c>
      <c r="O526" s="44">
        <f>N526*H526</f>
        <v>16000</v>
      </c>
      <c r="P526" s="120"/>
      <c r="Q526" s="44">
        <v>0</v>
      </c>
      <c r="R526" s="44">
        <f>Q526*H526</f>
        <v>0</v>
      </c>
      <c r="S526" s="120"/>
      <c r="T526" s="44">
        <v>0</v>
      </c>
      <c r="U526" s="44">
        <f>T526*H526</f>
        <v>0</v>
      </c>
      <c r="V526" s="120"/>
      <c r="W526" s="44">
        <v>0</v>
      </c>
      <c r="X526" s="44">
        <f t="shared" si="361"/>
        <v>0</v>
      </c>
      <c r="Y526" s="44">
        <f t="shared" si="362"/>
        <v>48000</v>
      </c>
      <c r="Z526" s="44">
        <v>0</v>
      </c>
      <c r="AA526" s="44">
        <f>Y526+Z526</f>
        <v>48000</v>
      </c>
    </row>
    <row r="527" spans="1:27">
      <c r="A527" s="607"/>
      <c r="B527" s="607"/>
      <c r="C527" s="607"/>
      <c r="D527" s="41" t="s">
        <v>353</v>
      </c>
      <c r="E527" s="127"/>
      <c r="F527" s="46"/>
      <c r="G527" s="47"/>
      <c r="H527" s="47"/>
      <c r="I527" s="48">
        <f>SUM(I523:I526)</f>
        <v>47000</v>
      </c>
      <c r="J527" s="127"/>
      <c r="K527" s="48"/>
      <c r="L527" s="48">
        <f>SUM(L523:L526)</f>
        <v>43000</v>
      </c>
      <c r="M527" s="127"/>
      <c r="N527" s="48"/>
      <c r="O527" s="48">
        <f>SUM(O523:O526)</f>
        <v>31000</v>
      </c>
      <c r="P527" s="127"/>
      <c r="Q527" s="48"/>
      <c r="R527" s="48">
        <f>SUM(R523:R526)</f>
        <v>15000</v>
      </c>
      <c r="S527" s="127"/>
      <c r="T527" s="48"/>
      <c r="U527" s="48">
        <f>SUM(U523:U526)</f>
        <v>15000</v>
      </c>
      <c r="V527" s="127"/>
      <c r="W527" s="48"/>
      <c r="X527" s="48">
        <f>SUM(X523:X526)</f>
        <v>7500</v>
      </c>
      <c r="Y527" s="101">
        <f>SUM(Y523:Y526)</f>
        <v>158500</v>
      </c>
      <c r="Z527" s="48">
        <f>SUM(Z523:Z526)</f>
        <v>0</v>
      </c>
      <c r="AA527" s="48">
        <f>SUM(AA523:AA526)</f>
        <v>158500</v>
      </c>
    </row>
    <row r="528" spans="1:27">
      <c r="A528" s="608"/>
      <c r="B528" s="608"/>
      <c r="C528" s="608"/>
      <c r="D528" s="100"/>
      <c r="E528" s="128"/>
      <c r="F528" s="81"/>
      <c r="G528" s="63"/>
      <c r="H528" s="63"/>
      <c r="I528" s="63"/>
      <c r="J528" s="128"/>
      <c r="K528" s="63"/>
      <c r="L528" s="63"/>
      <c r="M528" s="128"/>
      <c r="N528" s="63"/>
      <c r="O528" s="63"/>
      <c r="P528" s="128"/>
      <c r="Q528" s="63"/>
      <c r="R528" s="63"/>
      <c r="S528" s="128"/>
      <c r="T528" s="63"/>
      <c r="U528" s="63"/>
      <c r="V528" s="128"/>
      <c r="W528" s="63"/>
      <c r="X528" s="63"/>
      <c r="Y528" s="63"/>
      <c r="Z528" s="63"/>
      <c r="AA528" s="63"/>
    </row>
    <row r="529" spans="1:27">
      <c r="A529" s="607"/>
      <c r="B529" s="607"/>
      <c r="C529" s="607"/>
      <c r="D529" s="41" t="s">
        <v>354</v>
      </c>
      <c r="E529" s="127"/>
      <c r="F529" s="46"/>
      <c r="G529" s="47"/>
      <c r="H529" s="47"/>
      <c r="I529" s="47"/>
      <c r="J529" s="127"/>
      <c r="K529" s="47"/>
      <c r="L529" s="47"/>
      <c r="M529" s="127"/>
      <c r="N529" s="47"/>
      <c r="O529" s="47"/>
      <c r="P529" s="127"/>
      <c r="Q529" s="47"/>
      <c r="R529" s="47"/>
      <c r="S529" s="127"/>
      <c r="T529" s="47"/>
      <c r="U529" s="47"/>
      <c r="V529" s="127"/>
      <c r="W529" s="47"/>
      <c r="X529" s="47"/>
      <c r="Y529" s="47"/>
      <c r="Z529" s="47"/>
      <c r="AA529" s="47"/>
    </row>
    <row r="530" spans="1:27" ht="25.2">
      <c r="A530" s="591" t="s">
        <v>1311</v>
      </c>
      <c r="B530" s="591" t="s">
        <v>1297</v>
      </c>
      <c r="C530" s="591" t="s">
        <v>747</v>
      </c>
      <c r="D530" s="8" t="s">
        <v>355</v>
      </c>
      <c r="E530" s="120"/>
      <c r="F530" s="50" t="s">
        <v>173</v>
      </c>
      <c r="G530" s="44">
        <v>0</v>
      </c>
      <c r="H530" s="44">
        <v>1000</v>
      </c>
      <c r="I530" s="44">
        <f>G530*H530</f>
        <v>0</v>
      </c>
      <c r="J530" s="120"/>
      <c r="K530" s="44">
        <v>0</v>
      </c>
      <c r="L530" s="44">
        <f>K530*H530</f>
        <v>0</v>
      </c>
      <c r="M530" s="120"/>
      <c r="N530" s="44">
        <v>0</v>
      </c>
      <c r="O530" s="44">
        <f>N530*H530</f>
        <v>0</v>
      </c>
      <c r="P530" s="120"/>
      <c r="Q530" s="44">
        <v>1</v>
      </c>
      <c r="R530" s="44">
        <f>Q530*H530</f>
        <v>1000</v>
      </c>
      <c r="S530" s="120"/>
      <c r="T530" s="44">
        <v>0</v>
      </c>
      <c r="U530" s="44">
        <f>T530*K530</f>
        <v>0</v>
      </c>
      <c r="V530" s="120"/>
      <c r="W530" s="44">
        <v>0</v>
      </c>
      <c r="X530" s="44">
        <f t="shared" ref="X530:X531" si="363">W530*H530</f>
        <v>0</v>
      </c>
      <c r="Y530" s="44">
        <f t="shared" ref="Y530:Y531" si="364">SUM(R530,O530,L530,I530,U530,X530)</f>
        <v>1000</v>
      </c>
      <c r="Z530" s="44">
        <v>0</v>
      </c>
      <c r="AA530" s="44">
        <f>Y530+Z530</f>
        <v>1000</v>
      </c>
    </row>
    <row r="531" spans="1:27">
      <c r="A531" s="591" t="s">
        <v>1312</v>
      </c>
      <c r="B531" s="591">
        <v>82420</v>
      </c>
      <c r="C531" s="591" t="s">
        <v>747</v>
      </c>
      <c r="D531" s="8" t="s">
        <v>356</v>
      </c>
      <c r="E531" s="120"/>
      <c r="F531" s="49" t="s">
        <v>173</v>
      </c>
      <c r="G531" s="44">
        <v>0</v>
      </c>
      <c r="H531" s="44">
        <v>8000</v>
      </c>
      <c r="I531" s="44">
        <f>G531*H531</f>
        <v>0</v>
      </c>
      <c r="J531" s="120"/>
      <c r="K531" s="44">
        <v>1</v>
      </c>
      <c r="L531" s="44">
        <f>K531*H531</f>
        <v>8000</v>
      </c>
      <c r="M531" s="120"/>
      <c r="N531" s="44">
        <v>1</v>
      </c>
      <c r="O531" s="44">
        <f>N531*H531</f>
        <v>8000</v>
      </c>
      <c r="P531" s="120"/>
      <c r="Q531" s="44">
        <v>1</v>
      </c>
      <c r="R531" s="44">
        <f>Q531*H531</f>
        <v>8000</v>
      </c>
      <c r="S531" s="120"/>
      <c r="T531" s="44">
        <v>1</v>
      </c>
      <c r="U531" s="44">
        <f>T531*H531</f>
        <v>8000</v>
      </c>
      <c r="V531" s="120"/>
      <c r="W531" s="153">
        <v>0.5</v>
      </c>
      <c r="X531" s="44">
        <f t="shared" si="363"/>
        <v>4000</v>
      </c>
      <c r="Y531" s="44">
        <f t="shared" si="364"/>
        <v>36000</v>
      </c>
      <c r="Z531" s="44">
        <v>0</v>
      </c>
      <c r="AA531" s="44">
        <f>Y531+Z531</f>
        <v>36000</v>
      </c>
    </row>
    <row r="532" spans="1:27">
      <c r="A532" s="607"/>
      <c r="B532" s="607"/>
      <c r="C532" s="607"/>
      <c r="D532" s="41" t="s">
        <v>357</v>
      </c>
      <c r="E532" s="127"/>
      <c r="F532" s="46"/>
      <c r="G532" s="47"/>
      <c r="H532" s="48"/>
      <c r="I532" s="48">
        <f>SUM(I530:I531)</f>
        <v>0</v>
      </c>
      <c r="J532" s="130"/>
      <c r="K532" s="48"/>
      <c r="L532" s="48">
        <f>SUM(L530:L531)</f>
        <v>8000</v>
      </c>
      <c r="M532" s="130"/>
      <c r="N532" s="48"/>
      <c r="O532" s="48">
        <f>SUM(O530:O531)</f>
        <v>8000</v>
      </c>
      <c r="P532" s="130"/>
      <c r="Q532" s="48"/>
      <c r="R532" s="48">
        <f>SUM(R530:R531)</f>
        <v>9000</v>
      </c>
      <c r="S532" s="130"/>
      <c r="T532" s="48"/>
      <c r="U532" s="48">
        <f>SUM(U530:U531)</f>
        <v>8000</v>
      </c>
      <c r="V532" s="130"/>
      <c r="W532" s="48"/>
      <c r="X532" s="48">
        <f>SUM(X530:X531)</f>
        <v>4000</v>
      </c>
      <c r="Y532" s="101">
        <f>SUM(Y530:Y531)</f>
        <v>37000</v>
      </c>
      <c r="Z532" s="48">
        <f>SUM(Z530:Z531)</f>
        <v>0</v>
      </c>
      <c r="AA532" s="48">
        <f>SUM(AA530:AA531)</f>
        <v>37000</v>
      </c>
    </row>
    <row r="533" spans="1:27">
      <c r="A533" s="608"/>
      <c r="B533" s="608"/>
      <c r="C533" s="608"/>
      <c r="D533" s="100"/>
      <c r="E533" s="128"/>
      <c r="F533" s="81"/>
      <c r="G533" s="63"/>
      <c r="H533" s="63"/>
      <c r="I533" s="63"/>
      <c r="J533" s="128"/>
      <c r="K533" s="63"/>
      <c r="L533" s="63"/>
      <c r="M533" s="128"/>
      <c r="N533" s="63"/>
      <c r="O533" s="63"/>
      <c r="P533" s="128"/>
      <c r="Q533" s="63"/>
      <c r="R533" s="63"/>
      <c r="S533" s="128"/>
      <c r="T533" s="63"/>
      <c r="U533" s="63"/>
      <c r="V533" s="128"/>
      <c r="W533" s="63"/>
      <c r="X533" s="63"/>
      <c r="Y533" s="577"/>
      <c r="Z533" s="63"/>
      <c r="AA533" s="63"/>
    </row>
    <row r="534" spans="1:27">
      <c r="A534" s="607"/>
      <c r="B534" s="607"/>
      <c r="C534" s="607"/>
      <c r="D534" s="41" t="s">
        <v>358</v>
      </c>
      <c r="E534" s="127"/>
      <c r="F534" s="46"/>
      <c r="G534" s="47"/>
      <c r="H534" s="47"/>
      <c r="I534" s="47"/>
      <c r="J534" s="127"/>
      <c r="K534" s="47"/>
      <c r="L534" s="47"/>
      <c r="M534" s="127"/>
      <c r="N534" s="47"/>
      <c r="O534" s="47"/>
      <c r="P534" s="127"/>
      <c r="Q534" s="47"/>
      <c r="R534" s="47"/>
      <c r="S534" s="127"/>
      <c r="T534" s="47"/>
      <c r="U534" s="47"/>
      <c r="V534" s="127"/>
      <c r="W534" s="47"/>
      <c r="X534" s="47"/>
      <c r="Y534" s="47"/>
      <c r="Z534" s="47"/>
      <c r="AA534" s="47"/>
    </row>
    <row r="535" spans="1:27">
      <c r="A535" s="591" t="s">
        <v>1309</v>
      </c>
      <c r="B535" s="591" t="s">
        <v>1265</v>
      </c>
      <c r="C535" s="591" t="s">
        <v>747</v>
      </c>
      <c r="D535" s="8" t="s">
        <v>160</v>
      </c>
      <c r="F535" s="8" t="s">
        <v>100</v>
      </c>
      <c r="G535" s="44">
        <v>3</v>
      </c>
      <c r="H535" s="44">
        <v>150</v>
      </c>
      <c r="I535" s="44">
        <f t="shared" ref="I535:I541" si="365">G535*H535</f>
        <v>450</v>
      </c>
      <c r="J535" s="44"/>
      <c r="K535" s="44">
        <v>12</v>
      </c>
      <c r="L535" s="44">
        <f>H535*K535*$E$6</f>
        <v>1890</v>
      </c>
      <c r="M535" s="123"/>
      <c r="N535" s="44">
        <v>12</v>
      </c>
      <c r="O535" s="44">
        <f>H535*N535*$E$6*$E$6</f>
        <v>1984.5</v>
      </c>
      <c r="P535" s="123"/>
      <c r="Q535" s="44">
        <v>12</v>
      </c>
      <c r="R535" s="44">
        <f>H535*Q535*$E$6*$E$6*$E$6</f>
        <v>2083.7249999999999</v>
      </c>
      <c r="S535" s="123"/>
      <c r="T535" s="44">
        <v>12</v>
      </c>
      <c r="U535" s="44">
        <f>H535*T535*$E$6*$E$6*$E$6*$E$6</f>
        <v>2187.9112500000001</v>
      </c>
      <c r="V535" s="123"/>
      <c r="W535" s="44">
        <v>9</v>
      </c>
      <c r="X535" s="44">
        <f t="shared" ref="X535" si="366">W535*H535*$E$6*$E$6*$E$6*$E$6*$E$6</f>
        <v>1722.9801093750002</v>
      </c>
      <c r="Y535" s="44">
        <f t="shared" ref="Y535" si="367">SUM(R535,O535,L535,I535,U535,X535)</f>
        <v>10319.116359374999</v>
      </c>
      <c r="Z535" s="44" t="s">
        <v>149</v>
      </c>
      <c r="AA535" s="44">
        <f t="shared" ref="AA535:AA541" si="368">SUM(Y535:Z535)</f>
        <v>10319.116359374999</v>
      </c>
    </row>
    <row r="536" spans="1:27">
      <c r="A536" s="591" t="s">
        <v>1310</v>
      </c>
      <c r="B536" s="591" t="s">
        <v>1265</v>
      </c>
      <c r="C536" s="591" t="s">
        <v>747</v>
      </c>
      <c r="D536" s="8" t="s">
        <v>359</v>
      </c>
      <c r="F536" s="8" t="s">
        <v>148</v>
      </c>
      <c r="G536" s="44">
        <v>2</v>
      </c>
      <c r="H536" s="44">
        <v>35</v>
      </c>
      <c r="I536" s="44">
        <f t="shared" si="365"/>
        <v>70</v>
      </c>
      <c r="J536" s="123"/>
      <c r="K536" s="44">
        <v>2</v>
      </c>
      <c r="L536" s="44">
        <f t="shared" ref="L536:L537" si="369">H536*K536*$E$6</f>
        <v>73.5</v>
      </c>
      <c r="M536" s="123"/>
      <c r="N536" s="44">
        <v>2</v>
      </c>
      <c r="O536" s="44">
        <f t="shared" ref="O536:O537" si="370">H536*N536*$E$6*$E$6</f>
        <v>77.174999999999997</v>
      </c>
      <c r="P536" s="123"/>
      <c r="Q536" s="44">
        <v>2</v>
      </c>
      <c r="R536" s="44">
        <f t="shared" ref="R536:R537" si="371">H536*Q536*$E$6*$E$6*$E$6</f>
        <v>81.033749999999998</v>
      </c>
      <c r="S536" s="123"/>
      <c r="T536" s="44">
        <v>2</v>
      </c>
      <c r="U536" s="44">
        <f t="shared" ref="U536:U537" si="372">T536*H536*$E$6*$E$6*$E$6*$E$6</f>
        <v>85.085437499999998</v>
      </c>
      <c r="V536" s="123"/>
      <c r="W536" s="44">
        <v>2</v>
      </c>
      <c r="X536" s="44">
        <f>W536*H536*$E$6*$E$6*$E$6*$E$6*$E$6</f>
        <v>89.339709374999998</v>
      </c>
      <c r="Y536" s="44">
        <f>SUM(R536,O536,L536,I536,U536,X536)</f>
        <v>476.133896875</v>
      </c>
      <c r="Z536" s="44" t="s">
        <v>149</v>
      </c>
      <c r="AA536" s="44">
        <f t="shared" si="368"/>
        <v>476.133896875</v>
      </c>
    </row>
    <row r="537" spans="1:27" ht="25.2">
      <c r="A537" s="591" t="s">
        <v>1310</v>
      </c>
      <c r="B537" s="45" t="s">
        <v>794</v>
      </c>
      <c r="C537" s="591" t="s">
        <v>747</v>
      </c>
      <c r="D537" s="8" t="s">
        <v>360</v>
      </c>
      <c r="F537" s="8" t="s">
        <v>151</v>
      </c>
      <c r="G537" s="44">
        <f>2*G536</f>
        <v>4</v>
      </c>
      <c r="H537" s="44">
        <f xml:space="preserve"> 75 +  + (0.5*80)</f>
        <v>115</v>
      </c>
      <c r="I537" s="44">
        <f t="shared" si="365"/>
        <v>460</v>
      </c>
      <c r="J537" s="123"/>
      <c r="K537" s="44">
        <f>2*K536</f>
        <v>4</v>
      </c>
      <c r="L537" s="44">
        <f t="shared" si="369"/>
        <v>483</v>
      </c>
      <c r="M537" s="123"/>
      <c r="N537" s="44">
        <f>2*N536</f>
        <v>4</v>
      </c>
      <c r="O537" s="44">
        <f t="shared" si="370"/>
        <v>507.15000000000003</v>
      </c>
      <c r="P537" s="123"/>
      <c r="Q537" s="44">
        <f>2*Q536</f>
        <v>4</v>
      </c>
      <c r="R537" s="44">
        <f t="shared" si="371"/>
        <v>532.50750000000005</v>
      </c>
      <c r="S537" s="123"/>
      <c r="T537" s="44">
        <f>2*T536</f>
        <v>4</v>
      </c>
      <c r="U537" s="44">
        <f t="shared" si="372"/>
        <v>559.13287500000013</v>
      </c>
      <c r="V537" s="123"/>
      <c r="W537" s="44">
        <f>2*W536</f>
        <v>4</v>
      </c>
      <c r="X537" s="44">
        <f>W537*H537*$E$6*$E$6*$E$6*$E$6*$E$6</f>
        <v>587.08951875000014</v>
      </c>
      <c r="Y537" s="44">
        <f>SUM(R537,O537,L537,I537,U537,X537)</f>
        <v>3128.8798937500001</v>
      </c>
      <c r="Z537" s="44" t="s">
        <v>149</v>
      </c>
      <c r="AA537" s="44">
        <f t="shared" si="368"/>
        <v>3128.8798937500001</v>
      </c>
    </row>
    <row r="538" spans="1:27">
      <c r="A538" s="591" t="s">
        <v>1313</v>
      </c>
      <c r="B538" s="591" t="s">
        <v>1265</v>
      </c>
      <c r="C538" s="591" t="s">
        <v>747</v>
      </c>
      <c r="D538" s="8" t="s">
        <v>361</v>
      </c>
      <c r="E538" s="120"/>
      <c r="F538" s="8" t="s">
        <v>148</v>
      </c>
      <c r="G538" s="44">
        <f>G546*2</f>
        <v>8</v>
      </c>
      <c r="H538" s="44">
        <v>35</v>
      </c>
      <c r="I538" s="44">
        <f t="shared" si="365"/>
        <v>280</v>
      </c>
      <c r="J538" s="44"/>
      <c r="K538" s="44">
        <f>K546*2</f>
        <v>8</v>
      </c>
      <c r="L538" s="44">
        <f>H538*K538*$E$6</f>
        <v>294</v>
      </c>
      <c r="M538" s="123"/>
      <c r="N538" s="44">
        <f>N546*2</f>
        <v>8</v>
      </c>
      <c r="O538" s="44">
        <f>H538*N538*$E$6*$E$6</f>
        <v>308.7</v>
      </c>
      <c r="P538" s="123"/>
      <c r="Q538" s="44">
        <f>Q546*2</f>
        <v>8</v>
      </c>
      <c r="R538" s="44">
        <f>H538*Q538*$E$6*$E$6*$E$6</f>
        <v>324.13499999999999</v>
      </c>
      <c r="S538" s="123"/>
      <c r="T538" s="44">
        <f>T546*2</f>
        <v>8</v>
      </c>
      <c r="U538" s="44">
        <f>H538*T538*$E$6*$E$6*$E$6*$E$6</f>
        <v>340.34174999999999</v>
      </c>
      <c r="V538" s="123"/>
      <c r="W538" s="44">
        <f>W546*2</f>
        <v>0</v>
      </c>
      <c r="X538" s="44">
        <f t="shared" ref="X538:X541" si="373">W538*H538*$E$6*$E$6*$E$6*$E$6*$E$6</f>
        <v>0</v>
      </c>
      <c r="Y538" s="44">
        <f t="shared" ref="Y538:Y541" si="374">SUM(R538,O538,L538,I538,U538,X538)</f>
        <v>1547.1767500000001</v>
      </c>
      <c r="Z538" s="44" t="s">
        <v>149</v>
      </c>
      <c r="AA538" s="44">
        <f t="shared" si="368"/>
        <v>1547.1767500000001</v>
      </c>
    </row>
    <row r="539" spans="1:27" ht="25.2">
      <c r="A539" s="591" t="s">
        <v>1313</v>
      </c>
      <c r="B539" s="45" t="s">
        <v>794</v>
      </c>
      <c r="C539" s="591" t="s">
        <v>747</v>
      </c>
      <c r="D539" s="8" t="s">
        <v>362</v>
      </c>
      <c r="E539" s="120"/>
      <c r="F539" s="8" t="s">
        <v>151</v>
      </c>
      <c r="G539" s="44">
        <f>G538*2</f>
        <v>16</v>
      </c>
      <c r="H539" s="44">
        <f xml:space="preserve"> 75 +  + (0.5*80)</f>
        <v>115</v>
      </c>
      <c r="I539" s="44">
        <f t="shared" si="365"/>
        <v>1840</v>
      </c>
      <c r="J539" s="44"/>
      <c r="K539" s="44">
        <f>K538*2</f>
        <v>16</v>
      </c>
      <c r="L539" s="44">
        <f>H539*K539*$E$6</f>
        <v>1932</v>
      </c>
      <c r="M539" s="123"/>
      <c r="N539" s="44">
        <f>N538*2</f>
        <v>16</v>
      </c>
      <c r="O539" s="44">
        <f>H539*N539*$E$6*$E$6</f>
        <v>2028.6000000000001</v>
      </c>
      <c r="P539" s="123"/>
      <c r="Q539" s="44">
        <f>Q538*2</f>
        <v>16</v>
      </c>
      <c r="R539" s="44">
        <f>H539*Q539*$E$6*$E$6*$E$6</f>
        <v>2130.0300000000002</v>
      </c>
      <c r="S539" s="123"/>
      <c r="T539" s="44">
        <f>T538*2</f>
        <v>16</v>
      </c>
      <c r="U539" s="44">
        <f>H539*T539*$E$6*$E$6*$E$6*$E$6</f>
        <v>2236.5315000000005</v>
      </c>
      <c r="V539" s="123"/>
      <c r="W539" s="44">
        <f>W538*2</f>
        <v>0</v>
      </c>
      <c r="X539" s="44">
        <f t="shared" si="373"/>
        <v>0</v>
      </c>
      <c r="Y539" s="44">
        <f t="shared" si="374"/>
        <v>10167.1615</v>
      </c>
      <c r="Z539" s="44" t="s">
        <v>149</v>
      </c>
      <c r="AA539" s="44">
        <f t="shared" si="368"/>
        <v>10167.1615</v>
      </c>
    </row>
    <row r="540" spans="1:27">
      <c r="A540" s="591" t="s">
        <v>1314</v>
      </c>
      <c r="B540" s="591" t="s">
        <v>1265</v>
      </c>
      <c r="C540" s="591" t="s">
        <v>747</v>
      </c>
      <c r="D540" s="8" t="s">
        <v>363</v>
      </c>
      <c r="E540" s="120"/>
      <c r="F540" s="8" t="s">
        <v>148</v>
      </c>
      <c r="G540" s="44">
        <f>G547*2</f>
        <v>0</v>
      </c>
      <c r="H540" s="44">
        <v>35</v>
      </c>
      <c r="I540" s="44">
        <f t="shared" si="365"/>
        <v>0</v>
      </c>
      <c r="J540" s="44"/>
      <c r="K540" s="44">
        <f>K547*2</f>
        <v>16</v>
      </c>
      <c r="L540" s="44">
        <f>H540*K540*$E$6</f>
        <v>588</v>
      </c>
      <c r="M540" s="123"/>
      <c r="N540" s="44">
        <f>N547*2</f>
        <v>16</v>
      </c>
      <c r="O540" s="44">
        <f>H540*N540*$E$6*$E$6</f>
        <v>617.4</v>
      </c>
      <c r="P540" s="123"/>
      <c r="Q540" s="44">
        <f>Q547*2</f>
        <v>0</v>
      </c>
      <c r="R540" s="44">
        <f>H540*Q540*$E$6*$E$6*$E$6</f>
        <v>0</v>
      </c>
      <c r="S540" s="123"/>
      <c r="T540" s="44">
        <f>T547*2</f>
        <v>0</v>
      </c>
      <c r="U540" s="44">
        <f>H540*T540*$E$6*$E$6*$E$6*$E$6</f>
        <v>0</v>
      </c>
      <c r="V540" s="123"/>
      <c r="W540" s="44">
        <f>W547*2</f>
        <v>0</v>
      </c>
      <c r="X540" s="44">
        <f t="shared" si="373"/>
        <v>0</v>
      </c>
      <c r="Y540" s="44">
        <f t="shared" si="374"/>
        <v>1205.4000000000001</v>
      </c>
      <c r="Z540" s="44" t="s">
        <v>149</v>
      </c>
      <c r="AA540" s="44">
        <f t="shared" si="368"/>
        <v>1205.4000000000001</v>
      </c>
    </row>
    <row r="541" spans="1:27" ht="25.2">
      <c r="A541" s="591" t="s">
        <v>1314</v>
      </c>
      <c r="B541" s="45" t="s">
        <v>794</v>
      </c>
      <c r="C541" s="591" t="s">
        <v>747</v>
      </c>
      <c r="D541" s="8" t="s">
        <v>364</v>
      </c>
      <c r="E541" s="120"/>
      <c r="F541" s="8" t="s">
        <v>151</v>
      </c>
      <c r="G541" s="44">
        <f>G540*2</f>
        <v>0</v>
      </c>
      <c r="H541" s="44">
        <f xml:space="preserve"> 75 +  + (0.5*80)</f>
        <v>115</v>
      </c>
      <c r="I541" s="44">
        <f t="shared" si="365"/>
        <v>0</v>
      </c>
      <c r="J541" s="44"/>
      <c r="K541" s="44">
        <f>K540*2</f>
        <v>32</v>
      </c>
      <c r="L541" s="44">
        <f>H541*K541*$E$6</f>
        <v>3864</v>
      </c>
      <c r="M541" s="123"/>
      <c r="N541" s="44">
        <f>N540*2</f>
        <v>32</v>
      </c>
      <c r="O541" s="44">
        <f>H541*N541*$E$6*$E$6</f>
        <v>4057.2000000000003</v>
      </c>
      <c r="P541" s="123"/>
      <c r="Q541" s="44">
        <f>Q540*2</f>
        <v>0</v>
      </c>
      <c r="R541" s="44">
        <f>H541*Q541*$E$6*$E$6*$E$6</f>
        <v>0</v>
      </c>
      <c r="S541" s="123"/>
      <c r="T541" s="44">
        <f>T540*2</f>
        <v>0</v>
      </c>
      <c r="U541" s="44">
        <f>H541*T541*$E$6*$E$6*$E$6*$E$6</f>
        <v>0</v>
      </c>
      <c r="V541" s="123"/>
      <c r="W541" s="44">
        <f>W540*2</f>
        <v>0</v>
      </c>
      <c r="X541" s="44">
        <f t="shared" si="373"/>
        <v>0</v>
      </c>
      <c r="Y541" s="44">
        <f t="shared" si="374"/>
        <v>7921.2000000000007</v>
      </c>
      <c r="Z541" s="44" t="s">
        <v>149</v>
      </c>
      <c r="AA541" s="44">
        <f t="shared" si="368"/>
        <v>7921.2000000000007</v>
      </c>
    </row>
    <row r="542" spans="1:27">
      <c r="A542" s="607"/>
      <c r="B542" s="607"/>
      <c r="C542" s="607"/>
      <c r="D542" s="41" t="s">
        <v>365</v>
      </c>
      <c r="E542" s="127"/>
      <c r="F542" s="46"/>
      <c r="G542" s="47"/>
      <c r="H542" s="47"/>
      <c r="I542" s="48">
        <f>SUM(I535:I541)</f>
        <v>3100</v>
      </c>
      <c r="J542" s="127"/>
      <c r="K542" s="47"/>
      <c r="L542" s="48">
        <f>SUM(L535:L541)</f>
        <v>9124.5</v>
      </c>
      <c r="M542" s="127"/>
      <c r="N542" s="47"/>
      <c r="O542" s="48">
        <f>SUM(O535:O541)</f>
        <v>9580.7250000000004</v>
      </c>
      <c r="P542" s="127"/>
      <c r="Q542" s="47"/>
      <c r="R542" s="48">
        <f>SUM(R535:R541)</f>
        <v>5151.4312499999996</v>
      </c>
      <c r="S542" s="127"/>
      <c r="T542" s="47"/>
      <c r="U542" s="48">
        <f>SUM(U535:U541)</f>
        <v>5409.0028125000008</v>
      </c>
      <c r="V542" s="127"/>
      <c r="W542" s="47"/>
      <c r="X542" s="48">
        <f>SUM(X535:X541)</f>
        <v>2399.4093375000002</v>
      </c>
      <c r="Y542" s="576">
        <f>SUM(Y535:Y541)</f>
        <v>34765.068400000004</v>
      </c>
      <c r="Z542" s="48">
        <f>SUM(Z535:Z541)</f>
        <v>0</v>
      </c>
      <c r="AA542" s="48">
        <f>SUM(AA535:AA541)</f>
        <v>34765.068400000004</v>
      </c>
    </row>
    <row r="543" spans="1:27">
      <c r="A543" s="608"/>
      <c r="B543" s="608"/>
      <c r="C543" s="608"/>
      <c r="D543" s="100"/>
      <c r="E543" s="128"/>
      <c r="F543" s="81"/>
      <c r="G543" s="63"/>
      <c r="H543" s="63"/>
      <c r="I543" s="63"/>
      <c r="J543" s="128"/>
      <c r="K543" s="63"/>
      <c r="L543" s="63"/>
      <c r="M543" s="128"/>
      <c r="N543" s="63"/>
      <c r="O543" s="63"/>
      <c r="P543" s="128"/>
      <c r="Q543" s="63"/>
      <c r="R543" s="63"/>
      <c r="S543" s="128"/>
      <c r="T543" s="63"/>
      <c r="U543" s="63"/>
      <c r="V543" s="128"/>
      <c r="W543" s="63"/>
      <c r="X543" s="63"/>
      <c r="Y543" s="63"/>
      <c r="Z543" s="63"/>
      <c r="AA543" s="63"/>
    </row>
    <row r="544" spans="1:27">
      <c r="A544" s="607"/>
      <c r="B544" s="607"/>
      <c r="C544" s="607"/>
      <c r="D544" s="41" t="s">
        <v>366</v>
      </c>
      <c r="E544" s="127"/>
      <c r="F544" s="46"/>
      <c r="G544" s="47"/>
      <c r="H544" s="47"/>
      <c r="I544" s="47"/>
      <c r="J544" s="127"/>
      <c r="K544" s="47"/>
      <c r="L544" s="47"/>
      <c r="M544" s="127"/>
      <c r="N544" s="47"/>
      <c r="O544" s="47"/>
      <c r="P544" s="127"/>
      <c r="Q544" s="47"/>
      <c r="R544" s="47"/>
      <c r="S544" s="127"/>
      <c r="T544" s="47"/>
      <c r="U544" s="47"/>
      <c r="V544" s="127"/>
      <c r="W544" s="47"/>
      <c r="X544" s="47"/>
      <c r="Y544" s="47"/>
      <c r="Z544" s="47"/>
      <c r="AA544" s="47"/>
    </row>
    <row r="545" spans="1:30">
      <c r="A545" s="603"/>
      <c r="B545" s="603"/>
      <c r="C545" s="603"/>
      <c r="D545" s="87" t="s">
        <v>284</v>
      </c>
      <c r="E545" s="129"/>
      <c r="F545" s="87"/>
      <c r="G545" s="87"/>
      <c r="H545" s="87"/>
      <c r="I545" s="87"/>
      <c r="J545" s="129"/>
      <c r="K545" s="87"/>
      <c r="L545" s="87"/>
      <c r="M545" s="129"/>
      <c r="N545" s="87"/>
      <c r="O545" s="87"/>
      <c r="P545" s="129"/>
      <c r="Q545" s="87"/>
      <c r="R545" s="87"/>
      <c r="S545" s="129"/>
      <c r="T545" s="87"/>
      <c r="U545" s="87"/>
      <c r="V545" s="129"/>
      <c r="W545" s="87"/>
      <c r="X545" s="87"/>
      <c r="Y545" s="87"/>
      <c r="Z545" s="87"/>
      <c r="AA545" s="87"/>
    </row>
    <row r="546" spans="1:30">
      <c r="A546" s="591" t="s">
        <v>1316</v>
      </c>
      <c r="B546" s="591" t="s">
        <v>819</v>
      </c>
      <c r="C546" s="591" t="s">
        <v>747</v>
      </c>
      <c r="D546" s="8" t="s">
        <v>367</v>
      </c>
      <c r="F546" s="8" t="s">
        <v>284</v>
      </c>
      <c r="G546" s="44">
        <v>4</v>
      </c>
      <c r="H546" s="44">
        <f>(34*5)+(34*8*1)</f>
        <v>442</v>
      </c>
      <c r="I546" s="44">
        <f>G546*H546</f>
        <v>1768</v>
      </c>
      <c r="J546" s="123"/>
      <c r="K546" s="44">
        <v>4</v>
      </c>
      <c r="L546" s="44">
        <f>H546*K546</f>
        <v>1768</v>
      </c>
      <c r="M546" s="123"/>
      <c r="N546" s="44">
        <v>4</v>
      </c>
      <c r="O546" s="44">
        <f>H546*N546</f>
        <v>1768</v>
      </c>
      <c r="P546" s="123"/>
      <c r="Q546" s="44">
        <v>4</v>
      </c>
      <c r="R546" s="44">
        <f>H546*Q546</f>
        <v>1768</v>
      </c>
      <c r="S546" s="123"/>
      <c r="T546" s="44">
        <v>4</v>
      </c>
      <c r="U546" s="44">
        <f>H546*T546</f>
        <v>1768</v>
      </c>
      <c r="V546" s="123"/>
      <c r="W546" s="44">
        <v>0</v>
      </c>
      <c r="X546" s="44">
        <f t="shared" ref="X546:X547" si="375">W546*H546</f>
        <v>0</v>
      </c>
      <c r="Y546" s="44">
        <f t="shared" ref="Y546:Y547" si="376">SUM(R546,O546,L546,I546,U546,X546)</f>
        <v>8840</v>
      </c>
      <c r="Z546" s="44">
        <v>0</v>
      </c>
      <c r="AA546" s="44">
        <f t="shared" ref="AA546" si="377">SUM(Y546:Z546)</f>
        <v>8840</v>
      </c>
    </row>
    <row r="547" spans="1:30">
      <c r="A547" s="591" t="s">
        <v>1317</v>
      </c>
      <c r="B547" s="591" t="s">
        <v>819</v>
      </c>
      <c r="C547" s="591" t="s">
        <v>747</v>
      </c>
      <c r="D547" s="8" t="s">
        <v>368</v>
      </c>
      <c r="F547" s="8" t="s">
        <v>369</v>
      </c>
      <c r="G547" s="44">
        <v>0</v>
      </c>
      <c r="H547" s="44">
        <f>(50*5)+(50*8*1)</f>
        <v>650</v>
      </c>
      <c r="I547" s="44">
        <f>G547*H547</f>
        <v>0</v>
      </c>
      <c r="J547" s="44"/>
      <c r="K547" s="44">
        <v>8</v>
      </c>
      <c r="L547" s="44">
        <f>H547*K547*$E$6</f>
        <v>5460</v>
      </c>
      <c r="M547" s="123"/>
      <c r="N547" s="44">
        <v>8</v>
      </c>
      <c r="O547" s="44">
        <f>H547*N547*$E$6*$E$6</f>
        <v>5733</v>
      </c>
      <c r="P547" s="123"/>
      <c r="Q547" s="44">
        <v>0</v>
      </c>
      <c r="R547" s="44">
        <f>H547*Q547*$E$6*$E$6*$E$6</f>
        <v>0</v>
      </c>
      <c r="S547" s="123"/>
      <c r="T547" s="44">
        <v>0</v>
      </c>
      <c r="U547" s="44">
        <f>H547*T547*$E$6*$E$6*$E$6*$E$6</f>
        <v>0</v>
      </c>
      <c r="V547" s="123"/>
      <c r="W547" s="44">
        <v>0</v>
      </c>
      <c r="X547" s="44">
        <f t="shared" si="375"/>
        <v>0</v>
      </c>
      <c r="Y547" s="44">
        <f t="shared" si="376"/>
        <v>11193</v>
      </c>
      <c r="Z547" s="44" t="s">
        <v>149</v>
      </c>
      <c r="AA547" s="44">
        <f>SUM(Y547:Z547)</f>
        <v>11193</v>
      </c>
    </row>
    <row r="548" spans="1:30">
      <c r="A548" s="603"/>
      <c r="B548" s="603"/>
      <c r="C548" s="603"/>
      <c r="D548" s="87" t="s">
        <v>289</v>
      </c>
      <c r="E548" s="129"/>
      <c r="F548" s="87"/>
      <c r="G548" s="87"/>
      <c r="H548" s="87"/>
      <c r="I548" s="87"/>
      <c r="J548" s="129"/>
      <c r="K548" s="87"/>
      <c r="L548" s="87"/>
      <c r="M548" s="129"/>
      <c r="N548" s="87"/>
      <c r="O548" s="87"/>
      <c r="P548" s="129"/>
      <c r="Q548" s="87"/>
      <c r="R548" s="87"/>
      <c r="S548" s="129"/>
      <c r="T548" s="87"/>
      <c r="U548" s="87"/>
      <c r="V548" s="129"/>
      <c r="W548" s="87"/>
      <c r="X548" s="87"/>
      <c r="Y548" s="87"/>
      <c r="Z548" s="87"/>
      <c r="AA548" s="572"/>
    </row>
    <row r="549" spans="1:30">
      <c r="A549" s="591" t="s">
        <v>1315</v>
      </c>
      <c r="B549" s="591">
        <v>89050</v>
      </c>
      <c r="C549" s="591" t="s">
        <v>747</v>
      </c>
      <c r="D549" s="8" t="s">
        <v>290</v>
      </c>
      <c r="E549" s="120"/>
      <c r="F549" s="8" t="s">
        <v>234</v>
      </c>
      <c r="G549" s="44">
        <v>1</v>
      </c>
      <c r="H549" s="44">
        <v>0</v>
      </c>
      <c r="I549" s="44">
        <f>'FEREMA Sub Budget'!F122</f>
        <v>24911.294525830628</v>
      </c>
      <c r="J549" s="120"/>
      <c r="K549" s="44">
        <v>1</v>
      </c>
      <c r="L549" s="44">
        <f>'FEREMA Sub Budget'!J122</f>
        <v>144381.14120156114</v>
      </c>
      <c r="M549" s="120"/>
      <c r="N549" s="44">
        <v>1</v>
      </c>
      <c r="O549" s="44">
        <f>'FEREMA Sub Budget'!N122</f>
        <v>151600.19826163922</v>
      </c>
      <c r="P549" s="120"/>
      <c r="Q549" s="44">
        <v>1</v>
      </c>
      <c r="R549" s="44">
        <f>'FEREMA Sub Budget'!R122</f>
        <v>159180.20817472116</v>
      </c>
      <c r="S549" s="120"/>
      <c r="T549" s="44">
        <v>1</v>
      </c>
      <c r="U549" s="44">
        <f>'FEREMA Sub Budget'!V122</f>
        <v>12500.184429331695</v>
      </c>
      <c r="V549" s="120"/>
      <c r="W549" s="44">
        <v>0</v>
      </c>
      <c r="X549" s="44">
        <v>0</v>
      </c>
      <c r="Y549" s="44">
        <f>SUM(R549,O549,L549,I549,U549,X549)</f>
        <v>492573.02659308387</v>
      </c>
      <c r="Z549" s="44" t="s">
        <v>149</v>
      </c>
      <c r="AA549" s="44">
        <f>SUM(Y549:Z549)</f>
        <v>492573.02659308387</v>
      </c>
      <c r="AB549" s="222"/>
    </row>
    <row r="550" spans="1:30">
      <c r="A550" s="607"/>
      <c r="B550" s="607"/>
      <c r="C550" s="607"/>
      <c r="D550" s="41" t="s">
        <v>370</v>
      </c>
      <c r="E550" s="127"/>
      <c r="F550" s="46"/>
      <c r="G550" s="47"/>
      <c r="H550" s="47"/>
      <c r="I550" s="48">
        <f>SUM(I546:I549)</f>
        <v>26679.294525830628</v>
      </c>
      <c r="J550" s="127"/>
      <c r="K550" s="48"/>
      <c r="L550" s="48">
        <f>SUM(L546:L549)</f>
        <v>151609.14120156114</v>
      </c>
      <c r="M550" s="127"/>
      <c r="N550" s="48"/>
      <c r="O550" s="48">
        <f>SUM(O546:O549)</f>
        <v>159101.19826163922</v>
      </c>
      <c r="P550" s="127"/>
      <c r="Q550" s="48"/>
      <c r="R550" s="48">
        <f>SUM(R546:R549)</f>
        <v>160948.20817472116</v>
      </c>
      <c r="S550" s="127"/>
      <c r="T550" s="48"/>
      <c r="U550" s="48">
        <f>SUM(U546:U549)</f>
        <v>14268.184429331695</v>
      </c>
      <c r="V550" s="127"/>
      <c r="W550" s="48"/>
      <c r="X550" s="48">
        <f>SUM(X546:X549)</f>
        <v>0</v>
      </c>
      <c r="Y550" s="101">
        <f>SUM(Y546:Y549)</f>
        <v>512606.02659308387</v>
      </c>
      <c r="Z550" s="48">
        <f>SUM(Z546:Z549)</f>
        <v>0</v>
      </c>
      <c r="AA550" s="48">
        <f>SUM(AA546:AA549)</f>
        <v>512606.02659308387</v>
      </c>
    </row>
    <row r="551" spans="1:30">
      <c r="A551" s="608"/>
      <c r="B551" s="608"/>
      <c r="C551" s="608"/>
      <c r="D551" s="100"/>
      <c r="E551" s="128"/>
      <c r="F551" s="81"/>
      <c r="G551" s="63"/>
      <c r="H551" s="63"/>
      <c r="I551" s="63"/>
      <c r="J551" s="128"/>
      <c r="K551" s="63"/>
      <c r="L551" s="63"/>
      <c r="M551" s="128"/>
      <c r="N551" s="63"/>
      <c r="O551" s="63"/>
      <c r="P551" s="128"/>
      <c r="Q551" s="63"/>
      <c r="R551" s="63"/>
      <c r="S551" s="128"/>
      <c r="T551" s="63"/>
      <c r="U551" s="63"/>
      <c r="V551" s="128"/>
      <c r="W551" s="63"/>
      <c r="X551" s="63"/>
      <c r="Y551" s="63"/>
      <c r="Z551" s="63"/>
      <c r="AA551" s="63"/>
    </row>
    <row r="552" spans="1:30" ht="12.9" thickBot="1">
      <c r="A552" s="596"/>
      <c r="B552" s="596"/>
      <c r="C552" s="596"/>
      <c r="D552" s="54" t="s">
        <v>371</v>
      </c>
      <c r="E552" s="121"/>
      <c r="F552" s="54"/>
      <c r="G552" s="69"/>
      <c r="H552" s="69"/>
      <c r="I552" s="65">
        <f>+I527++I542+I520+I516+I550+I532</f>
        <v>109129.62652583062</v>
      </c>
      <c r="J552" s="121"/>
      <c r="K552" s="65"/>
      <c r="L552" s="65">
        <f>+L527++L542+L520+L516+L550+L532</f>
        <v>270235.55460156116</v>
      </c>
      <c r="M552" s="121"/>
      <c r="N552" s="65"/>
      <c r="O552" s="65">
        <f>+O527++O542+O520+O516+O550+O532</f>
        <v>269108.93233163923</v>
      </c>
      <c r="P552" s="121"/>
      <c r="Q552" s="65"/>
      <c r="R552" s="65">
        <f>+R527++R542+R520+R516+R550+R532</f>
        <v>254597.99894822115</v>
      </c>
      <c r="S552" s="121"/>
      <c r="T552" s="65"/>
      <c r="U552" s="65">
        <f>+U527++U542+U520+U516+U550+U532</f>
        <v>107967.61682706919</v>
      </c>
      <c r="V552" s="121"/>
      <c r="W552" s="65"/>
      <c r="X552" s="65">
        <f>+X527++X542+X520+X516+X550+X532</f>
        <v>45827.38452275125</v>
      </c>
      <c r="Y552" s="65">
        <f>+Y527++Y542+Y520+Y516+Y550+Y532</f>
        <v>1056867.1137570725</v>
      </c>
      <c r="Z552" s="65">
        <f>+Z527++Z542+Z520+Z516+Z550+Z532</f>
        <v>0</v>
      </c>
      <c r="AA552" s="65">
        <f>+AA527++AA542+AA520+AA516+AA550+AA532</f>
        <v>1056867.1137570725</v>
      </c>
      <c r="AC552" s="536"/>
      <c r="AD552" s="566"/>
    </row>
    <row r="553" spans="1:30">
      <c r="A553" s="597"/>
      <c r="B553" s="597"/>
      <c r="C553" s="597"/>
      <c r="D553" s="81"/>
      <c r="E553" s="118"/>
      <c r="F553" s="81"/>
      <c r="G553" s="63"/>
      <c r="H553" s="63"/>
      <c r="I553" s="63"/>
      <c r="J553" s="118"/>
      <c r="K553" s="63"/>
      <c r="L553" s="63"/>
      <c r="M553" s="118"/>
      <c r="N553" s="63"/>
      <c r="O553" s="63"/>
      <c r="P553" s="118"/>
      <c r="Q553" s="63"/>
      <c r="R553" s="63"/>
      <c r="S553" s="118"/>
      <c r="T553" s="63"/>
      <c r="U553" s="63"/>
      <c r="V553" s="118"/>
      <c r="W553" s="63"/>
      <c r="X553" s="63"/>
      <c r="Y553" s="63"/>
      <c r="Z553" s="63"/>
      <c r="AA553" s="63"/>
    </row>
    <row r="554" spans="1:30">
      <c r="A554" s="605"/>
      <c r="B554" s="605"/>
      <c r="C554" s="605"/>
      <c r="D554" s="94" t="str">
        <f>'USDA Budget Summary'!A33</f>
        <v>Activity 7: Training: Commodity Management</v>
      </c>
      <c r="E554" s="125"/>
      <c r="F554" s="38"/>
      <c r="G554" s="38"/>
      <c r="H554" s="39"/>
      <c r="I554" s="95"/>
      <c r="J554" s="125"/>
      <c r="K554" s="95"/>
      <c r="L554" s="95"/>
      <c r="M554" s="125"/>
      <c r="N554" s="95"/>
      <c r="O554" s="95"/>
      <c r="P554" s="125"/>
      <c r="Q554" s="95"/>
      <c r="R554" s="95"/>
      <c r="S554" s="125"/>
      <c r="T554" s="95"/>
      <c r="U554" s="95"/>
      <c r="V554" s="125"/>
      <c r="W554" s="95"/>
      <c r="X554" s="95"/>
      <c r="Y554" s="95"/>
      <c r="Z554" s="96"/>
      <c r="AA554" s="95"/>
    </row>
    <row r="555" spans="1:30">
      <c r="A555" s="606"/>
      <c r="B555" s="606"/>
      <c r="C555" s="606"/>
      <c r="D555" s="97" t="s">
        <v>227</v>
      </c>
      <c r="E555" s="126"/>
      <c r="F555" s="98"/>
      <c r="G555" s="99"/>
      <c r="H555" s="99"/>
      <c r="I555" s="99"/>
      <c r="J555" s="126"/>
      <c r="K555" s="99"/>
      <c r="L555" s="99"/>
      <c r="M555" s="126"/>
      <c r="N555" s="99"/>
      <c r="O555" s="99"/>
      <c r="P555" s="126"/>
      <c r="Q555" s="99"/>
      <c r="R555" s="99"/>
      <c r="S555" s="126"/>
      <c r="T555" s="99"/>
      <c r="U555" s="99"/>
      <c r="V555" s="126"/>
      <c r="W555" s="99"/>
      <c r="X555" s="99"/>
      <c r="Y555" s="99"/>
      <c r="Z555" s="99"/>
      <c r="AA555" s="99"/>
    </row>
    <row r="556" spans="1:30">
      <c r="A556" s="607"/>
      <c r="B556" s="607"/>
      <c r="C556" s="607"/>
      <c r="D556" s="41" t="s">
        <v>372</v>
      </c>
      <c r="E556" s="127"/>
      <c r="F556" s="46"/>
      <c r="G556" s="47"/>
      <c r="H556" s="47"/>
      <c r="I556" s="47"/>
      <c r="J556" s="127"/>
      <c r="K556" s="47"/>
      <c r="L556" s="47"/>
      <c r="M556" s="127"/>
      <c r="N556" s="47"/>
      <c r="O556" s="47"/>
      <c r="P556" s="127"/>
      <c r="Q556" s="47"/>
      <c r="R556" s="47"/>
      <c r="S556" s="127"/>
      <c r="T556" s="47"/>
      <c r="U556" s="47"/>
      <c r="V556" s="127"/>
      <c r="W556" s="47"/>
      <c r="X556" s="47"/>
      <c r="Y556" s="47"/>
      <c r="Z556" s="47"/>
      <c r="AA556" s="47"/>
    </row>
    <row r="557" spans="1:30" hidden="1">
      <c r="A557" s="595" t="s">
        <v>1046</v>
      </c>
      <c r="B557" s="595">
        <v>70000</v>
      </c>
      <c r="C557" s="595" t="s">
        <v>747</v>
      </c>
      <c r="D557" s="8" t="str">
        <f t="shared" ref="D557:D590" si="378">D12</f>
        <v xml:space="preserve">Key Personnel: Chief of Party - Roger Sanchez O’Neill </v>
      </c>
      <c r="E557" s="115">
        <f>'LOE Breakdown by Year'!K11</f>
        <v>0</v>
      </c>
      <c r="F557" s="50" t="s">
        <v>100</v>
      </c>
      <c r="G557" s="44">
        <f t="shared" ref="G557:H576" si="379">G12</f>
        <v>11</v>
      </c>
      <c r="H557" s="44">
        <f t="shared" si="379"/>
        <v>9583.3333333333339</v>
      </c>
      <c r="I557" s="44">
        <f>G557*H557*E557</f>
        <v>0</v>
      </c>
      <c r="J557" s="115">
        <f>'LOE Breakdown by Year'!K57</f>
        <v>0</v>
      </c>
      <c r="K557" s="44">
        <f t="shared" ref="K557:K590" si="380">K12</f>
        <v>12</v>
      </c>
      <c r="L557" s="44">
        <f>K557*H557*$E$7*$J557</f>
        <v>0</v>
      </c>
      <c r="M557" s="115">
        <f>'LOE Breakdown by Year'!K103</f>
        <v>0</v>
      </c>
      <c r="N557" s="44">
        <f t="shared" ref="N557:N590" si="381">N12</f>
        <v>12</v>
      </c>
      <c r="O557" s="44">
        <f>N557*H557*$M557*$E$7*$E$7</f>
        <v>0</v>
      </c>
      <c r="P557" s="115">
        <f>'LOE Breakdown by Year'!K149</f>
        <v>0</v>
      </c>
      <c r="Q557" s="44">
        <f t="shared" ref="Q557:Q590" si="382">Q12</f>
        <v>12</v>
      </c>
      <c r="R557" s="44">
        <f>Q557*H557*$P557*$E$7*$E$7*$E$7</f>
        <v>0</v>
      </c>
      <c r="S557" s="115">
        <f>'LOE Breakdown by Year'!K195</f>
        <v>0</v>
      </c>
      <c r="T557" s="44">
        <f t="shared" ref="T557:T590" si="383">T12</f>
        <v>12</v>
      </c>
      <c r="U557" s="44">
        <f>T557*H557*$S557*$E$7*$E$7*$E$7*$E$7</f>
        <v>0</v>
      </c>
      <c r="V557" s="115">
        <f>'LOE Breakdown by Year'!K241</f>
        <v>0</v>
      </c>
      <c r="W557" s="44">
        <f t="shared" ref="W557:W590" si="384">W12</f>
        <v>12</v>
      </c>
      <c r="X557" s="44">
        <f>W557*H557*$V557*$E$7*$E$7*$E$7*$E$7*$E$7</f>
        <v>0</v>
      </c>
      <c r="Y557" s="44">
        <f>SUM(R557,O557,L557,I557,U557,X557)</f>
        <v>0</v>
      </c>
      <c r="Z557" s="44">
        <v>0</v>
      </c>
      <c r="AA557" s="44">
        <f t="shared" ref="AA557" si="385">SUM(Y557:Z557)</f>
        <v>0</v>
      </c>
    </row>
    <row r="558" spans="1:30" hidden="1">
      <c r="A558" s="595" t="s">
        <v>1047</v>
      </c>
      <c r="B558" s="595">
        <v>70000</v>
      </c>
      <c r="C558" s="595" t="s">
        <v>747</v>
      </c>
      <c r="D558" s="8" t="str">
        <f t="shared" si="378"/>
        <v>Key Personnel: Deputy Chief of Party - David Medina Mayo</v>
      </c>
      <c r="E558" s="115">
        <f>'LOE Breakdown by Year'!K12</f>
        <v>0</v>
      </c>
      <c r="F558" s="50" t="s">
        <v>100</v>
      </c>
      <c r="G558" s="44">
        <f t="shared" si="379"/>
        <v>11</v>
      </c>
      <c r="H558" s="44">
        <f t="shared" si="379"/>
        <v>6500</v>
      </c>
      <c r="I558" s="44">
        <f t="shared" ref="I558:I590" si="386">G558*H558*E558</f>
        <v>0</v>
      </c>
      <c r="J558" s="115">
        <f>'LOE Breakdown by Year'!K58</f>
        <v>0</v>
      </c>
      <c r="K558" s="44">
        <f t="shared" si="380"/>
        <v>12</v>
      </c>
      <c r="L558" s="44">
        <f t="shared" ref="L558:L590" si="387">K558*H558*$E$7*$J558</f>
        <v>0</v>
      </c>
      <c r="M558" s="115">
        <f>'LOE Breakdown by Year'!K104</f>
        <v>0</v>
      </c>
      <c r="N558" s="44">
        <f t="shared" si="381"/>
        <v>12</v>
      </c>
      <c r="O558" s="44">
        <f t="shared" ref="O558:O590" si="388">N558*H558*$M558*$E$7*$E$7</f>
        <v>0</v>
      </c>
      <c r="P558" s="115">
        <f>'LOE Breakdown by Year'!K150</f>
        <v>0</v>
      </c>
      <c r="Q558" s="44">
        <f t="shared" si="382"/>
        <v>12</v>
      </c>
      <c r="R558" s="44">
        <f t="shared" ref="R558:R590" si="389">Q558*H558*$P558*$E$7*$E$7*$E$7</f>
        <v>0</v>
      </c>
      <c r="S558" s="115">
        <f>'LOE Breakdown by Year'!K196</f>
        <v>0</v>
      </c>
      <c r="T558" s="44">
        <f t="shared" si="383"/>
        <v>12</v>
      </c>
      <c r="U558" s="44">
        <f t="shared" ref="U558:U590" si="390">T558*H558*$S558*$E$7*$E$7*$E$7*$E$7</f>
        <v>0</v>
      </c>
      <c r="V558" s="115">
        <f>'LOE Breakdown by Year'!K242</f>
        <v>0</v>
      </c>
      <c r="W558" s="44">
        <f t="shared" si="384"/>
        <v>12</v>
      </c>
      <c r="X558" s="44">
        <f t="shared" ref="X558:X590" si="391">W558*H558*$V558*$E$7*$E$7*$E$7*$E$7*$E$7</f>
        <v>0</v>
      </c>
      <c r="Y558" s="44">
        <f t="shared" ref="Y558:Y590" si="392">SUM(R558,O558,L558,I558,U558,X558)</f>
        <v>0</v>
      </c>
      <c r="Z558" s="44">
        <v>0</v>
      </c>
      <c r="AA558" s="44">
        <f t="shared" ref="AA558:AA590" si="393">SUM(Y558:Z558)</f>
        <v>0</v>
      </c>
    </row>
    <row r="559" spans="1:30">
      <c r="A559" s="595" t="s">
        <v>1048</v>
      </c>
      <c r="B559" s="595">
        <v>70000</v>
      </c>
      <c r="C559" s="595" t="s">
        <v>747</v>
      </c>
      <c r="D559" s="8" t="str">
        <f t="shared" si="378"/>
        <v>Policy &amp; Sustainability Specialist</v>
      </c>
      <c r="E559" s="115">
        <f>'LOE Breakdown by Year'!K13</f>
        <v>0.1</v>
      </c>
      <c r="F559" s="50" t="s">
        <v>100</v>
      </c>
      <c r="G559" s="44">
        <f t="shared" si="379"/>
        <v>0</v>
      </c>
      <c r="H559" s="44">
        <f t="shared" si="379"/>
        <v>1500</v>
      </c>
      <c r="I559" s="44">
        <f t="shared" si="386"/>
        <v>0</v>
      </c>
      <c r="J559" s="115">
        <f>'LOE Breakdown by Year'!K59</f>
        <v>0.1</v>
      </c>
      <c r="K559" s="44">
        <f t="shared" si="380"/>
        <v>0</v>
      </c>
      <c r="L559" s="44">
        <f t="shared" si="387"/>
        <v>0</v>
      </c>
      <c r="M559" s="115">
        <f>'LOE Breakdown by Year'!K105</f>
        <v>0.1</v>
      </c>
      <c r="N559" s="44">
        <f t="shared" si="381"/>
        <v>7</v>
      </c>
      <c r="O559" s="44">
        <f t="shared" si="388"/>
        <v>1157.625</v>
      </c>
      <c r="P559" s="115">
        <f>'LOE Breakdown by Year'!K151</f>
        <v>0.1</v>
      </c>
      <c r="Q559" s="44">
        <f t="shared" si="382"/>
        <v>12</v>
      </c>
      <c r="R559" s="44">
        <f t="shared" si="389"/>
        <v>2083.7249999999999</v>
      </c>
      <c r="S559" s="115">
        <f>'LOE Breakdown by Year'!K197</f>
        <v>0.1</v>
      </c>
      <c r="T559" s="44">
        <f t="shared" si="383"/>
        <v>12</v>
      </c>
      <c r="U559" s="44">
        <f t="shared" si="390"/>
        <v>2187.9112500000001</v>
      </c>
      <c r="V559" s="115">
        <f>'LOE Breakdown by Year'!K243</f>
        <v>0.1</v>
      </c>
      <c r="W559" s="44">
        <f t="shared" si="384"/>
        <v>6</v>
      </c>
      <c r="X559" s="44">
        <f t="shared" si="391"/>
        <v>1148.6534062500002</v>
      </c>
      <c r="Y559" s="44">
        <f t="shared" si="392"/>
        <v>6577.91465625</v>
      </c>
      <c r="Z559" s="44">
        <v>0</v>
      </c>
      <c r="AA559" s="44">
        <f t="shared" si="393"/>
        <v>6577.91465625</v>
      </c>
    </row>
    <row r="560" spans="1:30" hidden="1">
      <c r="A560" s="595" t="s">
        <v>1049</v>
      </c>
      <c r="B560" s="595">
        <v>70000</v>
      </c>
      <c r="C560" s="595" t="s">
        <v>747</v>
      </c>
      <c r="D560" s="8" t="str">
        <f t="shared" si="378"/>
        <v xml:space="preserve">Education Director </v>
      </c>
      <c r="E560" s="115">
        <f>'LOE Breakdown by Year'!K14</f>
        <v>0</v>
      </c>
      <c r="F560" s="50" t="s">
        <v>100</v>
      </c>
      <c r="G560" s="44">
        <f t="shared" si="379"/>
        <v>9</v>
      </c>
      <c r="H560" s="44">
        <f t="shared" si="379"/>
        <v>4583.333333333333</v>
      </c>
      <c r="I560" s="44">
        <f t="shared" si="386"/>
        <v>0</v>
      </c>
      <c r="J560" s="115">
        <f>'LOE Breakdown by Year'!K60</f>
        <v>0</v>
      </c>
      <c r="K560" s="44">
        <f t="shared" si="380"/>
        <v>12</v>
      </c>
      <c r="L560" s="44">
        <f t="shared" si="387"/>
        <v>0</v>
      </c>
      <c r="M560" s="115">
        <f>'LOE Breakdown by Year'!K106</f>
        <v>0</v>
      </c>
      <c r="N560" s="44">
        <f t="shared" si="381"/>
        <v>12</v>
      </c>
      <c r="O560" s="44">
        <f t="shared" si="388"/>
        <v>0</v>
      </c>
      <c r="P560" s="115">
        <f>'LOE Breakdown by Year'!K152</f>
        <v>0</v>
      </c>
      <c r="Q560" s="44">
        <f t="shared" si="382"/>
        <v>12</v>
      </c>
      <c r="R560" s="44">
        <f t="shared" si="389"/>
        <v>0</v>
      </c>
      <c r="S560" s="115">
        <f>'LOE Breakdown by Year'!K198</f>
        <v>0</v>
      </c>
      <c r="T560" s="44">
        <f t="shared" si="383"/>
        <v>12</v>
      </c>
      <c r="U560" s="44">
        <f t="shared" si="390"/>
        <v>0</v>
      </c>
      <c r="V560" s="115">
        <f>'LOE Breakdown by Year'!K244</f>
        <v>0</v>
      </c>
      <c r="W560" s="44">
        <f t="shared" si="384"/>
        <v>8</v>
      </c>
      <c r="X560" s="44">
        <f t="shared" si="391"/>
        <v>0</v>
      </c>
      <c r="Y560" s="44">
        <f t="shared" si="392"/>
        <v>0</v>
      </c>
      <c r="Z560" s="44">
        <v>0</v>
      </c>
      <c r="AA560" s="44">
        <f t="shared" si="393"/>
        <v>0</v>
      </c>
    </row>
    <row r="561" spans="1:28" hidden="1">
      <c r="A561" s="595" t="s">
        <v>1050</v>
      </c>
      <c r="B561" s="595">
        <v>70000</v>
      </c>
      <c r="C561" s="595" t="s">
        <v>747</v>
      </c>
      <c r="D561" s="8" t="str">
        <f t="shared" si="378"/>
        <v>Education Specialist</v>
      </c>
      <c r="E561" s="115">
        <f>'LOE Breakdown by Year'!K15</f>
        <v>0</v>
      </c>
      <c r="F561" s="50" t="s">
        <v>100</v>
      </c>
      <c r="G561" s="44">
        <f t="shared" si="379"/>
        <v>8</v>
      </c>
      <c r="H561" s="44">
        <f t="shared" si="379"/>
        <v>2500</v>
      </c>
      <c r="I561" s="44">
        <f t="shared" si="386"/>
        <v>0</v>
      </c>
      <c r="J561" s="115">
        <f>'LOE Breakdown by Year'!K61</f>
        <v>0</v>
      </c>
      <c r="K561" s="44">
        <f t="shared" si="380"/>
        <v>12</v>
      </c>
      <c r="L561" s="44">
        <f t="shared" si="387"/>
        <v>0</v>
      </c>
      <c r="M561" s="115">
        <f>'LOE Breakdown by Year'!K107</f>
        <v>0</v>
      </c>
      <c r="N561" s="44">
        <f t="shared" si="381"/>
        <v>12</v>
      </c>
      <c r="O561" s="44">
        <f t="shared" si="388"/>
        <v>0</v>
      </c>
      <c r="P561" s="115">
        <f>'LOE Breakdown by Year'!K153</f>
        <v>0</v>
      </c>
      <c r="Q561" s="44">
        <f t="shared" si="382"/>
        <v>12</v>
      </c>
      <c r="R561" s="44">
        <f t="shared" si="389"/>
        <v>0</v>
      </c>
      <c r="S561" s="115">
        <f>'LOE Breakdown by Year'!K199</f>
        <v>0</v>
      </c>
      <c r="T561" s="44">
        <f t="shared" si="383"/>
        <v>12</v>
      </c>
      <c r="U561" s="44">
        <f t="shared" si="390"/>
        <v>0</v>
      </c>
      <c r="V561" s="115">
        <f>'LOE Breakdown by Year'!K245</f>
        <v>0</v>
      </c>
      <c r="W561" s="44">
        <f t="shared" si="384"/>
        <v>3</v>
      </c>
      <c r="X561" s="44">
        <f t="shared" si="391"/>
        <v>0</v>
      </c>
      <c r="Y561" s="44">
        <f t="shared" si="392"/>
        <v>0</v>
      </c>
      <c r="Z561" s="44">
        <v>0</v>
      </c>
      <c r="AA561" s="44">
        <f t="shared" si="393"/>
        <v>0</v>
      </c>
    </row>
    <row r="562" spans="1:28" hidden="1">
      <c r="A562" s="595" t="s">
        <v>1051</v>
      </c>
      <c r="B562" s="595">
        <v>70000</v>
      </c>
      <c r="C562" s="595" t="s">
        <v>747</v>
      </c>
      <c r="D562" s="8" t="str">
        <f t="shared" si="378"/>
        <v>Education Officer</v>
      </c>
      <c r="E562" s="115">
        <f>'LOE Breakdown by Year'!K16</f>
        <v>0</v>
      </c>
      <c r="F562" s="50" t="s">
        <v>100</v>
      </c>
      <c r="G562" s="44">
        <f t="shared" si="379"/>
        <v>6</v>
      </c>
      <c r="H562" s="44">
        <f t="shared" si="379"/>
        <v>1000</v>
      </c>
      <c r="I562" s="44">
        <f t="shared" si="386"/>
        <v>0</v>
      </c>
      <c r="J562" s="115">
        <f>'LOE Breakdown by Year'!K62</f>
        <v>0</v>
      </c>
      <c r="K562" s="44">
        <f t="shared" si="380"/>
        <v>12</v>
      </c>
      <c r="L562" s="44">
        <f t="shared" si="387"/>
        <v>0</v>
      </c>
      <c r="M562" s="115">
        <f>'LOE Breakdown by Year'!K108</f>
        <v>0</v>
      </c>
      <c r="N562" s="44">
        <f t="shared" si="381"/>
        <v>12</v>
      </c>
      <c r="O562" s="44">
        <f t="shared" si="388"/>
        <v>0</v>
      </c>
      <c r="P562" s="115">
        <f>'LOE Breakdown by Year'!K154</f>
        <v>0</v>
      </c>
      <c r="Q562" s="44">
        <f t="shared" si="382"/>
        <v>12</v>
      </c>
      <c r="R562" s="44">
        <f t="shared" si="389"/>
        <v>0</v>
      </c>
      <c r="S562" s="115">
        <f>'LOE Breakdown by Year'!K200</f>
        <v>0</v>
      </c>
      <c r="T562" s="44">
        <f t="shared" si="383"/>
        <v>12</v>
      </c>
      <c r="U562" s="44">
        <f t="shared" si="390"/>
        <v>0</v>
      </c>
      <c r="V562" s="115">
        <f>'LOE Breakdown by Year'!K246</f>
        <v>0</v>
      </c>
      <c r="W562" s="44">
        <f t="shared" si="384"/>
        <v>3</v>
      </c>
      <c r="X562" s="44">
        <f t="shared" si="391"/>
        <v>0</v>
      </c>
      <c r="Y562" s="44">
        <f t="shared" si="392"/>
        <v>0</v>
      </c>
      <c r="Z562" s="44">
        <v>0</v>
      </c>
      <c r="AA562" s="44">
        <f t="shared" si="393"/>
        <v>0</v>
      </c>
    </row>
    <row r="563" spans="1:28">
      <c r="A563" s="595" t="s">
        <v>1052</v>
      </c>
      <c r="B563" s="595">
        <v>70000</v>
      </c>
      <c r="C563" s="595" t="s">
        <v>747</v>
      </c>
      <c r="D563" s="8" t="str">
        <f t="shared" si="378"/>
        <v>Nutrition and Health Specialist</v>
      </c>
      <c r="E563" s="115">
        <f>'LOE Breakdown by Year'!K17</f>
        <v>0.1</v>
      </c>
      <c r="F563" s="50" t="s">
        <v>100</v>
      </c>
      <c r="G563" s="44">
        <f t="shared" si="379"/>
        <v>9</v>
      </c>
      <c r="H563" s="44">
        <f t="shared" si="379"/>
        <v>1500</v>
      </c>
      <c r="I563" s="44">
        <f t="shared" si="386"/>
        <v>1350</v>
      </c>
      <c r="J563" s="115">
        <f>'LOE Breakdown by Year'!K63</f>
        <v>0.1</v>
      </c>
      <c r="K563" s="44">
        <f t="shared" si="380"/>
        <v>12</v>
      </c>
      <c r="L563" s="44">
        <f t="shared" si="387"/>
        <v>1890</v>
      </c>
      <c r="M563" s="115">
        <f>'LOE Breakdown by Year'!K109</f>
        <v>0.1</v>
      </c>
      <c r="N563" s="44">
        <f t="shared" si="381"/>
        <v>12</v>
      </c>
      <c r="O563" s="44">
        <f t="shared" si="388"/>
        <v>1984.5</v>
      </c>
      <c r="P563" s="115">
        <f>'LOE Breakdown by Year'!K155</f>
        <v>0.1</v>
      </c>
      <c r="Q563" s="44">
        <f t="shared" si="382"/>
        <v>12</v>
      </c>
      <c r="R563" s="44">
        <f t="shared" si="389"/>
        <v>2083.7249999999999</v>
      </c>
      <c r="S563" s="115">
        <f>'LOE Breakdown by Year'!K201</f>
        <v>0.1</v>
      </c>
      <c r="T563" s="44">
        <f t="shared" si="383"/>
        <v>12</v>
      </c>
      <c r="U563" s="44">
        <f t="shared" si="390"/>
        <v>2187.9112500000001</v>
      </c>
      <c r="V563" s="115">
        <f>'LOE Breakdown by Year'!K247</f>
        <v>0.1</v>
      </c>
      <c r="W563" s="44">
        <f t="shared" si="384"/>
        <v>6</v>
      </c>
      <c r="X563" s="44">
        <f t="shared" si="391"/>
        <v>1148.6534062500002</v>
      </c>
      <c r="Y563" s="44">
        <f t="shared" si="392"/>
        <v>10644.789656249999</v>
      </c>
      <c r="Z563" s="44">
        <v>0</v>
      </c>
      <c r="AA563" s="44">
        <f t="shared" si="393"/>
        <v>10644.789656249999</v>
      </c>
    </row>
    <row r="564" spans="1:28" hidden="1">
      <c r="A564" s="595" t="s">
        <v>1053</v>
      </c>
      <c r="B564" s="595">
        <v>70000</v>
      </c>
      <c r="C564" s="595" t="s">
        <v>747</v>
      </c>
      <c r="D564" s="8" t="str">
        <f t="shared" si="378"/>
        <v>Nutrition Officer - (2 Individuals)</v>
      </c>
      <c r="E564" s="115">
        <f>'LOE Breakdown by Year'!K18</f>
        <v>0</v>
      </c>
      <c r="F564" s="50" t="s">
        <v>100</v>
      </c>
      <c r="G564" s="44">
        <f t="shared" si="379"/>
        <v>6</v>
      </c>
      <c r="H564" s="44">
        <f t="shared" si="379"/>
        <v>1000</v>
      </c>
      <c r="I564" s="44">
        <f t="shared" si="386"/>
        <v>0</v>
      </c>
      <c r="J564" s="115">
        <f>'LOE Breakdown by Year'!K64</f>
        <v>0</v>
      </c>
      <c r="K564" s="44">
        <f t="shared" si="380"/>
        <v>24</v>
      </c>
      <c r="L564" s="44">
        <f t="shared" si="387"/>
        <v>0</v>
      </c>
      <c r="M564" s="115">
        <f>'LOE Breakdown by Year'!K110</f>
        <v>0</v>
      </c>
      <c r="N564" s="44">
        <f t="shared" si="381"/>
        <v>24</v>
      </c>
      <c r="O564" s="44">
        <f t="shared" si="388"/>
        <v>0</v>
      </c>
      <c r="P564" s="115">
        <f>'LOE Breakdown by Year'!K156</f>
        <v>0</v>
      </c>
      <c r="Q564" s="44">
        <f t="shared" si="382"/>
        <v>24</v>
      </c>
      <c r="R564" s="44">
        <f t="shared" si="389"/>
        <v>0</v>
      </c>
      <c r="S564" s="115">
        <f>'LOE Breakdown by Year'!K202</f>
        <v>0</v>
      </c>
      <c r="T564" s="44">
        <f t="shared" si="383"/>
        <v>24</v>
      </c>
      <c r="U564" s="44">
        <f t="shared" si="390"/>
        <v>0</v>
      </c>
      <c r="V564" s="115">
        <f>'LOE Breakdown by Year'!K248</f>
        <v>0</v>
      </c>
      <c r="W564" s="44">
        <f t="shared" si="384"/>
        <v>6</v>
      </c>
      <c r="X564" s="44">
        <f t="shared" si="391"/>
        <v>0</v>
      </c>
      <c r="Y564" s="44">
        <f t="shared" si="392"/>
        <v>0</v>
      </c>
      <c r="Z564" s="44">
        <v>0</v>
      </c>
      <c r="AA564" s="44">
        <f t="shared" si="393"/>
        <v>0</v>
      </c>
    </row>
    <row r="565" spans="1:28">
      <c r="A565" s="595" t="s">
        <v>1054</v>
      </c>
      <c r="B565" s="595">
        <v>70000</v>
      </c>
      <c r="C565" s="595" t="s">
        <v>747</v>
      </c>
      <c r="D565" s="8" t="str">
        <f t="shared" si="378"/>
        <v>School Feeding Specialist</v>
      </c>
      <c r="E565" s="115">
        <f>'LOE Breakdown by Year'!K19</f>
        <v>0.25</v>
      </c>
      <c r="F565" s="50" t="s">
        <v>100</v>
      </c>
      <c r="G565" s="44">
        <f t="shared" si="379"/>
        <v>9</v>
      </c>
      <c r="H565" s="44">
        <f t="shared" si="379"/>
        <v>1500</v>
      </c>
      <c r="I565" s="44">
        <f t="shared" si="386"/>
        <v>3375</v>
      </c>
      <c r="J565" s="115">
        <f>'LOE Breakdown by Year'!K65</f>
        <v>0.25</v>
      </c>
      <c r="K565" s="44">
        <f t="shared" si="380"/>
        <v>12</v>
      </c>
      <c r="L565" s="44">
        <f t="shared" si="387"/>
        <v>4725</v>
      </c>
      <c r="M565" s="115">
        <f>'LOE Breakdown by Year'!K111</f>
        <v>0.25</v>
      </c>
      <c r="N565" s="44">
        <f t="shared" si="381"/>
        <v>12</v>
      </c>
      <c r="O565" s="44">
        <f t="shared" si="388"/>
        <v>4961.25</v>
      </c>
      <c r="P565" s="115">
        <f>'LOE Breakdown by Year'!K157</f>
        <v>0.25</v>
      </c>
      <c r="Q565" s="44">
        <f t="shared" si="382"/>
        <v>12</v>
      </c>
      <c r="R565" s="44">
        <f t="shared" si="389"/>
        <v>5209.3125</v>
      </c>
      <c r="S565" s="115">
        <f>'LOE Breakdown by Year'!K203</f>
        <v>0.25</v>
      </c>
      <c r="T565" s="44">
        <f t="shared" si="383"/>
        <v>6</v>
      </c>
      <c r="U565" s="44">
        <f t="shared" si="390"/>
        <v>2734.8890624999999</v>
      </c>
      <c r="V565" s="115">
        <f>'LOE Breakdown by Year'!K249</f>
        <v>0.25</v>
      </c>
      <c r="W565" s="44">
        <f t="shared" si="384"/>
        <v>6</v>
      </c>
      <c r="X565" s="44">
        <f t="shared" si="391"/>
        <v>2871.6335156250002</v>
      </c>
      <c r="Y565" s="44">
        <f t="shared" si="392"/>
        <v>23877.085078124997</v>
      </c>
      <c r="Z565" s="44">
        <v>0</v>
      </c>
      <c r="AA565" s="44">
        <f t="shared" si="393"/>
        <v>23877.085078124997</v>
      </c>
    </row>
    <row r="566" spans="1:28">
      <c r="A566" s="595" t="s">
        <v>1055</v>
      </c>
      <c r="B566" s="595">
        <v>70000</v>
      </c>
      <c r="C566" s="595" t="s">
        <v>747</v>
      </c>
      <c r="D566" s="8" t="str">
        <f t="shared" si="378"/>
        <v>Food Aid Monitors - (2 Individuals)</v>
      </c>
      <c r="E566" s="115">
        <f>'LOE Breakdown by Year'!K20</f>
        <v>0.08</v>
      </c>
      <c r="F566" s="50" t="s">
        <v>100</v>
      </c>
      <c r="G566" s="44">
        <f t="shared" si="379"/>
        <v>6</v>
      </c>
      <c r="H566" s="44">
        <f t="shared" si="379"/>
        <v>1000</v>
      </c>
      <c r="I566" s="44">
        <f t="shared" si="386"/>
        <v>480</v>
      </c>
      <c r="J566" s="115">
        <f>'LOE Breakdown by Year'!K66</f>
        <v>0.08</v>
      </c>
      <c r="K566" s="44">
        <f t="shared" si="380"/>
        <v>24</v>
      </c>
      <c r="L566" s="44">
        <f t="shared" si="387"/>
        <v>2016</v>
      </c>
      <c r="M566" s="115">
        <f>'LOE Breakdown by Year'!K112</f>
        <v>0.08</v>
      </c>
      <c r="N566" s="44">
        <f t="shared" si="381"/>
        <v>24</v>
      </c>
      <c r="O566" s="44">
        <f t="shared" si="388"/>
        <v>2116.8000000000002</v>
      </c>
      <c r="P566" s="115">
        <f>'LOE Breakdown by Year'!K158</f>
        <v>0.08</v>
      </c>
      <c r="Q566" s="44">
        <f t="shared" si="382"/>
        <v>24</v>
      </c>
      <c r="R566" s="44">
        <f t="shared" si="389"/>
        <v>2222.6400000000003</v>
      </c>
      <c r="S566" s="115">
        <f>'LOE Breakdown by Year'!K204</f>
        <v>0.08</v>
      </c>
      <c r="T566" s="44">
        <f t="shared" si="383"/>
        <v>24</v>
      </c>
      <c r="U566" s="44">
        <f t="shared" si="390"/>
        <v>2333.7720000000004</v>
      </c>
      <c r="V566" s="115">
        <f>'LOE Breakdown by Year'!K250</f>
        <v>0.08</v>
      </c>
      <c r="W566" s="44">
        <f t="shared" si="384"/>
        <v>12</v>
      </c>
      <c r="X566" s="44">
        <f t="shared" si="391"/>
        <v>1225.2303000000002</v>
      </c>
      <c r="Y566" s="44">
        <f t="shared" si="392"/>
        <v>10394.442300000002</v>
      </c>
      <c r="Z566" s="44">
        <v>0</v>
      </c>
      <c r="AA566" s="44">
        <f t="shared" si="393"/>
        <v>10394.442300000002</v>
      </c>
      <c r="AB566" s="569"/>
    </row>
    <row r="567" spans="1:28" hidden="1">
      <c r="A567" s="595" t="s">
        <v>1056</v>
      </c>
      <c r="B567" s="595">
        <v>70000</v>
      </c>
      <c r="C567" s="595" t="s">
        <v>747</v>
      </c>
      <c r="D567" s="8" t="str">
        <f t="shared" si="378"/>
        <v>WASH Officer</v>
      </c>
      <c r="E567" s="115">
        <f>'LOE Breakdown by Year'!K21</f>
        <v>0</v>
      </c>
      <c r="F567" s="50" t="s">
        <v>100</v>
      </c>
      <c r="G567" s="44">
        <f t="shared" si="379"/>
        <v>6</v>
      </c>
      <c r="H567" s="44">
        <f t="shared" si="379"/>
        <v>1000</v>
      </c>
      <c r="I567" s="44">
        <f t="shared" si="386"/>
        <v>0</v>
      </c>
      <c r="J567" s="115">
        <f>'LOE Breakdown by Year'!K67</f>
        <v>0</v>
      </c>
      <c r="K567" s="44">
        <f t="shared" si="380"/>
        <v>12</v>
      </c>
      <c r="L567" s="44">
        <f t="shared" si="387"/>
        <v>0</v>
      </c>
      <c r="M567" s="115">
        <f>'LOE Breakdown by Year'!K113</f>
        <v>0</v>
      </c>
      <c r="N567" s="44">
        <f t="shared" si="381"/>
        <v>12</v>
      </c>
      <c r="O567" s="44">
        <f t="shared" si="388"/>
        <v>0</v>
      </c>
      <c r="P567" s="115">
        <f>'LOE Breakdown by Year'!K159</f>
        <v>0</v>
      </c>
      <c r="Q567" s="44">
        <f t="shared" si="382"/>
        <v>12</v>
      </c>
      <c r="R567" s="44">
        <f t="shared" si="389"/>
        <v>0</v>
      </c>
      <c r="S567" s="115">
        <f>'LOE Breakdown by Year'!K205</f>
        <v>0</v>
      </c>
      <c r="T567" s="44">
        <f t="shared" si="383"/>
        <v>12</v>
      </c>
      <c r="U567" s="44">
        <f t="shared" si="390"/>
        <v>0</v>
      </c>
      <c r="V567" s="115">
        <f>'LOE Breakdown by Year'!K251</f>
        <v>0</v>
      </c>
      <c r="W567" s="44">
        <f t="shared" si="384"/>
        <v>3</v>
      </c>
      <c r="X567" s="44">
        <f t="shared" si="391"/>
        <v>0</v>
      </c>
      <c r="Y567" s="44">
        <f t="shared" si="392"/>
        <v>0</v>
      </c>
      <c r="Z567" s="44">
        <v>0</v>
      </c>
      <c r="AA567" s="44">
        <f t="shared" si="393"/>
        <v>0</v>
      </c>
    </row>
    <row r="568" spans="1:28" hidden="1">
      <c r="A568" s="595" t="s">
        <v>1057</v>
      </c>
      <c r="B568" s="595">
        <v>70000</v>
      </c>
      <c r="C568" s="595" t="s">
        <v>747</v>
      </c>
      <c r="D568" s="8" t="str">
        <f t="shared" si="378"/>
        <v>Communications Specialist</v>
      </c>
      <c r="E568" s="115">
        <f>'LOE Breakdown by Year'!K22</f>
        <v>0</v>
      </c>
      <c r="F568" s="50" t="s">
        <v>100</v>
      </c>
      <c r="G568" s="44">
        <f t="shared" si="379"/>
        <v>8</v>
      </c>
      <c r="H568" s="44">
        <f t="shared" si="379"/>
        <v>1500</v>
      </c>
      <c r="I568" s="44">
        <f t="shared" si="386"/>
        <v>0</v>
      </c>
      <c r="J568" s="115">
        <f>'LOE Breakdown by Year'!K68</f>
        <v>0</v>
      </c>
      <c r="K568" s="44">
        <f t="shared" si="380"/>
        <v>12</v>
      </c>
      <c r="L568" s="44">
        <f t="shared" si="387"/>
        <v>0</v>
      </c>
      <c r="M568" s="115">
        <f>'LOE Breakdown by Year'!K114</f>
        <v>0</v>
      </c>
      <c r="N568" s="44">
        <f t="shared" si="381"/>
        <v>12</v>
      </c>
      <c r="O568" s="44">
        <f t="shared" si="388"/>
        <v>0</v>
      </c>
      <c r="P568" s="115">
        <f>'LOE Breakdown by Year'!K160</f>
        <v>0</v>
      </c>
      <c r="Q568" s="44">
        <f t="shared" si="382"/>
        <v>12</v>
      </c>
      <c r="R568" s="44">
        <f t="shared" si="389"/>
        <v>0</v>
      </c>
      <c r="S568" s="115">
        <f>'LOE Breakdown by Year'!K206</f>
        <v>0</v>
      </c>
      <c r="T568" s="44">
        <f t="shared" si="383"/>
        <v>12</v>
      </c>
      <c r="U568" s="44">
        <f t="shared" si="390"/>
        <v>0</v>
      </c>
      <c r="V568" s="115">
        <f>'LOE Breakdown by Year'!K252</f>
        <v>0</v>
      </c>
      <c r="W568" s="44">
        <f t="shared" si="384"/>
        <v>8</v>
      </c>
      <c r="X568" s="44">
        <f t="shared" si="391"/>
        <v>0</v>
      </c>
      <c r="Y568" s="44">
        <f t="shared" si="392"/>
        <v>0</v>
      </c>
      <c r="Z568" s="44">
        <v>0</v>
      </c>
      <c r="AA568" s="44">
        <f t="shared" si="393"/>
        <v>0</v>
      </c>
    </row>
    <row r="569" spans="1:28" hidden="1">
      <c r="A569" s="595" t="s">
        <v>1058</v>
      </c>
      <c r="B569" s="595">
        <v>70000</v>
      </c>
      <c r="C569" s="595" t="s">
        <v>747</v>
      </c>
      <c r="D569" s="8" t="str">
        <f t="shared" si="378"/>
        <v>Communications Officer</v>
      </c>
      <c r="E569" s="115">
        <f>'LOE Breakdown by Year'!K23</f>
        <v>0</v>
      </c>
      <c r="F569" s="50" t="s">
        <v>100</v>
      </c>
      <c r="G569" s="44">
        <f t="shared" si="379"/>
        <v>0</v>
      </c>
      <c r="H569" s="44">
        <f t="shared" si="379"/>
        <v>1000</v>
      </c>
      <c r="I569" s="44">
        <f t="shared" si="386"/>
        <v>0</v>
      </c>
      <c r="J569" s="115">
        <f>'LOE Breakdown by Year'!K69</f>
        <v>0</v>
      </c>
      <c r="K569" s="44">
        <f t="shared" si="380"/>
        <v>12</v>
      </c>
      <c r="L569" s="44">
        <f t="shared" si="387"/>
        <v>0</v>
      </c>
      <c r="M569" s="115">
        <f>'LOE Breakdown by Year'!K115</f>
        <v>0</v>
      </c>
      <c r="N569" s="44">
        <f t="shared" si="381"/>
        <v>12</v>
      </c>
      <c r="O569" s="44">
        <f t="shared" si="388"/>
        <v>0</v>
      </c>
      <c r="P569" s="115">
        <f>'LOE Breakdown by Year'!K161</f>
        <v>0</v>
      </c>
      <c r="Q569" s="44">
        <f t="shared" si="382"/>
        <v>12</v>
      </c>
      <c r="R569" s="44">
        <f t="shared" si="389"/>
        <v>0</v>
      </c>
      <c r="S569" s="115">
        <f>'LOE Breakdown by Year'!K207</f>
        <v>0</v>
      </c>
      <c r="T569" s="44">
        <f t="shared" si="383"/>
        <v>12</v>
      </c>
      <c r="U569" s="44">
        <f t="shared" si="390"/>
        <v>0</v>
      </c>
      <c r="V569" s="115">
        <f>'LOE Breakdown by Year'!K253</f>
        <v>0</v>
      </c>
      <c r="W569" s="44">
        <f t="shared" si="384"/>
        <v>0</v>
      </c>
      <c r="X569" s="44">
        <f t="shared" si="391"/>
        <v>0</v>
      </c>
      <c r="Y569" s="44">
        <f t="shared" si="392"/>
        <v>0</v>
      </c>
      <c r="Z569" s="44">
        <v>0</v>
      </c>
      <c r="AA569" s="44">
        <f t="shared" si="393"/>
        <v>0</v>
      </c>
    </row>
    <row r="570" spans="1:28">
      <c r="A570" s="595" t="s">
        <v>1059</v>
      </c>
      <c r="B570" s="595">
        <v>70000</v>
      </c>
      <c r="C570" s="595" t="s">
        <v>747</v>
      </c>
      <c r="D570" s="8" t="str">
        <f t="shared" si="378"/>
        <v>Education &amp; Community Engagement Specialist</v>
      </c>
      <c r="E570" s="115">
        <f>'LOE Breakdown by Year'!K24</f>
        <v>0.1</v>
      </c>
      <c r="F570" s="50" t="s">
        <v>100</v>
      </c>
      <c r="G570" s="44">
        <f t="shared" si="379"/>
        <v>6</v>
      </c>
      <c r="H570" s="44">
        <f t="shared" si="379"/>
        <v>1500</v>
      </c>
      <c r="I570" s="44">
        <f t="shared" si="386"/>
        <v>900</v>
      </c>
      <c r="J570" s="115">
        <f>'LOE Breakdown by Year'!K70</f>
        <v>0.1</v>
      </c>
      <c r="K570" s="44">
        <f t="shared" si="380"/>
        <v>12</v>
      </c>
      <c r="L570" s="44">
        <f t="shared" si="387"/>
        <v>1890</v>
      </c>
      <c r="M570" s="115">
        <f>'LOE Breakdown by Year'!K116</f>
        <v>0.1</v>
      </c>
      <c r="N570" s="44">
        <f t="shared" si="381"/>
        <v>12</v>
      </c>
      <c r="O570" s="44">
        <f t="shared" si="388"/>
        <v>1984.5</v>
      </c>
      <c r="P570" s="115">
        <f>'LOE Breakdown by Year'!K162</f>
        <v>0.1</v>
      </c>
      <c r="Q570" s="44">
        <f t="shared" si="382"/>
        <v>12</v>
      </c>
      <c r="R570" s="44">
        <f t="shared" si="389"/>
        <v>2083.7249999999999</v>
      </c>
      <c r="S570" s="115">
        <f>'LOE Breakdown by Year'!K208</f>
        <v>0.1</v>
      </c>
      <c r="T570" s="44">
        <f t="shared" si="383"/>
        <v>12</v>
      </c>
      <c r="U570" s="44">
        <f t="shared" si="390"/>
        <v>2187.9112500000001</v>
      </c>
      <c r="V570" s="115">
        <f>'LOE Breakdown by Year'!K254</f>
        <v>0.1</v>
      </c>
      <c r="W570" s="44">
        <f t="shared" si="384"/>
        <v>8</v>
      </c>
      <c r="X570" s="44">
        <f t="shared" si="391"/>
        <v>1531.5378750000002</v>
      </c>
      <c r="Y570" s="44">
        <f t="shared" si="392"/>
        <v>10577.674125</v>
      </c>
      <c r="Z570" s="44">
        <v>0</v>
      </c>
      <c r="AA570" s="44">
        <f t="shared" si="393"/>
        <v>10577.674125</v>
      </c>
    </row>
    <row r="571" spans="1:28">
      <c r="A571" s="595" t="s">
        <v>1060</v>
      </c>
      <c r="B571" s="595">
        <v>70000</v>
      </c>
      <c r="C571" s="595" t="s">
        <v>747</v>
      </c>
      <c r="D571" s="8" t="str">
        <f t="shared" si="378"/>
        <v>Education &amp; Community Engagement Officer</v>
      </c>
      <c r="E571" s="115">
        <f>'LOE Breakdown by Year'!K25</f>
        <v>0.1</v>
      </c>
      <c r="F571" s="50" t="s">
        <v>100</v>
      </c>
      <c r="G571" s="44">
        <f t="shared" si="379"/>
        <v>3</v>
      </c>
      <c r="H571" s="44">
        <f t="shared" si="379"/>
        <v>1000</v>
      </c>
      <c r="I571" s="44">
        <f t="shared" si="386"/>
        <v>300</v>
      </c>
      <c r="J571" s="115">
        <f>'LOE Breakdown by Year'!K71</f>
        <v>0.1</v>
      </c>
      <c r="K571" s="44">
        <f t="shared" si="380"/>
        <v>12</v>
      </c>
      <c r="L571" s="44">
        <f t="shared" si="387"/>
        <v>1260</v>
      </c>
      <c r="M571" s="115">
        <f>'LOE Breakdown by Year'!K117</f>
        <v>0.1</v>
      </c>
      <c r="N571" s="44">
        <f t="shared" si="381"/>
        <v>12</v>
      </c>
      <c r="O571" s="44">
        <f t="shared" si="388"/>
        <v>1323</v>
      </c>
      <c r="P571" s="115">
        <f>'LOE Breakdown by Year'!K163</f>
        <v>0.1</v>
      </c>
      <c r="Q571" s="44">
        <f t="shared" si="382"/>
        <v>12</v>
      </c>
      <c r="R571" s="44">
        <f t="shared" si="389"/>
        <v>1389.15</v>
      </c>
      <c r="S571" s="115">
        <f>'LOE Breakdown by Year'!K209</f>
        <v>0.1</v>
      </c>
      <c r="T571" s="44">
        <f t="shared" si="383"/>
        <v>12</v>
      </c>
      <c r="U571" s="44">
        <f t="shared" si="390"/>
        <v>1458.6075000000001</v>
      </c>
      <c r="V571" s="115">
        <f>'LOE Breakdown by Year'!K255</f>
        <v>0.1</v>
      </c>
      <c r="W571" s="44">
        <f t="shared" si="384"/>
        <v>0</v>
      </c>
      <c r="X571" s="44">
        <f t="shared" si="391"/>
        <v>0</v>
      </c>
      <c r="Y571" s="44">
        <f t="shared" si="392"/>
        <v>5730.7574999999997</v>
      </c>
      <c r="Z571" s="44">
        <v>0</v>
      </c>
      <c r="AA571" s="44">
        <f t="shared" si="393"/>
        <v>5730.7574999999997</v>
      </c>
    </row>
    <row r="572" spans="1:28" hidden="1">
      <c r="A572" s="595" t="s">
        <v>1061</v>
      </c>
      <c r="B572" s="595">
        <v>70000</v>
      </c>
      <c r="C572" s="595" t="s">
        <v>747</v>
      </c>
      <c r="D572" s="8" t="str">
        <f t="shared" si="378"/>
        <v>Private Sector Specialist</v>
      </c>
      <c r="E572" s="115">
        <f>'LOE Breakdown by Year'!K26</f>
        <v>0</v>
      </c>
      <c r="F572" s="50" t="s">
        <v>100</v>
      </c>
      <c r="G572" s="44">
        <f t="shared" si="379"/>
        <v>9</v>
      </c>
      <c r="H572" s="44">
        <f t="shared" si="379"/>
        <v>2000</v>
      </c>
      <c r="I572" s="44">
        <f t="shared" si="386"/>
        <v>0</v>
      </c>
      <c r="J572" s="115">
        <f>'LOE Breakdown by Year'!K72</f>
        <v>0</v>
      </c>
      <c r="K572" s="44">
        <f t="shared" si="380"/>
        <v>12</v>
      </c>
      <c r="L572" s="44">
        <f t="shared" si="387"/>
        <v>0</v>
      </c>
      <c r="M572" s="115">
        <f>'LOE Breakdown by Year'!K118</f>
        <v>0</v>
      </c>
      <c r="N572" s="44">
        <f t="shared" si="381"/>
        <v>12</v>
      </c>
      <c r="O572" s="44">
        <f t="shared" si="388"/>
        <v>0</v>
      </c>
      <c r="P572" s="115">
        <f>'LOE Breakdown by Year'!K164</f>
        <v>0</v>
      </c>
      <c r="Q572" s="44">
        <f t="shared" si="382"/>
        <v>12</v>
      </c>
      <c r="R572" s="44">
        <f t="shared" si="389"/>
        <v>0</v>
      </c>
      <c r="S572" s="115">
        <f>'LOE Breakdown by Year'!K210</f>
        <v>0</v>
      </c>
      <c r="T572" s="44">
        <f t="shared" si="383"/>
        <v>12</v>
      </c>
      <c r="U572" s="44">
        <f t="shared" si="390"/>
        <v>0</v>
      </c>
      <c r="V572" s="115">
        <f>'LOE Breakdown by Year'!K256</f>
        <v>0</v>
      </c>
      <c r="W572" s="44">
        <f t="shared" si="384"/>
        <v>6</v>
      </c>
      <c r="X572" s="44">
        <f t="shared" si="391"/>
        <v>0</v>
      </c>
      <c r="Y572" s="44">
        <f t="shared" si="392"/>
        <v>0</v>
      </c>
      <c r="Z572" s="44">
        <v>0</v>
      </c>
      <c r="AA572" s="44">
        <f t="shared" si="393"/>
        <v>0</v>
      </c>
    </row>
    <row r="573" spans="1:28" hidden="1">
      <c r="A573" s="595" t="s">
        <v>1062</v>
      </c>
      <c r="B573" s="595">
        <v>70000</v>
      </c>
      <c r="C573" s="595" t="s">
        <v>747</v>
      </c>
      <c r="D573" s="8" t="str">
        <f t="shared" si="378"/>
        <v xml:space="preserve">Key Personnel: M&amp;E Director </v>
      </c>
      <c r="E573" s="115">
        <f>'LOE Breakdown by Year'!K27</f>
        <v>0</v>
      </c>
      <c r="F573" s="50" t="s">
        <v>100</v>
      </c>
      <c r="G573" s="44">
        <f t="shared" si="379"/>
        <v>11</v>
      </c>
      <c r="H573" s="44">
        <f t="shared" si="379"/>
        <v>4583.333333333333</v>
      </c>
      <c r="I573" s="44">
        <f t="shared" si="386"/>
        <v>0</v>
      </c>
      <c r="J573" s="115">
        <f>'LOE Breakdown by Year'!K73</f>
        <v>0</v>
      </c>
      <c r="K573" s="44">
        <f t="shared" si="380"/>
        <v>12</v>
      </c>
      <c r="L573" s="44">
        <f t="shared" si="387"/>
        <v>0</v>
      </c>
      <c r="M573" s="115">
        <f>'LOE Breakdown by Year'!K119</f>
        <v>0</v>
      </c>
      <c r="N573" s="44">
        <f t="shared" si="381"/>
        <v>12</v>
      </c>
      <c r="O573" s="44">
        <f t="shared" si="388"/>
        <v>0</v>
      </c>
      <c r="P573" s="115">
        <f>'LOE Breakdown by Year'!K165</f>
        <v>0</v>
      </c>
      <c r="Q573" s="44">
        <f t="shared" si="382"/>
        <v>12</v>
      </c>
      <c r="R573" s="44">
        <f t="shared" si="389"/>
        <v>0</v>
      </c>
      <c r="S573" s="115">
        <f>'LOE Breakdown by Year'!K211</f>
        <v>0</v>
      </c>
      <c r="T573" s="44">
        <f t="shared" si="383"/>
        <v>12</v>
      </c>
      <c r="U573" s="44">
        <f t="shared" si="390"/>
        <v>0</v>
      </c>
      <c r="V573" s="115">
        <f>'LOE Breakdown by Year'!K257</f>
        <v>0</v>
      </c>
      <c r="W573" s="44">
        <f t="shared" si="384"/>
        <v>12</v>
      </c>
      <c r="X573" s="44">
        <f t="shared" si="391"/>
        <v>0</v>
      </c>
      <c r="Y573" s="44">
        <f t="shared" si="392"/>
        <v>0</v>
      </c>
      <c r="Z573" s="44">
        <v>0</v>
      </c>
      <c r="AA573" s="44">
        <f t="shared" si="393"/>
        <v>0</v>
      </c>
    </row>
    <row r="574" spans="1:28" hidden="1">
      <c r="A574" s="595" t="s">
        <v>1063</v>
      </c>
      <c r="B574" s="595">
        <v>70000</v>
      </c>
      <c r="C574" s="595" t="s">
        <v>747</v>
      </c>
      <c r="D574" s="8" t="str">
        <f t="shared" si="378"/>
        <v>M&amp;E Specialist</v>
      </c>
      <c r="E574" s="115">
        <f>'LOE Breakdown by Year'!K28</f>
        <v>0</v>
      </c>
      <c r="F574" s="50" t="s">
        <v>100</v>
      </c>
      <c r="G574" s="44">
        <f t="shared" si="379"/>
        <v>6</v>
      </c>
      <c r="H574" s="44">
        <f t="shared" si="379"/>
        <v>2000</v>
      </c>
      <c r="I574" s="44">
        <f t="shared" si="386"/>
        <v>0</v>
      </c>
      <c r="J574" s="115">
        <f>'LOE Breakdown by Year'!K74</f>
        <v>0</v>
      </c>
      <c r="K574" s="44">
        <f t="shared" si="380"/>
        <v>12</v>
      </c>
      <c r="L574" s="44">
        <f t="shared" si="387"/>
        <v>0</v>
      </c>
      <c r="M574" s="115">
        <f>'LOE Breakdown by Year'!K120</f>
        <v>0</v>
      </c>
      <c r="N574" s="44">
        <f t="shared" si="381"/>
        <v>12</v>
      </c>
      <c r="O574" s="44">
        <f t="shared" si="388"/>
        <v>0</v>
      </c>
      <c r="P574" s="115">
        <f>'LOE Breakdown by Year'!K166</f>
        <v>0</v>
      </c>
      <c r="Q574" s="44">
        <f t="shared" si="382"/>
        <v>12</v>
      </c>
      <c r="R574" s="44">
        <f t="shared" si="389"/>
        <v>0</v>
      </c>
      <c r="S574" s="115">
        <f>'LOE Breakdown by Year'!K212</f>
        <v>0</v>
      </c>
      <c r="T574" s="44">
        <f t="shared" si="383"/>
        <v>12</v>
      </c>
      <c r="U574" s="44">
        <f t="shared" si="390"/>
        <v>0</v>
      </c>
      <c r="V574" s="115">
        <f>'LOE Breakdown by Year'!K258</f>
        <v>0</v>
      </c>
      <c r="W574" s="44">
        <f t="shared" si="384"/>
        <v>11</v>
      </c>
      <c r="X574" s="44">
        <f t="shared" si="391"/>
        <v>0</v>
      </c>
      <c r="Y574" s="44">
        <f t="shared" si="392"/>
        <v>0</v>
      </c>
      <c r="Z574" s="44">
        <v>0</v>
      </c>
      <c r="AA574" s="44">
        <f t="shared" si="393"/>
        <v>0</v>
      </c>
    </row>
    <row r="575" spans="1:28" hidden="1">
      <c r="A575" s="595" t="s">
        <v>1064</v>
      </c>
      <c r="B575" s="595">
        <v>70000</v>
      </c>
      <c r="C575" s="595" t="s">
        <v>747</v>
      </c>
      <c r="D575" s="8" t="str">
        <f t="shared" si="378"/>
        <v>M&amp;E Officer</v>
      </c>
      <c r="E575" s="115">
        <f>'LOE Breakdown by Year'!K29</f>
        <v>0</v>
      </c>
      <c r="F575" s="50" t="s">
        <v>100</v>
      </c>
      <c r="G575" s="44">
        <f t="shared" si="379"/>
        <v>2</v>
      </c>
      <c r="H575" s="44">
        <f t="shared" si="379"/>
        <v>1250</v>
      </c>
      <c r="I575" s="44">
        <f t="shared" si="386"/>
        <v>0</v>
      </c>
      <c r="J575" s="115">
        <f>'LOE Breakdown by Year'!K75</f>
        <v>0</v>
      </c>
      <c r="K575" s="44">
        <f t="shared" si="380"/>
        <v>12</v>
      </c>
      <c r="L575" s="44">
        <f t="shared" si="387"/>
        <v>0</v>
      </c>
      <c r="M575" s="115">
        <f>'LOE Breakdown by Year'!K121</f>
        <v>0</v>
      </c>
      <c r="N575" s="44">
        <f t="shared" si="381"/>
        <v>12</v>
      </c>
      <c r="O575" s="44">
        <f t="shared" si="388"/>
        <v>0</v>
      </c>
      <c r="P575" s="115">
        <f>'LOE Breakdown by Year'!K167</f>
        <v>0</v>
      </c>
      <c r="Q575" s="44">
        <f t="shared" si="382"/>
        <v>12</v>
      </c>
      <c r="R575" s="44">
        <f t="shared" si="389"/>
        <v>0</v>
      </c>
      <c r="S575" s="115">
        <f>'LOE Breakdown by Year'!K213</f>
        <v>0</v>
      </c>
      <c r="T575" s="44">
        <f t="shared" si="383"/>
        <v>12</v>
      </c>
      <c r="U575" s="44">
        <f t="shared" si="390"/>
        <v>0</v>
      </c>
      <c r="V575" s="115">
        <f>'LOE Breakdown by Year'!K259</f>
        <v>0</v>
      </c>
      <c r="W575" s="44">
        <f t="shared" si="384"/>
        <v>3</v>
      </c>
      <c r="X575" s="44">
        <f t="shared" si="391"/>
        <v>0</v>
      </c>
      <c r="Y575" s="44">
        <f t="shared" si="392"/>
        <v>0</v>
      </c>
      <c r="Z575" s="44">
        <v>0</v>
      </c>
      <c r="AA575" s="44">
        <f t="shared" si="393"/>
        <v>0</v>
      </c>
    </row>
    <row r="576" spans="1:28" hidden="1">
      <c r="A576" s="595" t="s">
        <v>1065</v>
      </c>
      <c r="B576" s="595">
        <v>70000</v>
      </c>
      <c r="C576" s="595" t="s">
        <v>747</v>
      </c>
      <c r="D576" s="8" t="str">
        <f t="shared" si="378"/>
        <v>Supply Chain Manager</v>
      </c>
      <c r="E576" s="115">
        <f>'LOE Breakdown by Year'!K30</f>
        <v>0</v>
      </c>
      <c r="F576" s="50" t="s">
        <v>100</v>
      </c>
      <c r="G576" s="44">
        <f t="shared" si="379"/>
        <v>11</v>
      </c>
      <c r="H576" s="44">
        <f t="shared" si="379"/>
        <v>5000</v>
      </c>
      <c r="I576" s="44">
        <f t="shared" si="386"/>
        <v>0</v>
      </c>
      <c r="J576" s="115">
        <f>'LOE Breakdown by Year'!K76</f>
        <v>0</v>
      </c>
      <c r="K576" s="44">
        <f t="shared" si="380"/>
        <v>12</v>
      </c>
      <c r="L576" s="44">
        <f t="shared" si="387"/>
        <v>0</v>
      </c>
      <c r="M576" s="115">
        <f>'LOE Breakdown by Year'!K122</f>
        <v>0</v>
      </c>
      <c r="N576" s="44">
        <f t="shared" si="381"/>
        <v>12</v>
      </c>
      <c r="O576" s="44">
        <f t="shared" si="388"/>
        <v>0</v>
      </c>
      <c r="P576" s="115">
        <f>'LOE Breakdown by Year'!K168</f>
        <v>0</v>
      </c>
      <c r="Q576" s="44">
        <f t="shared" si="382"/>
        <v>12</v>
      </c>
      <c r="R576" s="44">
        <f t="shared" si="389"/>
        <v>0</v>
      </c>
      <c r="S576" s="115">
        <f>'LOE Breakdown by Year'!K214</f>
        <v>0</v>
      </c>
      <c r="T576" s="44">
        <f t="shared" si="383"/>
        <v>12</v>
      </c>
      <c r="U576" s="44">
        <f t="shared" si="390"/>
        <v>0</v>
      </c>
      <c r="V576" s="115">
        <f>'LOE Breakdown by Year'!K260</f>
        <v>0</v>
      </c>
      <c r="W576" s="44">
        <f t="shared" si="384"/>
        <v>8</v>
      </c>
      <c r="X576" s="44">
        <f t="shared" si="391"/>
        <v>0</v>
      </c>
      <c r="Y576" s="44">
        <f t="shared" si="392"/>
        <v>0</v>
      </c>
      <c r="Z576" s="44">
        <v>0</v>
      </c>
      <c r="AA576" s="44">
        <f t="shared" si="393"/>
        <v>0</v>
      </c>
    </row>
    <row r="577" spans="1:27" hidden="1">
      <c r="A577" s="595" t="s">
        <v>1066</v>
      </c>
      <c r="B577" s="595">
        <v>70000</v>
      </c>
      <c r="C577" s="595" t="s">
        <v>747</v>
      </c>
      <c r="D577" s="8" t="str">
        <f t="shared" si="378"/>
        <v>In-Country Logistics Specialist</v>
      </c>
      <c r="E577" s="115">
        <f>'LOE Breakdown by Year'!K31</f>
        <v>0</v>
      </c>
      <c r="F577" s="50" t="s">
        <v>100</v>
      </c>
      <c r="G577" s="44">
        <f t="shared" ref="G577:H590" si="394">G32</f>
        <v>9</v>
      </c>
      <c r="H577" s="44">
        <f t="shared" si="394"/>
        <v>2000</v>
      </c>
      <c r="I577" s="44">
        <f t="shared" si="386"/>
        <v>0</v>
      </c>
      <c r="J577" s="115">
        <f>'LOE Breakdown by Year'!K77</f>
        <v>0</v>
      </c>
      <c r="K577" s="44">
        <f t="shared" si="380"/>
        <v>12</v>
      </c>
      <c r="L577" s="44">
        <f t="shared" si="387"/>
        <v>0</v>
      </c>
      <c r="M577" s="115">
        <f>'LOE Breakdown by Year'!K123</f>
        <v>0</v>
      </c>
      <c r="N577" s="44">
        <f t="shared" si="381"/>
        <v>12</v>
      </c>
      <c r="O577" s="44">
        <f t="shared" si="388"/>
        <v>0</v>
      </c>
      <c r="P577" s="115">
        <f>'LOE Breakdown by Year'!K169</f>
        <v>0</v>
      </c>
      <c r="Q577" s="44">
        <f t="shared" si="382"/>
        <v>12</v>
      </c>
      <c r="R577" s="44">
        <f t="shared" si="389"/>
        <v>0</v>
      </c>
      <c r="S577" s="115">
        <f>'LOE Breakdown by Year'!K215</f>
        <v>0</v>
      </c>
      <c r="T577" s="44">
        <f t="shared" si="383"/>
        <v>12</v>
      </c>
      <c r="U577" s="44">
        <f t="shared" si="390"/>
        <v>0</v>
      </c>
      <c r="V577" s="115">
        <f>'LOE Breakdown by Year'!K261</f>
        <v>0</v>
      </c>
      <c r="W577" s="44">
        <f t="shared" si="384"/>
        <v>8</v>
      </c>
      <c r="X577" s="44">
        <f t="shared" si="391"/>
        <v>0</v>
      </c>
      <c r="Y577" s="44">
        <f t="shared" si="392"/>
        <v>0</v>
      </c>
      <c r="Z577" s="44">
        <v>0</v>
      </c>
      <c r="AA577" s="44">
        <f t="shared" si="393"/>
        <v>0</v>
      </c>
    </row>
    <row r="578" spans="1:27" hidden="1">
      <c r="A578" s="595" t="s">
        <v>1067</v>
      </c>
      <c r="B578" s="595">
        <v>70000</v>
      </c>
      <c r="C578" s="595" t="s">
        <v>747</v>
      </c>
      <c r="D578" s="8" t="str">
        <f t="shared" si="378"/>
        <v>US Commodity Logistics Specialist</v>
      </c>
      <c r="E578" s="115">
        <f>'LOE Breakdown by Year'!K32</f>
        <v>0</v>
      </c>
      <c r="F578" s="50" t="s">
        <v>100</v>
      </c>
      <c r="G578" s="44">
        <f t="shared" si="394"/>
        <v>9</v>
      </c>
      <c r="H578" s="44">
        <f t="shared" si="394"/>
        <v>2000</v>
      </c>
      <c r="I578" s="44">
        <f t="shared" si="386"/>
        <v>0</v>
      </c>
      <c r="J578" s="115">
        <f>'LOE Breakdown by Year'!K78</f>
        <v>0</v>
      </c>
      <c r="K578" s="44">
        <f t="shared" si="380"/>
        <v>12</v>
      </c>
      <c r="L578" s="44">
        <f t="shared" si="387"/>
        <v>0</v>
      </c>
      <c r="M578" s="115">
        <f>'LOE Breakdown by Year'!K124</f>
        <v>0</v>
      </c>
      <c r="N578" s="44">
        <f t="shared" si="381"/>
        <v>12</v>
      </c>
      <c r="O578" s="44">
        <f t="shared" si="388"/>
        <v>0</v>
      </c>
      <c r="P578" s="115">
        <f>'LOE Breakdown by Year'!K170</f>
        <v>0</v>
      </c>
      <c r="Q578" s="44">
        <f t="shared" si="382"/>
        <v>12</v>
      </c>
      <c r="R578" s="44">
        <f t="shared" si="389"/>
        <v>0</v>
      </c>
      <c r="S578" s="115">
        <f>'LOE Breakdown by Year'!K216</f>
        <v>0</v>
      </c>
      <c r="T578" s="44">
        <f t="shared" si="383"/>
        <v>12</v>
      </c>
      <c r="U578" s="44">
        <f t="shared" si="390"/>
        <v>0</v>
      </c>
      <c r="V578" s="115">
        <f>'LOE Breakdown by Year'!K262</f>
        <v>0</v>
      </c>
      <c r="W578" s="44">
        <f t="shared" si="384"/>
        <v>8</v>
      </c>
      <c r="X578" s="44">
        <f t="shared" si="391"/>
        <v>0</v>
      </c>
      <c r="Y578" s="44">
        <f t="shared" si="392"/>
        <v>0</v>
      </c>
      <c r="Z578" s="44">
        <v>0</v>
      </c>
      <c r="AA578" s="44">
        <f t="shared" si="393"/>
        <v>0</v>
      </c>
    </row>
    <row r="579" spans="1:27" hidden="1">
      <c r="A579" s="595" t="s">
        <v>1068</v>
      </c>
      <c r="B579" s="595">
        <v>70000</v>
      </c>
      <c r="C579" s="595" t="s">
        <v>747</v>
      </c>
      <c r="D579" s="8" t="str">
        <f t="shared" si="378"/>
        <v>Warehouse Manager</v>
      </c>
      <c r="E579" s="115">
        <f>'LOE Breakdown by Year'!K33</f>
        <v>0</v>
      </c>
      <c r="F579" s="50" t="s">
        <v>100</v>
      </c>
      <c r="G579" s="44">
        <f t="shared" si="394"/>
        <v>8</v>
      </c>
      <c r="H579" s="44">
        <f t="shared" si="394"/>
        <v>1250</v>
      </c>
      <c r="I579" s="44">
        <f t="shared" si="386"/>
        <v>0</v>
      </c>
      <c r="J579" s="115">
        <f>'LOE Breakdown by Year'!K79</f>
        <v>0</v>
      </c>
      <c r="K579" s="44">
        <f t="shared" si="380"/>
        <v>12</v>
      </c>
      <c r="L579" s="44">
        <f t="shared" si="387"/>
        <v>0</v>
      </c>
      <c r="M579" s="115">
        <f>'LOE Breakdown by Year'!K125</f>
        <v>0</v>
      </c>
      <c r="N579" s="44">
        <f t="shared" si="381"/>
        <v>12</v>
      </c>
      <c r="O579" s="44">
        <f t="shared" si="388"/>
        <v>0</v>
      </c>
      <c r="P579" s="115">
        <f>'LOE Breakdown by Year'!K171</f>
        <v>0</v>
      </c>
      <c r="Q579" s="44">
        <f t="shared" si="382"/>
        <v>12</v>
      </c>
      <c r="R579" s="44">
        <f t="shared" si="389"/>
        <v>0</v>
      </c>
      <c r="S579" s="115">
        <f>'LOE Breakdown by Year'!K217</f>
        <v>0</v>
      </c>
      <c r="T579" s="44">
        <f t="shared" si="383"/>
        <v>12</v>
      </c>
      <c r="U579" s="44">
        <f t="shared" si="390"/>
        <v>0</v>
      </c>
      <c r="V579" s="115">
        <f>'LOE Breakdown by Year'!K263</f>
        <v>0</v>
      </c>
      <c r="W579" s="44">
        <f t="shared" si="384"/>
        <v>8</v>
      </c>
      <c r="X579" s="44">
        <f t="shared" si="391"/>
        <v>0</v>
      </c>
      <c r="Y579" s="44">
        <f t="shared" si="392"/>
        <v>0</v>
      </c>
      <c r="Z579" s="44">
        <v>0</v>
      </c>
      <c r="AA579" s="44">
        <f t="shared" si="393"/>
        <v>0</v>
      </c>
    </row>
    <row r="580" spans="1:27" hidden="1">
      <c r="A580" s="595" t="s">
        <v>1069</v>
      </c>
      <c r="B580" s="595">
        <v>70000</v>
      </c>
      <c r="C580" s="595" t="s">
        <v>747</v>
      </c>
      <c r="D580" s="8" t="str">
        <f t="shared" si="378"/>
        <v>Warehouse Officer - (2 Individuals)</v>
      </c>
      <c r="E580" s="115">
        <f>'LOE Breakdown by Year'!K34</f>
        <v>0</v>
      </c>
      <c r="F580" s="50" t="s">
        <v>100</v>
      </c>
      <c r="G580" s="44">
        <f t="shared" si="394"/>
        <v>8</v>
      </c>
      <c r="H580" s="44">
        <f t="shared" si="394"/>
        <v>1000</v>
      </c>
      <c r="I580" s="44">
        <f t="shared" si="386"/>
        <v>0</v>
      </c>
      <c r="J580" s="115">
        <f>'LOE Breakdown by Year'!K80</f>
        <v>0</v>
      </c>
      <c r="K580" s="44">
        <f t="shared" si="380"/>
        <v>24</v>
      </c>
      <c r="L580" s="44">
        <f t="shared" si="387"/>
        <v>0</v>
      </c>
      <c r="M580" s="115">
        <f>'LOE Breakdown by Year'!K126</f>
        <v>0</v>
      </c>
      <c r="N580" s="44">
        <f t="shared" si="381"/>
        <v>24</v>
      </c>
      <c r="O580" s="44">
        <f t="shared" si="388"/>
        <v>0</v>
      </c>
      <c r="P580" s="115">
        <f>'LOE Breakdown by Year'!K172</f>
        <v>0</v>
      </c>
      <c r="Q580" s="44">
        <f t="shared" si="382"/>
        <v>24</v>
      </c>
      <c r="R580" s="44">
        <f t="shared" si="389"/>
        <v>0</v>
      </c>
      <c r="S580" s="115">
        <f>'LOE Breakdown by Year'!K218</f>
        <v>0</v>
      </c>
      <c r="T580" s="44">
        <f t="shared" si="383"/>
        <v>24</v>
      </c>
      <c r="U580" s="44">
        <f t="shared" si="390"/>
        <v>0</v>
      </c>
      <c r="V580" s="115">
        <f>'LOE Breakdown by Year'!K264</f>
        <v>0</v>
      </c>
      <c r="W580" s="44">
        <f t="shared" si="384"/>
        <v>8</v>
      </c>
      <c r="X580" s="44">
        <f t="shared" si="391"/>
        <v>0</v>
      </c>
      <c r="Y580" s="44">
        <f t="shared" si="392"/>
        <v>0</v>
      </c>
      <c r="Z580" s="44">
        <v>0</v>
      </c>
      <c r="AA580" s="44">
        <f t="shared" si="393"/>
        <v>0</v>
      </c>
    </row>
    <row r="581" spans="1:27" hidden="1">
      <c r="A581" s="595" t="s">
        <v>1070</v>
      </c>
      <c r="B581" s="595">
        <v>70000</v>
      </c>
      <c r="C581" s="595" t="s">
        <v>747</v>
      </c>
      <c r="D581" s="8" t="str">
        <f t="shared" si="378"/>
        <v xml:space="preserve">LRP Technical Specialist </v>
      </c>
      <c r="E581" s="115">
        <f>'LOE Breakdown by Year'!K35</f>
        <v>0</v>
      </c>
      <c r="F581" s="50" t="s">
        <v>100</v>
      </c>
      <c r="G581" s="44">
        <f t="shared" si="394"/>
        <v>8</v>
      </c>
      <c r="H581" s="44">
        <f t="shared" si="394"/>
        <v>1500</v>
      </c>
      <c r="I581" s="44">
        <f t="shared" si="386"/>
        <v>0</v>
      </c>
      <c r="J581" s="115">
        <f>'LOE Breakdown by Year'!K81</f>
        <v>0</v>
      </c>
      <c r="K581" s="44">
        <f t="shared" si="380"/>
        <v>12</v>
      </c>
      <c r="L581" s="44">
        <f t="shared" si="387"/>
        <v>0</v>
      </c>
      <c r="M581" s="115">
        <f>'LOE Breakdown by Year'!K127</f>
        <v>0</v>
      </c>
      <c r="N581" s="44">
        <f t="shared" si="381"/>
        <v>12</v>
      </c>
      <c r="O581" s="44">
        <f t="shared" si="388"/>
        <v>0</v>
      </c>
      <c r="P581" s="115">
        <f>'LOE Breakdown by Year'!K173</f>
        <v>0</v>
      </c>
      <c r="Q581" s="44">
        <f t="shared" si="382"/>
        <v>12</v>
      </c>
      <c r="R581" s="44">
        <f t="shared" si="389"/>
        <v>0</v>
      </c>
      <c r="S581" s="115">
        <f>'LOE Breakdown by Year'!K219</f>
        <v>0</v>
      </c>
      <c r="T581" s="44">
        <f t="shared" si="383"/>
        <v>12</v>
      </c>
      <c r="U581" s="44">
        <f t="shared" si="390"/>
        <v>0</v>
      </c>
      <c r="V581" s="115">
        <f>'LOE Breakdown by Year'!K265</f>
        <v>0</v>
      </c>
      <c r="W581" s="44">
        <f t="shared" si="384"/>
        <v>0</v>
      </c>
      <c r="X581" s="44">
        <f t="shared" si="391"/>
        <v>0</v>
      </c>
      <c r="Y581" s="44">
        <f t="shared" si="392"/>
        <v>0</v>
      </c>
      <c r="Z581" s="44">
        <v>0</v>
      </c>
      <c r="AA581" s="44">
        <f t="shared" si="393"/>
        <v>0</v>
      </c>
    </row>
    <row r="582" spans="1:27" hidden="1">
      <c r="A582" s="595" t="s">
        <v>1071</v>
      </c>
      <c r="B582" s="595">
        <v>70000</v>
      </c>
      <c r="C582" s="595" t="s">
        <v>747</v>
      </c>
      <c r="D582" s="8" t="str">
        <f t="shared" si="378"/>
        <v>Finance &amp; Administration Director</v>
      </c>
      <c r="E582" s="115">
        <f>'LOE Breakdown by Year'!K36</f>
        <v>0</v>
      </c>
      <c r="F582" s="50" t="s">
        <v>100</v>
      </c>
      <c r="G582" s="44">
        <f t="shared" si="394"/>
        <v>9</v>
      </c>
      <c r="H582" s="44">
        <f t="shared" si="394"/>
        <v>5000</v>
      </c>
      <c r="I582" s="44">
        <f t="shared" si="386"/>
        <v>0</v>
      </c>
      <c r="J582" s="115">
        <f>'LOE Breakdown by Year'!K82</f>
        <v>0</v>
      </c>
      <c r="K582" s="44">
        <f t="shared" si="380"/>
        <v>12</v>
      </c>
      <c r="L582" s="44">
        <f t="shared" si="387"/>
        <v>0</v>
      </c>
      <c r="M582" s="115">
        <f>'LOE Breakdown by Year'!K128</f>
        <v>0</v>
      </c>
      <c r="N582" s="44">
        <f t="shared" si="381"/>
        <v>12</v>
      </c>
      <c r="O582" s="44">
        <f t="shared" si="388"/>
        <v>0</v>
      </c>
      <c r="P582" s="115">
        <f>'LOE Breakdown by Year'!K174</f>
        <v>0</v>
      </c>
      <c r="Q582" s="44">
        <f t="shared" si="382"/>
        <v>12</v>
      </c>
      <c r="R582" s="44">
        <f t="shared" si="389"/>
        <v>0</v>
      </c>
      <c r="S582" s="115">
        <f>'LOE Breakdown by Year'!K220</f>
        <v>0</v>
      </c>
      <c r="T582" s="44">
        <f t="shared" si="383"/>
        <v>12</v>
      </c>
      <c r="U582" s="44">
        <f t="shared" si="390"/>
        <v>0</v>
      </c>
      <c r="V582" s="115">
        <f>'LOE Breakdown by Year'!K266</f>
        <v>0</v>
      </c>
      <c r="W582" s="44">
        <f t="shared" si="384"/>
        <v>12</v>
      </c>
      <c r="X582" s="44">
        <f t="shared" si="391"/>
        <v>0</v>
      </c>
      <c r="Y582" s="44">
        <f t="shared" si="392"/>
        <v>0</v>
      </c>
      <c r="Z582" s="44">
        <v>0</v>
      </c>
      <c r="AA582" s="44">
        <f t="shared" si="393"/>
        <v>0</v>
      </c>
    </row>
    <row r="583" spans="1:27" hidden="1">
      <c r="A583" s="595" t="s">
        <v>1072</v>
      </c>
      <c r="B583" s="595">
        <v>70000</v>
      </c>
      <c r="C583" s="595" t="s">
        <v>747</v>
      </c>
      <c r="D583" s="8" t="str">
        <f t="shared" si="378"/>
        <v>Contracts &amp; Compliance Manager</v>
      </c>
      <c r="E583" s="115">
        <f>'LOE Breakdown by Year'!K37</f>
        <v>0</v>
      </c>
      <c r="F583" s="50" t="s">
        <v>100</v>
      </c>
      <c r="G583" s="44">
        <f t="shared" si="394"/>
        <v>9</v>
      </c>
      <c r="H583" s="44">
        <f t="shared" si="394"/>
        <v>2633.3333333333335</v>
      </c>
      <c r="I583" s="44">
        <f t="shared" si="386"/>
        <v>0</v>
      </c>
      <c r="J583" s="115">
        <f>'LOE Breakdown by Year'!K83</f>
        <v>0</v>
      </c>
      <c r="K583" s="44">
        <f t="shared" si="380"/>
        <v>12</v>
      </c>
      <c r="L583" s="44">
        <f t="shared" si="387"/>
        <v>0</v>
      </c>
      <c r="M583" s="115">
        <f>'LOE Breakdown by Year'!K129</f>
        <v>0</v>
      </c>
      <c r="N583" s="44">
        <f t="shared" si="381"/>
        <v>12</v>
      </c>
      <c r="O583" s="44">
        <f t="shared" si="388"/>
        <v>0</v>
      </c>
      <c r="P583" s="115">
        <f>'LOE Breakdown by Year'!K175</f>
        <v>0</v>
      </c>
      <c r="Q583" s="44">
        <f t="shared" si="382"/>
        <v>12</v>
      </c>
      <c r="R583" s="44">
        <f t="shared" si="389"/>
        <v>0</v>
      </c>
      <c r="S583" s="115">
        <f>'LOE Breakdown by Year'!K221</f>
        <v>0</v>
      </c>
      <c r="T583" s="44">
        <f t="shared" si="383"/>
        <v>12</v>
      </c>
      <c r="U583" s="44">
        <f t="shared" si="390"/>
        <v>0</v>
      </c>
      <c r="V583" s="115">
        <f>'LOE Breakdown by Year'!K267</f>
        <v>0</v>
      </c>
      <c r="W583" s="44">
        <f t="shared" si="384"/>
        <v>11</v>
      </c>
      <c r="X583" s="44">
        <f t="shared" si="391"/>
        <v>0</v>
      </c>
      <c r="Y583" s="44">
        <f t="shared" si="392"/>
        <v>0</v>
      </c>
      <c r="Z583" s="44">
        <v>0</v>
      </c>
      <c r="AA583" s="44">
        <f t="shared" si="393"/>
        <v>0</v>
      </c>
    </row>
    <row r="584" spans="1:27" hidden="1">
      <c r="A584" s="595" t="s">
        <v>1073</v>
      </c>
      <c r="B584" s="595">
        <v>70000</v>
      </c>
      <c r="C584" s="595" t="s">
        <v>747</v>
      </c>
      <c r="D584" s="8" t="str">
        <f t="shared" si="378"/>
        <v>Grants &amp; Procurement Specialist</v>
      </c>
      <c r="E584" s="115">
        <f>'LOE Breakdown by Year'!K38</f>
        <v>0</v>
      </c>
      <c r="F584" s="50" t="s">
        <v>100</v>
      </c>
      <c r="G584" s="44">
        <f t="shared" si="394"/>
        <v>6</v>
      </c>
      <c r="H584" s="44">
        <f t="shared" si="394"/>
        <v>1500</v>
      </c>
      <c r="I584" s="44">
        <f t="shared" si="386"/>
        <v>0</v>
      </c>
      <c r="J584" s="115">
        <f>'LOE Breakdown by Year'!K84</f>
        <v>0</v>
      </c>
      <c r="K584" s="44">
        <f t="shared" si="380"/>
        <v>12</v>
      </c>
      <c r="L584" s="44">
        <f t="shared" si="387"/>
        <v>0</v>
      </c>
      <c r="M584" s="115">
        <f>'LOE Breakdown by Year'!K130</f>
        <v>0</v>
      </c>
      <c r="N584" s="44">
        <f t="shared" si="381"/>
        <v>12</v>
      </c>
      <c r="O584" s="44">
        <f t="shared" si="388"/>
        <v>0</v>
      </c>
      <c r="P584" s="115">
        <f>'LOE Breakdown by Year'!K176</f>
        <v>0</v>
      </c>
      <c r="Q584" s="44">
        <f t="shared" si="382"/>
        <v>12</v>
      </c>
      <c r="R584" s="44">
        <f t="shared" si="389"/>
        <v>0</v>
      </c>
      <c r="S584" s="115">
        <f>'LOE Breakdown by Year'!K222</f>
        <v>0</v>
      </c>
      <c r="T584" s="44">
        <f t="shared" si="383"/>
        <v>12</v>
      </c>
      <c r="U584" s="44">
        <f t="shared" si="390"/>
        <v>0</v>
      </c>
      <c r="V584" s="115">
        <f>'LOE Breakdown by Year'!K268</f>
        <v>0</v>
      </c>
      <c r="W584" s="44">
        <f t="shared" si="384"/>
        <v>6</v>
      </c>
      <c r="X584" s="44">
        <f t="shared" si="391"/>
        <v>0</v>
      </c>
      <c r="Y584" s="44">
        <f t="shared" si="392"/>
        <v>0</v>
      </c>
      <c r="Z584" s="44">
        <v>0</v>
      </c>
      <c r="AA584" s="44">
        <f t="shared" si="393"/>
        <v>0</v>
      </c>
    </row>
    <row r="585" spans="1:27" hidden="1">
      <c r="A585" s="595" t="s">
        <v>1074</v>
      </c>
      <c r="B585" s="595">
        <v>70000</v>
      </c>
      <c r="C585" s="595" t="s">
        <v>747</v>
      </c>
      <c r="D585" s="8" t="str">
        <f t="shared" si="378"/>
        <v>Grants &amp; Procurement Officer</v>
      </c>
      <c r="E585" s="115">
        <f>'LOE Breakdown by Year'!K39</f>
        <v>0</v>
      </c>
      <c r="F585" s="50" t="s">
        <v>100</v>
      </c>
      <c r="G585" s="44">
        <f t="shared" si="394"/>
        <v>2</v>
      </c>
      <c r="H585" s="44">
        <f t="shared" si="394"/>
        <v>1000</v>
      </c>
      <c r="I585" s="44">
        <f t="shared" si="386"/>
        <v>0</v>
      </c>
      <c r="J585" s="115">
        <f>'LOE Breakdown by Year'!K85</f>
        <v>0</v>
      </c>
      <c r="K585" s="44">
        <f t="shared" si="380"/>
        <v>12</v>
      </c>
      <c r="L585" s="44">
        <f t="shared" si="387"/>
        <v>0</v>
      </c>
      <c r="M585" s="115">
        <f>'LOE Breakdown by Year'!K131</f>
        <v>0</v>
      </c>
      <c r="N585" s="44">
        <f t="shared" si="381"/>
        <v>12</v>
      </c>
      <c r="O585" s="44">
        <f t="shared" si="388"/>
        <v>0</v>
      </c>
      <c r="P585" s="115">
        <f>'LOE Breakdown by Year'!K177</f>
        <v>0</v>
      </c>
      <c r="Q585" s="44">
        <f t="shared" si="382"/>
        <v>12</v>
      </c>
      <c r="R585" s="44">
        <f t="shared" si="389"/>
        <v>0</v>
      </c>
      <c r="S585" s="115">
        <f>'LOE Breakdown by Year'!K223</f>
        <v>0</v>
      </c>
      <c r="T585" s="44">
        <f t="shared" si="383"/>
        <v>12</v>
      </c>
      <c r="U585" s="44">
        <f t="shared" si="390"/>
        <v>0</v>
      </c>
      <c r="V585" s="115">
        <f>'LOE Breakdown by Year'!K269</f>
        <v>0</v>
      </c>
      <c r="W585" s="44">
        <f t="shared" si="384"/>
        <v>3</v>
      </c>
      <c r="X585" s="44">
        <f t="shared" si="391"/>
        <v>0</v>
      </c>
      <c r="Y585" s="44">
        <f t="shared" si="392"/>
        <v>0</v>
      </c>
      <c r="Z585" s="44">
        <v>0</v>
      </c>
      <c r="AA585" s="44">
        <f t="shared" si="393"/>
        <v>0</v>
      </c>
    </row>
    <row r="586" spans="1:27" hidden="1">
      <c r="A586" s="595" t="s">
        <v>1075</v>
      </c>
      <c r="B586" s="595">
        <v>70000</v>
      </c>
      <c r="C586" s="595" t="s">
        <v>747</v>
      </c>
      <c r="D586" s="8" t="str">
        <f t="shared" si="378"/>
        <v>Finance Officer</v>
      </c>
      <c r="E586" s="115">
        <f>'LOE Breakdown by Year'!K40</f>
        <v>0</v>
      </c>
      <c r="F586" s="50" t="s">
        <v>100</v>
      </c>
      <c r="G586" s="44">
        <f t="shared" si="394"/>
        <v>9</v>
      </c>
      <c r="H586" s="44">
        <f t="shared" si="394"/>
        <v>1250</v>
      </c>
      <c r="I586" s="44">
        <f t="shared" si="386"/>
        <v>0</v>
      </c>
      <c r="J586" s="115">
        <f>'LOE Breakdown by Year'!K86</f>
        <v>0</v>
      </c>
      <c r="K586" s="44">
        <f t="shared" si="380"/>
        <v>12</v>
      </c>
      <c r="L586" s="44">
        <f t="shared" si="387"/>
        <v>0</v>
      </c>
      <c r="M586" s="115">
        <f>'LOE Breakdown by Year'!K132</f>
        <v>0</v>
      </c>
      <c r="N586" s="44">
        <f t="shared" si="381"/>
        <v>12</v>
      </c>
      <c r="O586" s="44">
        <f t="shared" si="388"/>
        <v>0</v>
      </c>
      <c r="P586" s="115">
        <f>'LOE Breakdown by Year'!K178</f>
        <v>0</v>
      </c>
      <c r="Q586" s="44">
        <f t="shared" si="382"/>
        <v>12</v>
      </c>
      <c r="R586" s="44">
        <f t="shared" si="389"/>
        <v>0</v>
      </c>
      <c r="S586" s="115">
        <f>'LOE Breakdown by Year'!K224</f>
        <v>0</v>
      </c>
      <c r="T586" s="44">
        <f t="shared" si="383"/>
        <v>12</v>
      </c>
      <c r="U586" s="44">
        <f t="shared" si="390"/>
        <v>0</v>
      </c>
      <c r="V586" s="115">
        <f>'LOE Breakdown by Year'!K270</f>
        <v>0</v>
      </c>
      <c r="W586" s="44">
        <f t="shared" si="384"/>
        <v>11</v>
      </c>
      <c r="X586" s="44">
        <f t="shared" si="391"/>
        <v>0</v>
      </c>
      <c r="Y586" s="44">
        <f t="shared" si="392"/>
        <v>0</v>
      </c>
      <c r="Z586" s="44">
        <v>0</v>
      </c>
      <c r="AA586" s="44">
        <f t="shared" si="393"/>
        <v>0</v>
      </c>
    </row>
    <row r="587" spans="1:27" hidden="1">
      <c r="A587" s="595" t="s">
        <v>1076</v>
      </c>
      <c r="B587" s="595">
        <v>70000</v>
      </c>
      <c r="C587" s="595" t="s">
        <v>747</v>
      </c>
      <c r="D587" s="8" t="str">
        <f t="shared" si="378"/>
        <v>Accountant</v>
      </c>
      <c r="E587" s="115">
        <f>'LOE Breakdown by Year'!K41</f>
        <v>0</v>
      </c>
      <c r="F587" s="50" t="s">
        <v>100</v>
      </c>
      <c r="G587" s="44">
        <f t="shared" si="394"/>
        <v>3</v>
      </c>
      <c r="H587" s="44">
        <f t="shared" si="394"/>
        <v>1000</v>
      </c>
      <c r="I587" s="44">
        <f t="shared" si="386"/>
        <v>0</v>
      </c>
      <c r="J587" s="115">
        <f>'LOE Breakdown by Year'!K87</f>
        <v>0</v>
      </c>
      <c r="K587" s="44">
        <f t="shared" si="380"/>
        <v>12</v>
      </c>
      <c r="L587" s="44">
        <f t="shared" si="387"/>
        <v>0</v>
      </c>
      <c r="M587" s="115">
        <f>'LOE Breakdown by Year'!K133</f>
        <v>0</v>
      </c>
      <c r="N587" s="44">
        <f t="shared" si="381"/>
        <v>12</v>
      </c>
      <c r="O587" s="44">
        <f t="shared" si="388"/>
        <v>0</v>
      </c>
      <c r="P587" s="115">
        <f>'LOE Breakdown by Year'!K179</f>
        <v>0</v>
      </c>
      <c r="Q587" s="44">
        <f t="shared" si="382"/>
        <v>12</v>
      </c>
      <c r="R587" s="44">
        <f t="shared" si="389"/>
        <v>0</v>
      </c>
      <c r="S587" s="115">
        <f>'LOE Breakdown by Year'!K225</f>
        <v>0</v>
      </c>
      <c r="T587" s="44">
        <f t="shared" si="383"/>
        <v>12</v>
      </c>
      <c r="U587" s="44">
        <f t="shared" si="390"/>
        <v>0</v>
      </c>
      <c r="V587" s="115">
        <f>'LOE Breakdown by Year'!K271</f>
        <v>0</v>
      </c>
      <c r="W587" s="44">
        <f t="shared" si="384"/>
        <v>9</v>
      </c>
      <c r="X587" s="44">
        <f t="shared" si="391"/>
        <v>0</v>
      </c>
      <c r="Y587" s="44">
        <f t="shared" si="392"/>
        <v>0</v>
      </c>
      <c r="Z587" s="44">
        <v>0</v>
      </c>
      <c r="AA587" s="44">
        <f t="shared" si="393"/>
        <v>0</v>
      </c>
    </row>
    <row r="588" spans="1:27" hidden="1">
      <c r="A588" s="595" t="s">
        <v>1077</v>
      </c>
      <c r="B588" s="595">
        <v>70000</v>
      </c>
      <c r="C588" s="595" t="s">
        <v>747</v>
      </c>
      <c r="D588" s="8" t="str">
        <f t="shared" si="378"/>
        <v>Operation &amp; HR Manager</v>
      </c>
      <c r="E588" s="115">
        <f>'LOE Breakdown by Year'!K42</f>
        <v>0</v>
      </c>
      <c r="F588" s="50" t="s">
        <v>100</v>
      </c>
      <c r="G588" s="44">
        <f t="shared" si="394"/>
        <v>9</v>
      </c>
      <c r="H588" s="44">
        <f t="shared" si="394"/>
        <v>1800</v>
      </c>
      <c r="I588" s="44">
        <f t="shared" si="386"/>
        <v>0</v>
      </c>
      <c r="J588" s="115">
        <f>'LOE Breakdown by Year'!K88</f>
        <v>0</v>
      </c>
      <c r="K588" s="44">
        <f t="shared" si="380"/>
        <v>12</v>
      </c>
      <c r="L588" s="44">
        <f t="shared" si="387"/>
        <v>0</v>
      </c>
      <c r="M588" s="115">
        <f>'LOE Breakdown by Year'!K134</f>
        <v>0</v>
      </c>
      <c r="N588" s="44">
        <f t="shared" si="381"/>
        <v>12</v>
      </c>
      <c r="O588" s="44">
        <f t="shared" si="388"/>
        <v>0</v>
      </c>
      <c r="P588" s="115">
        <f>'LOE Breakdown by Year'!K180</f>
        <v>0</v>
      </c>
      <c r="Q588" s="44">
        <f t="shared" si="382"/>
        <v>12</v>
      </c>
      <c r="R588" s="44">
        <f t="shared" si="389"/>
        <v>0</v>
      </c>
      <c r="S588" s="115">
        <f>'LOE Breakdown by Year'!K226</f>
        <v>0</v>
      </c>
      <c r="T588" s="44">
        <f t="shared" si="383"/>
        <v>12</v>
      </c>
      <c r="U588" s="44">
        <f t="shared" si="390"/>
        <v>0</v>
      </c>
      <c r="V588" s="115">
        <f>'LOE Breakdown by Year'!K272</f>
        <v>0</v>
      </c>
      <c r="W588" s="44">
        <f t="shared" si="384"/>
        <v>11</v>
      </c>
      <c r="X588" s="44">
        <f t="shared" si="391"/>
        <v>0</v>
      </c>
      <c r="Y588" s="44">
        <f t="shared" si="392"/>
        <v>0</v>
      </c>
      <c r="Z588" s="44">
        <v>0</v>
      </c>
      <c r="AA588" s="44">
        <f t="shared" si="393"/>
        <v>0</v>
      </c>
    </row>
    <row r="589" spans="1:27" hidden="1">
      <c r="A589" s="595" t="s">
        <v>1078</v>
      </c>
      <c r="B589" s="595">
        <v>70000</v>
      </c>
      <c r="C589" s="595" t="s">
        <v>747</v>
      </c>
      <c r="D589" s="8" t="str">
        <f t="shared" si="378"/>
        <v>Administrative Assistant - (2 Individuals)</v>
      </c>
      <c r="E589" s="115">
        <f>'LOE Breakdown by Year'!K43</f>
        <v>0</v>
      </c>
      <c r="F589" s="50" t="s">
        <v>100</v>
      </c>
      <c r="G589" s="44">
        <f t="shared" si="394"/>
        <v>6</v>
      </c>
      <c r="H589" s="44">
        <f t="shared" si="394"/>
        <v>750</v>
      </c>
      <c r="I589" s="44">
        <f t="shared" si="386"/>
        <v>0</v>
      </c>
      <c r="J589" s="115">
        <f>'LOE Breakdown by Year'!K89</f>
        <v>0</v>
      </c>
      <c r="K589" s="44">
        <f t="shared" si="380"/>
        <v>24</v>
      </c>
      <c r="L589" s="44">
        <f t="shared" si="387"/>
        <v>0</v>
      </c>
      <c r="M589" s="115">
        <f>'LOE Breakdown by Year'!K135</f>
        <v>0</v>
      </c>
      <c r="N589" s="44">
        <f t="shared" si="381"/>
        <v>24</v>
      </c>
      <c r="O589" s="44">
        <f t="shared" si="388"/>
        <v>0</v>
      </c>
      <c r="P589" s="115">
        <f>'LOE Breakdown by Year'!K181</f>
        <v>0</v>
      </c>
      <c r="Q589" s="44">
        <f t="shared" si="382"/>
        <v>24</v>
      </c>
      <c r="R589" s="44">
        <f t="shared" si="389"/>
        <v>0</v>
      </c>
      <c r="S589" s="115">
        <f>'LOE Breakdown by Year'!K227</f>
        <v>0</v>
      </c>
      <c r="T589" s="44">
        <f t="shared" si="383"/>
        <v>24</v>
      </c>
      <c r="U589" s="44">
        <f t="shared" si="390"/>
        <v>0</v>
      </c>
      <c r="V589" s="115">
        <f>'LOE Breakdown by Year'!K273</f>
        <v>0</v>
      </c>
      <c r="W589" s="44">
        <f t="shared" si="384"/>
        <v>10</v>
      </c>
      <c r="X589" s="44">
        <f t="shared" si="391"/>
        <v>0</v>
      </c>
      <c r="Y589" s="44">
        <f t="shared" si="392"/>
        <v>0</v>
      </c>
      <c r="Z589" s="44">
        <v>0</v>
      </c>
      <c r="AA589" s="44">
        <f t="shared" si="393"/>
        <v>0</v>
      </c>
    </row>
    <row r="590" spans="1:27" hidden="1">
      <c r="A590" s="595" t="s">
        <v>1079</v>
      </c>
      <c r="B590" s="595">
        <v>70000</v>
      </c>
      <c r="C590" s="595" t="s">
        <v>747</v>
      </c>
      <c r="D590" s="8" t="str">
        <f t="shared" si="378"/>
        <v>Driver - (2 Individuals)</v>
      </c>
      <c r="E590" s="115">
        <f>'LOE Breakdown by Year'!K44</f>
        <v>0</v>
      </c>
      <c r="F590" s="50" t="s">
        <v>100</v>
      </c>
      <c r="G590" s="44">
        <f t="shared" si="394"/>
        <v>6</v>
      </c>
      <c r="H590" s="44">
        <f t="shared" si="394"/>
        <v>500</v>
      </c>
      <c r="I590" s="44">
        <f t="shared" si="386"/>
        <v>0</v>
      </c>
      <c r="J590" s="115">
        <f>'LOE Breakdown by Year'!K90</f>
        <v>0</v>
      </c>
      <c r="K590" s="44">
        <f t="shared" si="380"/>
        <v>24</v>
      </c>
      <c r="L590" s="44">
        <f t="shared" si="387"/>
        <v>0</v>
      </c>
      <c r="M590" s="115">
        <f>'LOE Breakdown by Year'!K136</f>
        <v>0</v>
      </c>
      <c r="N590" s="44">
        <f t="shared" si="381"/>
        <v>24</v>
      </c>
      <c r="O590" s="44">
        <f t="shared" si="388"/>
        <v>0</v>
      </c>
      <c r="P590" s="115">
        <f>'LOE Breakdown by Year'!K182</f>
        <v>0</v>
      </c>
      <c r="Q590" s="44">
        <f t="shared" si="382"/>
        <v>24</v>
      </c>
      <c r="R590" s="44">
        <f t="shared" si="389"/>
        <v>0</v>
      </c>
      <c r="S590" s="115">
        <f>'LOE Breakdown by Year'!K228</f>
        <v>0</v>
      </c>
      <c r="T590" s="44">
        <f t="shared" si="383"/>
        <v>24</v>
      </c>
      <c r="U590" s="44">
        <f t="shared" si="390"/>
        <v>0</v>
      </c>
      <c r="V590" s="115">
        <f>'LOE Breakdown by Year'!K274</f>
        <v>0</v>
      </c>
      <c r="W590" s="44">
        <f t="shared" si="384"/>
        <v>18</v>
      </c>
      <c r="X590" s="44">
        <f t="shared" si="391"/>
        <v>0</v>
      </c>
      <c r="Y590" s="44">
        <f t="shared" si="392"/>
        <v>0</v>
      </c>
      <c r="Z590" s="44">
        <v>0</v>
      </c>
      <c r="AA590" s="44">
        <f t="shared" si="393"/>
        <v>0</v>
      </c>
    </row>
    <row r="591" spans="1:27">
      <c r="A591" s="607"/>
      <c r="B591" s="607"/>
      <c r="C591" s="607"/>
      <c r="D591" s="41" t="s">
        <v>373</v>
      </c>
      <c r="E591" s="127"/>
      <c r="F591" s="46"/>
      <c r="G591" s="47"/>
      <c r="H591" s="47"/>
      <c r="I591" s="48">
        <f>SUM(I557:I590)</f>
        <v>6405</v>
      </c>
      <c r="J591" s="127"/>
      <c r="K591" s="48"/>
      <c r="L591" s="48">
        <f>SUM(L557:L590)</f>
        <v>11781</v>
      </c>
      <c r="M591" s="127"/>
      <c r="N591" s="48"/>
      <c r="O591" s="48">
        <f>SUM(O557:O590)</f>
        <v>13527.674999999999</v>
      </c>
      <c r="P591" s="127"/>
      <c r="Q591" s="48"/>
      <c r="R591" s="48">
        <f>SUM(R557:R590)</f>
        <v>15072.2775</v>
      </c>
      <c r="S591" s="127"/>
      <c r="T591" s="48"/>
      <c r="U591" s="48">
        <f>SUM(U557:U590)</f>
        <v>13091.002312500003</v>
      </c>
      <c r="V591" s="127"/>
      <c r="W591" s="48"/>
      <c r="X591" s="48">
        <f>SUM(X557:X590)</f>
        <v>7925.7085031250008</v>
      </c>
      <c r="Y591" s="48">
        <f>SUM(Y557:Y590)</f>
        <v>67802.663315624988</v>
      </c>
      <c r="Z591" s="48">
        <f>SUM(Z557:Z590)</f>
        <v>0</v>
      </c>
      <c r="AA591" s="48">
        <f>SUM(AA557:AA590)</f>
        <v>67802.663315624988</v>
      </c>
    </row>
    <row r="592" spans="1:27">
      <c r="A592" s="608"/>
      <c r="B592" s="608"/>
      <c r="C592" s="608"/>
      <c r="D592" s="100"/>
      <c r="E592" s="128"/>
      <c r="F592" s="81"/>
      <c r="G592" s="63"/>
      <c r="H592" s="63"/>
      <c r="I592" s="63"/>
      <c r="J592" s="128"/>
      <c r="K592" s="63"/>
      <c r="L592" s="63"/>
      <c r="M592" s="128"/>
      <c r="N592" s="63"/>
      <c r="O592" s="63"/>
      <c r="P592" s="128"/>
      <c r="Q592" s="63"/>
      <c r="R592" s="63"/>
      <c r="S592" s="128"/>
      <c r="T592" s="63"/>
      <c r="U592" s="63"/>
      <c r="V592" s="128"/>
      <c r="W592" s="63"/>
      <c r="X592" s="63"/>
      <c r="Y592" s="63"/>
      <c r="Z592" s="63"/>
      <c r="AA592" s="63"/>
    </row>
    <row r="593" spans="1:30">
      <c r="A593" s="607"/>
      <c r="B593" s="607"/>
      <c r="C593" s="607"/>
      <c r="D593" s="41" t="s">
        <v>374</v>
      </c>
      <c r="E593" s="127"/>
      <c r="F593" s="46"/>
      <c r="G593" s="47"/>
      <c r="H593" s="47"/>
      <c r="I593" s="48"/>
      <c r="J593" s="127"/>
      <c r="K593" s="48"/>
      <c r="L593" s="48"/>
      <c r="M593" s="127"/>
      <c r="N593" s="48"/>
      <c r="O593" s="48"/>
      <c r="P593" s="127"/>
      <c r="Q593" s="48"/>
      <c r="R593" s="48"/>
      <c r="S593" s="127"/>
      <c r="T593" s="48"/>
      <c r="U593" s="48"/>
      <c r="V593" s="127"/>
      <c r="W593" s="48"/>
      <c r="X593" s="48"/>
      <c r="Y593" s="48"/>
      <c r="Z593" s="48"/>
      <c r="AA593" s="48"/>
    </row>
    <row r="594" spans="1:30">
      <c r="A594" s="591" t="s">
        <v>870</v>
      </c>
      <c r="B594" s="591" t="s">
        <v>791</v>
      </c>
      <c r="C594" s="591" t="s">
        <v>747</v>
      </c>
      <c r="D594" s="8" t="str">
        <f>D56</f>
        <v>Fringe Benefits CCN - Honduras</v>
      </c>
      <c r="E594" s="116"/>
      <c r="F594" s="82" t="str">
        <f>F56</f>
        <v>%</v>
      </c>
      <c r="G594" s="44">
        <f>G56</f>
        <v>0</v>
      </c>
      <c r="H594" s="60">
        <f>H56</f>
        <v>0.48259999999999997</v>
      </c>
      <c r="I594" s="44">
        <f>(SUM(I557:I590))*$H$594</f>
        <v>3091.0529999999999</v>
      </c>
      <c r="J594" s="116"/>
      <c r="K594" s="44">
        <f>K56</f>
        <v>0</v>
      </c>
      <c r="L594" s="44">
        <f>(SUM(L557:L590))*$H$594</f>
        <v>5685.5105999999996</v>
      </c>
      <c r="M594" s="116"/>
      <c r="N594" s="44">
        <f>N56</f>
        <v>0</v>
      </c>
      <c r="O594" s="44">
        <f>(SUM(O557:O590))*$H$594</f>
        <v>6528.4559549999994</v>
      </c>
      <c r="P594" s="116"/>
      <c r="Q594" s="44">
        <f>Q56</f>
        <v>0</v>
      </c>
      <c r="R594" s="44">
        <f>(SUM(R557:R590))*$H$594</f>
        <v>7273.8811214999996</v>
      </c>
      <c r="S594" s="116"/>
      <c r="T594" s="44">
        <f>T56</f>
        <v>0</v>
      </c>
      <c r="U594" s="44">
        <f>(SUM(U557:U590))*$H$594</f>
        <v>6317.7177160125011</v>
      </c>
      <c r="V594" s="116"/>
      <c r="W594" s="44">
        <f>W56</f>
        <v>0</v>
      </c>
      <c r="X594" s="44">
        <f>(SUM(X557:X590))*$H$594</f>
        <v>3824.946923608125</v>
      </c>
      <c r="Y594" s="44">
        <f t="shared" ref="Y594" si="395">SUM(R594,O594,L594,I594,U594,X594)</f>
        <v>32721.565316120625</v>
      </c>
      <c r="Z594" s="63">
        <v>0</v>
      </c>
      <c r="AA594" s="44">
        <f>SUM(Y594:Z594)</f>
        <v>32721.565316120625</v>
      </c>
    </row>
    <row r="595" spans="1:30">
      <c r="A595" s="607"/>
      <c r="B595" s="607"/>
      <c r="C595" s="607"/>
      <c r="D595" s="41" t="s">
        <v>375</v>
      </c>
      <c r="E595" s="127"/>
      <c r="F595" s="46"/>
      <c r="G595" s="47"/>
      <c r="H595" s="47"/>
      <c r="I595" s="48">
        <f>SUM(I594:I594)</f>
        <v>3091.0529999999999</v>
      </c>
      <c r="J595" s="127"/>
      <c r="K595" s="48"/>
      <c r="L595" s="48">
        <f>SUM(L594:L594)</f>
        <v>5685.5105999999996</v>
      </c>
      <c r="M595" s="127"/>
      <c r="N595" s="48"/>
      <c r="O595" s="48">
        <f>SUM(O594:O594)</f>
        <v>6528.4559549999994</v>
      </c>
      <c r="P595" s="127"/>
      <c r="Q595" s="48"/>
      <c r="R595" s="48">
        <f>SUM(R594:R594)</f>
        <v>7273.8811214999996</v>
      </c>
      <c r="S595" s="127"/>
      <c r="T595" s="48"/>
      <c r="U595" s="48">
        <f>SUM(U594:U594)</f>
        <v>6317.7177160125011</v>
      </c>
      <c r="V595" s="127"/>
      <c r="W595" s="48"/>
      <c r="X595" s="48">
        <f>SUM(X594:X594)</f>
        <v>3824.946923608125</v>
      </c>
      <c r="Y595" s="48">
        <f>SUM(Y594:Y594)</f>
        <v>32721.565316120625</v>
      </c>
      <c r="Z595" s="48">
        <f>SUM(Z594:Z594)</f>
        <v>0</v>
      </c>
      <c r="AA595" s="48">
        <f>SUM(AA594:AA594)</f>
        <v>32721.565316120625</v>
      </c>
    </row>
    <row r="596" spans="1:30">
      <c r="A596" s="608"/>
      <c r="B596" s="608"/>
      <c r="C596" s="608"/>
      <c r="D596" s="100"/>
      <c r="E596" s="128"/>
      <c r="F596" s="81"/>
      <c r="G596" s="63"/>
      <c r="H596" s="63"/>
      <c r="I596" s="63"/>
      <c r="J596" s="128"/>
      <c r="K596" s="63"/>
      <c r="L596" s="63"/>
      <c r="M596" s="128"/>
      <c r="N596" s="63"/>
      <c r="O596" s="63"/>
      <c r="P596" s="128"/>
      <c r="Q596" s="63"/>
      <c r="R596" s="63"/>
      <c r="S596" s="128"/>
      <c r="T596" s="63"/>
      <c r="U596" s="63"/>
      <c r="V596" s="128"/>
      <c r="W596" s="63"/>
      <c r="X596" s="63"/>
      <c r="Y596" s="63"/>
      <c r="Z596" s="63"/>
      <c r="AA596" s="63"/>
    </row>
    <row r="597" spans="1:30">
      <c r="A597" s="607"/>
      <c r="B597" s="607"/>
      <c r="C597" s="607"/>
      <c r="D597" s="41" t="s">
        <v>376</v>
      </c>
      <c r="E597" s="127"/>
      <c r="F597" s="46"/>
      <c r="G597" s="47"/>
      <c r="H597" s="47"/>
      <c r="I597" s="47"/>
      <c r="J597" s="127"/>
      <c r="K597" s="47"/>
      <c r="L597" s="47"/>
      <c r="M597" s="127"/>
      <c r="N597" s="47"/>
      <c r="O597" s="47"/>
      <c r="P597" s="127"/>
      <c r="Q597" s="47"/>
      <c r="R597" s="47"/>
      <c r="S597" s="127"/>
      <c r="T597" s="47"/>
      <c r="U597" s="47"/>
      <c r="V597" s="127"/>
      <c r="W597" s="47"/>
      <c r="X597" s="47"/>
      <c r="Y597" s="47"/>
      <c r="Z597" s="47"/>
      <c r="AA597" s="47"/>
    </row>
    <row r="598" spans="1:30" ht="25.2">
      <c r="A598" s="591" t="s">
        <v>1325</v>
      </c>
      <c r="B598" s="591" t="s">
        <v>1322</v>
      </c>
      <c r="C598" s="591" t="s">
        <v>747</v>
      </c>
      <c r="D598" s="8" t="s">
        <v>377</v>
      </c>
      <c r="E598" s="120"/>
      <c r="F598" s="49" t="s">
        <v>234</v>
      </c>
      <c r="G598" s="44">
        <v>1</v>
      </c>
      <c r="H598" s="44">
        <v>62500</v>
      </c>
      <c r="I598" s="44">
        <f>G598*H598</f>
        <v>62500</v>
      </c>
      <c r="J598" s="120"/>
      <c r="K598" s="44">
        <v>1</v>
      </c>
      <c r="L598" s="44">
        <f>H598*K598</f>
        <v>62500</v>
      </c>
      <c r="M598" s="120"/>
      <c r="N598" s="44">
        <v>1</v>
      </c>
      <c r="O598" s="44">
        <f>H598*N598</f>
        <v>62500</v>
      </c>
      <c r="P598" s="123"/>
      <c r="Q598" s="44">
        <v>1</v>
      </c>
      <c r="R598" s="44">
        <f>H598*Q598</f>
        <v>62500</v>
      </c>
      <c r="S598" s="123"/>
      <c r="T598" s="44">
        <v>0</v>
      </c>
      <c r="U598" s="44">
        <f>H598*T598</f>
        <v>0</v>
      </c>
      <c r="V598" s="123"/>
      <c r="W598" s="44">
        <v>0</v>
      </c>
      <c r="X598" s="44">
        <f>K598*W598</f>
        <v>0</v>
      </c>
      <c r="Y598" s="44">
        <f>SUM(R598,O598,L598,I598,U598)</f>
        <v>250000</v>
      </c>
      <c r="Z598" s="44">
        <v>0</v>
      </c>
      <c r="AA598" s="44">
        <f>SUM(Y598:Z598)</f>
        <v>250000</v>
      </c>
    </row>
    <row r="599" spans="1:30">
      <c r="A599" s="607"/>
      <c r="B599" s="607"/>
      <c r="C599" s="607"/>
      <c r="D599" s="41" t="s">
        <v>378</v>
      </c>
      <c r="E599" s="127"/>
      <c r="F599" s="46"/>
      <c r="G599" s="47"/>
      <c r="H599" s="47"/>
      <c r="I599" s="48">
        <f>SUM(I598:I598)</f>
        <v>62500</v>
      </c>
      <c r="J599" s="127"/>
      <c r="K599" s="48"/>
      <c r="L599" s="48">
        <f>SUM(L598:L598)</f>
        <v>62500</v>
      </c>
      <c r="M599" s="127"/>
      <c r="N599" s="48"/>
      <c r="O599" s="48">
        <f>SUM(O598:O598)</f>
        <v>62500</v>
      </c>
      <c r="P599" s="127"/>
      <c r="Q599" s="48"/>
      <c r="R599" s="48">
        <f>SUM(R598:R598)</f>
        <v>62500</v>
      </c>
      <c r="S599" s="127"/>
      <c r="T599" s="48"/>
      <c r="U599" s="48">
        <f>SUM(U598:U598)</f>
        <v>0</v>
      </c>
      <c r="V599" s="127"/>
      <c r="W599" s="48"/>
      <c r="X599" s="48">
        <f>SUM(X598:X598)</f>
        <v>0</v>
      </c>
      <c r="Y599" s="101">
        <f>SUM(Y598:Y598)</f>
        <v>250000</v>
      </c>
      <c r="Z599" s="48">
        <f>SUM(Z598:Z598)</f>
        <v>0</v>
      </c>
      <c r="AA599" s="48">
        <f>SUM(AA598:AA598)</f>
        <v>250000</v>
      </c>
    </row>
    <row r="600" spans="1:30">
      <c r="E600" s="128"/>
      <c r="F600" s="81"/>
      <c r="G600" s="63"/>
      <c r="H600" s="63"/>
      <c r="I600" s="63"/>
      <c r="J600" s="128"/>
      <c r="K600" s="63"/>
      <c r="L600" s="63"/>
      <c r="M600" s="128"/>
      <c r="N600" s="63"/>
      <c r="O600" s="63"/>
      <c r="P600" s="128"/>
      <c r="Q600" s="63"/>
      <c r="R600" s="63"/>
      <c r="S600" s="128"/>
      <c r="T600" s="63"/>
      <c r="U600" s="63"/>
      <c r="V600" s="128"/>
      <c r="W600" s="63"/>
      <c r="X600" s="63"/>
      <c r="Y600" s="63"/>
      <c r="Z600" s="63"/>
      <c r="AA600" s="63"/>
    </row>
    <row r="601" spans="1:30">
      <c r="A601" s="607"/>
      <c r="B601" s="607"/>
      <c r="C601" s="607"/>
      <c r="D601" s="41" t="s">
        <v>379</v>
      </c>
      <c r="E601" s="127"/>
      <c r="F601" s="46"/>
      <c r="G601" s="47"/>
      <c r="H601" s="47"/>
      <c r="I601" s="47"/>
      <c r="J601" s="127"/>
      <c r="K601" s="47"/>
      <c r="L601" s="47"/>
      <c r="M601" s="127"/>
      <c r="N601" s="47"/>
      <c r="O601" s="47"/>
      <c r="P601" s="127"/>
      <c r="Q601" s="47"/>
      <c r="R601" s="47"/>
      <c r="S601" s="127"/>
      <c r="T601" s="47"/>
      <c r="U601" s="47"/>
      <c r="V601" s="127"/>
      <c r="W601" s="47"/>
      <c r="X601" s="47"/>
      <c r="Y601" s="47"/>
      <c r="Z601" s="47"/>
      <c r="AA601" s="47"/>
    </row>
    <row r="602" spans="1:30">
      <c r="A602" s="591" t="s">
        <v>1323</v>
      </c>
      <c r="B602" s="591" t="s">
        <v>1265</v>
      </c>
      <c r="C602" s="591" t="s">
        <v>747</v>
      </c>
      <c r="D602" s="8" t="s">
        <v>160</v>
      </c>
      <c r="F602" s="8" t="s">
        <v>100</v>
      </c>
      <c r="G602" s="44">
        <v>3</v>
      </c>
      <c r="H602" s="44">
        <v>50</v>
      </c>
      <c r="I602" s="44">
        <f>G602*H602</f>
        <v>150</v>
      </c>
      <c r="J602" s="44"/>
      <c r="K602" s="44">
        <v>12</v>
      </c>
      <c r="L602" s="44">
        <f>H602*K602*$E$6</f>
        <v>630</v>
      </c>
      <c r="M602" s="123"/>
      <c r="N602" s="44">
        <v>12</v>
      </c>
      <c r="O602" s="44">
        <f>H602*N602*$E$6*$E$6</f>
        <v>661.5</v>
      </c>
      <c r="P602" s="123"/>
      <c r="Q602" s="44">
        <v>12</v>
      </c>
      <c r="R602" s="44">
        <f>H602*Q602*$E$6*$E$6*$E$6</f>
        <v>694.57500000000005</v>
      </c>
      <c r="S602" s="123"/>
      <c r="T602" s="44">
        <v>12</v>
      </c>
      <c r="U602" s="44">
        <f>H602*T602*$E$6*$E$6*$E$6*$E$6</f>
        <v>729.30375000000004</v>
      </c>
      <c r="V602" s="123"/>
      <c r="W602" s="44">
        <v>9</v>
      </c>
      <c r="X602" s="44">
        <f t="shared" ref="X602" si="396">W602*H602*$E$6*$E$6*$E$6*$E$6*$E$6</f>
        <v>574.32670312500011</v>
      </c>
      <c r="Y602" s="44">
        <f t="shared" ref="Y602" si="397">SUM(R602,O602,L602,I602,U602,X602)</f>
        <v>3439.7054531250001</v>
      </c>
      <c r="Z602" s="44" t="s">
        <v>149</v>
      </c>
      <c r="AA602" s="44">
        <f>SUM(Y602:Z602)</f>
        <v>3439.7054531250001</v>
      </c>
    </row>
    <row r="603" spans="1:30">
      <c r="A603" s="591" t="s">
        <v>1324</v>
      </c>
      <c r="B603" s="591" t="s">
        <v>1265</v>
      </c>
      <c r="C603" s="591" t="s">
        <v>747</v>
      </c>
      <c r="D603" s="8" t="s">
        <v>380</v>
      </c>
      <c r="F603" s="8" t="s">
        <v>148</v>
      </c>
      <c r="G603" s="44">
        <v>2</v>
      </c>
      <c r="H603" s="44">
        <v>35</v>
      </c>
      <c r="I603" s="44">
        <f>G603*H603</f>
        <v>70</v>
      </c>
      <c r="J603" s="123"/>
      <c r="K603" s="44">
        <v>2</v>
      </c>
      <c r="L603" s="44">
        <f t="shared" ref="L603:L604" si="398">H603*K603*$E$6</f>
        <v>73.5</v>
      </c>
      <c r="M603" s="123"/>
      <c r="N603" s="44">
        <v>2</v>
      </c>
      <c r="O603" s="44">
        <f t="shared" ref="O603:O604" si="399">H603*N603*$E$6*$E$6</f>
        <v>77.174999999999997</v>
      </c>
      <c r="P603" s="123"/>
      <c r="Q603" s="44">
        <v>2</v>
      </c>
      <c r="R603" s="44">
        <f t="shared" ref="R603:R604" si="400">H603*Q603*$E$6*$E$6*$E$6</f>
        <v>81.033749999999998</v>
      </c>
      <c r="S603" s="123"/>
      <c r="T603" s="44">
        <v>2</v>
      </c>
      <c r="U603" s="44">
        <f t="shared" ref="U603:U604" si="401">T603*H603*$E$6*$E$6*$E$6*$E$6</f>
        <v>85.085437499999998</v>
      </c>
      <c r="V603" s="123"/>
      <c r="W603" s="44">
        <v>2</v>
      </c>
      <c r="X603" s="44">
        <f>W603*H603*$E$6*$E$6*$E$6*$E$6*$E$6</f>
        <v>89.339709374999998</v>
      </c>
      <c r="Y603" s="44">
        <f>SUM(R603,O603,L603,I603,U603,X603)</f>
        <v>476.133896875</v>
      </c>
      <c r="Z603" s="44" t="s">
        <v>149</v>
      </c>
      <c r="AA603" s="44">
        <f>SUM(Y603:Z603)</f>
        <v>476.133896875</v>
      </c>
      <c r="AD603" s="566"/>
    </row>
    <row r="604" spans="1:30" ht="25.2">
      <c r="A604" s="591" t="s">
        <v>1324</v>
      </c>
      <c r="B604" s="45" t="s">
        <v>794</v>
      </c>
      <c r="C604" s="591" t="s">
        <v>747</v>
      </c>
      <c r="D604" s="8" t="s">
        <v>381</v>
      </c>
      <c r="F604" s="8" t="s">
        <v>151</v>
      </c>
      <c r="G604" s="44">
        <f>2*G603</f>
        <v>4</v>
      </c>
      <c r="H604" s="44">
        <f xml:space="preserve"> 75 +  + (0.5*80)</f>
        <v>115</v>
      </c>
      <c r="I604" s="44">
        <f>G604*H604</f>
        <v>460</v>
      </c>
      <c r="J604" s="123"/>
      <c r="K604" s="44">
        <f>2*K603</f>
        <v>4</v>
      </c>
      <c r="L604" s="44">
        <f t="shared" si="398"/>
        <v>483</v>
      </c>
      <c r="M604" s="123"/>
      <c r="N604" s="44">
        <f>2*N603</f>
        <v>4</v>
      </c>
      <c r="O604" s="44">
        <f t="shared" si="399"/>
        <v>507.15000000000003</v>
      </c>
      <c r="P604" s="123"/>
      <c r="Q604" s="44">
        <f>2*Q603</f>
        <v>4</v>
      </c>
      <c r="R604" s="44">
        <f t="shared" si="400"/>
        <v>532.50750000000005</v>
      </c>
      <c r="S604" s="123"/>
      <c r="T604" s="44">
        <f>2*T603</f>
        <v>4</v>
      </c>
      <c r="U604" s="44">
        <f t="shared" si="401"/>
        <v>559.13287500000013</v>
      </c>
      <c r="V604" s="123"/>
      <c r="W604" s="44">
        <f>2*W603</f>
        <v>4</v>
      </c>
      <c r="X604" s="44">
        <f>W604*H604*$E$6*$E$6*$E$6*$E$6*$E$6</f>
        <v>587.08951875000014</v>
      </c>
      <c r="Y604" s="44">
        <f>SUM(R604,O604,L604,I604,U604,X604)</f>
        <v>3128.8798937500001</v>
      </c>
      <c r="Z604" s="44" t="s">
        <v>149</v>
      </c>
      <c r="AA604" s="44">
        <f>SUM(Y604:Z604)</f>
        <v>3128.8798937500001</v>
      </c>
    </row>
    <row r="605" spans="1:30">
      <c r="A605" s="607"/>
      <c r="B605" s="607"/>
      <c r="C605" s="607"/>
      <c r="D605" s="41" t="s">
        <v>382</v>
      </c>
      <c r="E605" s="127"/>
      <c r="F605" s="46"/>
      <c r="G605" s="47"/>
      <c r="H605" s="47"/>
      <c r="I605" s="48">
        <f>SUM(I602:I604)</f>
        <v>680</v>
      </c>
      <c r="J605" s="127"/>
      <c r="K605" s="47"/>
      <c r="L605" s="48">
        <f>SUM(L602:L604)</f>
        <v>1186.5</v>
      </c>
      <c r="M605" s="127"/>
      <c r="N605" s="47"/>
      <c r="O605" s="48">
        <f>SUM(O602:O604)</f>
        <v>1245.825</v>
      </c>
      <c r="P605" s="127"/>
      <c r="Q605" s="47"/>
      <c r="R605" s="48">
        <f>SUM(R602:R604)</f>
        <v>1308.11625</v>
      </c>
      <c r="S605" s="127"/>
      <c r="T605" s="47"/>
      <c r="U605" s="48">
        <f>SUM(U602:U604)</f>
        <v>1373.5220625000002</v>
      </c>
      <c r="V605" s="127"/>
      <c r="W605" s="47"/>
      <c r="X605" s="48">
        <f>SUM(X602:X604)</f>
        <v>1250.7559312500002</v>
      </c>
      <c r="Y605" s="576">
        <f>SUM(Y602:Y604)</f>
        <v>7044.7192437499998</v>
      </c>
      <c r="Z605" s="48">
        <f>SUM(Z602:Z604)</f>
        <v>0</v>
      </c>
      <c r="AA605" s="48">
        <f>SUM(AA602:AA604)</f>
        <v>7044.7192437499998</v>
      </c>
    </row>
    <row r="606" spans="1:30">
      <c r="A606" s="608"/>
      <c r="B606" s="608"/>
      <c r="C606" s="608"/>
      <c r="D606" s="100"/>
      <c r="E606" s="128"/>
      <c r="F606" s="81"/>
      <c r="G606" s="63"/>
      <c r="H606" s="63"/>
      <c r="I606" s="63"/>
      <c r="J606" s="128"/>
      <c r="K606" s="63"/>
      <c r="L606" s="63"/>
      <c r="M606" s="128"/>
      <c r="N606" s="63"/>
      <c r="O606" s="63"/>
      <c r="P606" s="128"/>
      <c r="Q606" s="63"/>
      <c r="R606" s="63"/>
      <c r="S606" s="128"/>
      <c r="T606" s="63"/>
      <c r="U606" s="63"/>
      <c r="V606" s="128"/>
      <c r="W606" s="63"/>
      <c r="X606" s="63"/>
      <c r="Y606" s="63"/>
      <c r="Z606" s="63"/>
      <c r="AA606" s="63"/>
    </row>
    <row r="607" spans="1:30" ht="12.9" thickBot="1">
      <c r="A607" s="596"/>
      <c r="B607" s="596"/>
      <c r="C607" s="596"/>
      <c r="D607" s="54" t="s">
        <v>383</v>
      </c>
      <c r="E607" s="121"/>
      <c r="F607" s="54"/>
      <c r="G607" s="69"/>
      <c r="H607" s="69"/>
      <c r="I607" s="65">
        <f>+I599+I605+I595+I591</f>
        <v>72676.053</v>
      </c>
      <c r="J607" s="121"/>
      <c r="K607" s="65"/>
      <c r="L607" s="65">
        <f>+L599+L605+L595+L591</f>
        <v>81153.010599999994</v>
      </c>
      <c r="M607" s="121"/>
      <c r="N607" s="65"/>
      <c r="O607" s="65">
        <f>+O599+O605+O595+O591</f>
        <v>83801.955954999998</v>
      </c>
      <c r="P607" s="121"/>
      <c r="Q607" s="65"/>
      <c r="R607" s="65">
        <f>+R599+R605+R595+R591</f>
        <v>86154.274871499991</v>
      </c>
      <c r="S607" s="121"/>
      <c r="T607" s="65"/>
      <c r="U607" s="65">
        <f>+U599+U605+U595+U591</f>
        <v>20782.242091012504</v>
      </c>
      <c r="V607" s="121"/>
      <c r="W607" s="65"/>
      <c r="X607" s="65">
        <f>+X599+X605+X595+X591</f>
        <v>13001.411357983126</v>
      </c>
      <c r="Y607" s="65">
        <f>+Y599+Y605+Y595+Y591</f>
        <v>357568.94787549559</v>
      </c>
      <c r="Z607" s="65">
        <f>+Z599+Z605+Z595+Z591</f>
        <v>0</v>
      </c>
      <c r="AA607" s="65">
        <f>+AA599+AA605+AA595+AA591</f>
        <v>357568.94787549559</v>
      </c>
    </row>
    <row r="608" spans="1:30">
      <c r="A608" s="597"/>
      <c r="B608" s="597"/>
      <c r="C608" s="597"/>
      <c r="D608" s="81"/>
      <c r="E608" s="118"/>
      <c r="F608" s="81"/>
      <c r="G608" s="63"/>
      <c r="H608" s="63"/>
      <c r="I608" s="63"/>
      <c r="J608" s="118"/>
      <c r="K608" s="63"/>
      <c r="L608" s="63"/>
      <c r="M608" s="118"/>
      <c r="N608" s="63"/>
      <c r="O608" s="63"/>
      <c r="P608" s="118"/>
      <c r="Q608" s="63"/>
      <c r="R608" s="63"/>
      <c r="S608" s="118"/>
      <c r="T608" s="63"/>
      <c r="U608" s="63"/>
      <c r="V608" s="118"/>
      <c r="W608" s="63"/>
      <c r="X608" s="63"/>
      <c r="Y608" s="63"/>
      <c r="Z608" s="63"/>
      <c r="AA608" s="63"/>
    </row>
    <row r="609" spans="1:27">
      <c r="A609" s="605"/>
      <c r="B609" s="605"/>
      <c r="C609" s="605"/>
      <c r="D609" s="94" t="str">
        <f>'USDA Budget Summary'!A34</f>
        <v>Activity 8: Capacity Building: Local and Regional Level</v>
      </c>
      <c r="E609" s="125"/>
      <c r="F609" s="38"/>
      <c r="G609" s="38"/>
      <c r="H609" s="39"/>
      <c r="I609" s="95"/>
      <c r="J609" s="125"/>
      <c r="K609" s="95"/>
      <c r="L609" s="95"/>
      <c r="M609" s="125"/>
      <c r="N609" s="95"/>
      <c r="O609" s="95"/>
      <c r="P609" s="125"/>
      <c r="Q609" s="95"/>
      <c r="R609" s="95"/>
      <c r="S609" s="125"/>
      <c r="T609" s="95"/>
      <c r="U609" s="95"/>
      <c r="V609" s="125"/>
      <c r="W609" s="95"/>
      <c r="X609" s="95"/>
      <c r="Y609" s="95"/>
      <c r="Z609" s="96"/>
      <c r="AA609" s="95"/>
    </row>
    <row r="610" spans="1:27">
      <c r="A610" s="606"/>
      <c r="B610" s="606"/>
      <c r="C610" s="606"/>
      <c r="D610" s="97" t="s">
        <v>227</v>
      </c>
      <c r="E610" s="126"/>
      <c r="F610" s="98"/>
      <c r="G610" s="99"/>
      <c r="H610" s="99"/>
      <c r="I610" s="99"/>
      <c r="J610" s="126"/>
      <c r="K610" s="99"/>
      <c r="L610" s="99"/>
      <c r="M610" s="126"/>
      <c r="N610" s="99"/>
      <c r="O610" s="99"/>
      <c r="P610" s="126"/>
      <c r="Q610" s="99"/>
      <c r="R610" s="99"/>
      <c r="S610" s="126"/>
      <c r="T610" s="99"/>
      <c r="U610" s="99"/>
      <c r="V610" s="126"/>
      <c r="W610" s="99"/>
      <c r="X610" s="99"/>
      <c r="Y610" s="99"/>
      <c r="Z610" s="99"/>
      <c r="AA610" s="99"/>
    </row>
    <row r="611" spans="1:27">
      <c r="A611" s="607"/>
      <c r="B611" s="607"/>
      <c r="C611" s="607"/>
      <c r="D611" s="41" t="s">
        <v>384</v>
      </c>
      <c r="E611" s="127"/>
      <c r="F611" s="46"/>
      <c r="G611" s="47"/>
      <c r="H611" s="47"/>
      <c r="I611" s="47"/>
      <c r="J611" s="127"/>
      <c r="K611" s="47"/>
      <c r="L611" s="47"/>
      <c r="M611" s="127"/>
      <c r="N611" s="47"/>
      <c r="O611" s="47"/>
      <c r="P611" s="127"/>
      <c r="Q611" s="47"/>
      <c r="R611" s="47"/>
      <c r="S611" s="127"/>
      <c r="T611" s="47"/>
      <c r="U611" s="47"/>
      <c r="V611" s="127"/>
      <c r="W611" s="47"/>
      <c r="X611" s="47"/>
      <c r="Y611" s="47"/>
      <c r="Z611" s="47"/>
      <c r="AA611" s="47"/>
    </row>
    <row r="612" spans="1:27" hidden="1">
      <c r="A612" s="595" t="s">
        <v>1080</v>
      </c>
      <c r="B612" s="595">
        <v>70000</v>
      </c>
      <c r="C612" s="595" t="s">
        <v>747</v>
      </c>
      <c r="D612" s="8" t="str">
        <f t="shared" ref="D612:D645" si="402">D12</f>
        <v xml:space="preserve">Key Personnel: Chief of Party - Roger Sanchez O’Neill </v>
      </c>
      <c r="E612" s="115">
        <f>'LOE Breakdown by Year'!L11</f>
        <v>0</v>
      </c>
      <c r="F612" s="50" t="s">
        <v>100</v>
      </c>
      <c r="G612" s="44">
        <f t="shared" ref="G612:H631" si="403">G12</f>
        <v>11</v>
      </c>
      <c r="H612" s="44">
        <f t="shared" si="403"/>
        <v>9583.3333333333339</v>
      </c>
      <c r="I612" s="44">
        <f>G612*H612*E612</f>
        <v>0</v>
      </c>
      <c r="J612" s="115">
        <f>'LOE Breakdown by Year'!L57</f>
        <v>0</v>
      </c>
      <c r="K612" s="44">
        <f t="shared" ref="K612:K645" si="404">K12</f>
        <v>12</v>
      </c>
      <c r="L612" s="44">
        <f>K612*H612*$E$7*$J612</f>
        <v>0</v>
      </c>
      <c r="M612" s="115">
        <f>'LOE Breakdown by Year'!L103</f>
        <v>0</v>
      </c>
      <c r="N612" s="44">
        <f t="shared" ref="N612:N645" si="405">N12</f>
        <v>12</v>
      </c>
      <c r="O612" s="44">
        <f>N612*H612*$M612*$E$7*$E$7</f>
        <v>0</v>
      </c>
      <c r="P612" s="115">
        <f>'LOE Breakdown by Year'!L149</f>
        <v>0</v>
      </c>
      <c r="Q612" s="44">
        <f t="shared" ref="Q612:Q645" si="406">Q12</f>
        <v>12</v>
      </c>
      <c r="R612" s="44">
        <f>Q612*H612*$P612*$E$7*$E$7*$E$7</f>
        <v>0</v>
      </c>
      <c r="S612" s="115">
        <f>'LOE Breakdown by Year'!L195</f>
        <v>0</v>
      </c>
      <c r="T612" s="44">
        <f t="shared" ref="T612:T645" si="407">T12</f>
        <v>12</v>
      </c>
      <c r="U612" s="44">
        <f>T612*H612*$S612*$E$7*$E$7*$E$7*$E$7</f>
        <v>0</v>
      </c>
      <c r="V612" s="115">
        <f>'LOE Breakdown by Year'!L241</f>
        <v>0</v>
      </c>
      <c r="W612" s="44">
        <f t="shared" ref="W612:W645" si="408">W12</f>
        <v>12</v>
      </c>
      <c r="X612" s="44">
        <f>W612*H612*$V612*$E$7*$E$7*$E$7*$E$7*$E$7</f>
        <v>0</v>
      </c>
      <c r="Y612" s="44">
        <f>SUM(R612,O612,L612,I612,U612,X612)</f>
        <v>0</v>
      </c>
      <c r="Z612" s="44">
        <v>0</v>
      </c>
      <c r="AA612" s="44">
        <f t="shared" ref="AA612" si="409">SUM(Y612:Z612)</f>
        <v>0</v>
      </c>
    </row>
    <row r="613" spans="1:27" hidden="1">
      <c r="A613" s="595" t="s">
        <v>1081</v>
      </c>
      <c r="B613" s="595">
        <v>70000</v>
      </c>
      <c r="C613" s="595" t="s">
        <v>747</v>
      </c>
      <c r="D613" s="8" t="str">
        <f t="shared" si="402"/>
        <v>Key Personnel: Deputy Chief of Party - David Medina Mayo</v>
      </c>
      <c r="E613" s="115">
        <f>'LOE Breakdown by Year'!L12</f>
        <v>0</v>
      </c>
      <c r="F613" s="50" t="s">
        <v>100</v>
      </c>
      <c r="G613" s="44">
        <f t="shared" si="403"/>
        <v>11</v>
      </c>
      <c r="H613" s="44">
        <f t="shared" si="403"/>
        <v>6500</v>
      </c>
      <c r="I613" s="44">
        <f t="shared" ref="I613:I645" si="410">G613*H613*E613</f>
        <v>0</v>
      </c>
      <c r="J613" s="115">
        <f>'LOE Breakdown by Year'!L58</f>
        <v>0</v>
      </c>
      <c r="K613" s="44">
        <f t="shared" si="404"/>
        <v>12</v>
      </c>
      <c r="L613" s="44">
        <f t="shared" ref="L613:L645" si="411">K613*H613*$E$7*$J613</f>
        <v>0</v>
      </c>
      <c r="M613" s="115">
        <f>'LOE Breakdown by Year'!L104</f>
        <v>0</v>
      </c>
      <c r="N613" s="44">
        <f t="shared" si="405"/>
        <v>12</v>
      </c>
      <c r="O613" s="44">
        <f t="shared" ref="O613:O645" si="412">N613*H613*$M613*$E$7*$E$7</f>
        <v>0</v>
      </c>
      <c r="P613" s="115">
        <f>'LOE Breakdown by Year'!L150</f>
        <v>0</v>
      </c>
      <c r="Q613" s="44">
        <f t="shared" si="406"/>
        <v>12</v>
      </c>
      <c r="R613" s="44">
        <f t="shared" ref="R613:R645" si="413">Q613*H613*$P613*$E$7*$E$7*$E$7</f>
        <v>0</v>
      </c>
      <c r="S613" s="115">
        <f>'LOE Breakdown by Year'!L196</f>
        <v>0</v>
      </c>
      <c r="T613" s="44">
        <f t="shared" si="407"/>
        <v>12</v>
      </c>
      <c r="U613" s="44">
        <f t="shared" ref="U613:U645" si="414">T613*H613*$S613*$E$7*$E$7*$E$7*$E$7</f>
        <v>0</v>
      </c>
      <c r="V613" s="115">
        <f>'LOE Breakdown by Year'!L242</f>
        <v>0</v>
      </c>
      <c r="W613" s="44">
        <f t="shared" si="408"/>
        <v>12</v>
      </c>
      <c r="X613" s="44">
        <f t="shared" ref="X613:X645" si="415">W613*H613*$V613*$E$7*$E$7*$E$7*$E$7*$E$7</f>
        <v>0</v>
      </c>
      <c r="Y613" s="44">
        <f t="shared" ref="Y613:Y645" si="416">SUM(R613,O613,L613,I613,U613,X613)</f>
        <v>0</v>
      </c>
      <c r="Z613" s="44">
        <v>0</v>
      </c>
      <c r="AA613" s="44">
        <f t="shared" ref="AA613:AA645" si="417">SUM(Y613:Z613)</f>
        <v>0</v>
      </c>
    </row>
    <row r="614" spans="1:27">
      <c r="A614" s="595" t="s">
        <v>1082</v>
      </c>
      <c r="B614" s="595">
        <v>70000</v>
      </c>
      <c r="C614" s="595" t="s">
        <v>747</v>
      </c>
      <c r="D614" s="8" t="str">
        <f t="shared" si="402"/>
        <v>Policy &amp; Sustainability Specialist</v>
      </c>
      <c r="E614" s="115">
        <f>'LOE Breakdown by Year'!L13</f>
        <v>0.2</v>
      </c>
      <c r="F614" s="50" t="s">
        <v>100</v>
      </c>
      <c r="G614" s="44">
        <f t="shared" si="403"/>
        <v>0</v>
      </c>
      <c r="H614" s="44">
        <f t="shared" si="403"/>
        <v>1500</v>
      </c>
      <c r="I614" s="44">
        <f t="shared" si="410"/>
        <v>0</v>
      </c>
      <c r="J614" s="115">
        <f>'LOE Breakdown by Year'!L59</f>
        <v>0.2</v>
      </c>
      <c r="K614" s="44">
        <f t="shared" si="404"/>
        <v>0</v>
      </c>
      <c r="L614" s="44">
        <f t="shared" si="411"/>
        <v>0</v>
      </c>
      <c r="M614" s="115">
        <f>'LOE Breakdown by Year'!L105</f>
        <v>0.2</v>
      </c>
      <c r="N614" s="44">
        <f t="shared" si="405"/>
        <v>7</v>
      </c>
      <c r="O614" s="44">
        <f t="shared" si="412"/>
        <v>2315.25</v>
      </c>
      <c r="P614" s="115">
        <f>'LOE Breakdown by Year'!L151</f>
        <v>0.2</v>
      </c>
      <c r="Q614" s="44">
        <f t="shared" si="406"/>
        <v>12</v>
      </c>
      <c r="R614" s="44">
        <f t="shared" si="413"/>
        <v>4167.45</v>
      </c>
      <c r="S614" s="115">
        <f>'LOE Breakdown by Year'!L197</f>
        <v>0.2</v>
      </c>
      <c r="T614" s="44">
        <f t="shared" si="407"/>
        <v>12</v>
      </c>
      <c r="U614" s="44">
        <f t="shared" si="414"/>
        <v>4375.8225000000002</v>
      </c>
      <c r="V614" s="115">
        <f>'LOE Breakdown by Year'!L243</f>
        <v>0.2</v>
      </c>
      <c r="W614" s="44">
        <f t="shared" si="408"/>
        <v>6</v>
      </c>
      <c r="X614" s="44">
        <f t="shared" si="415"/>
        <v>2297.3068125000004</v>
      </c>
      <c r="Y614" s="44">
        <f t="shared" si="416"/>
        <v>13155.8293125</v>
      </c>
      <c r="Z614" s="44">
        <v>0</v>
      </c>
      <c r="AA614" s="44">
        <f t="shared" si="417"/>
        <v>13155.8293125</v>
      </c>
    </row>
    <row r="615" spans="1:27">
      <c r="A615" s="595" t="s">
        <v>1083</v>
      </c>
      <c r="B615" s="595">
        <v>70000</v>
      </c>
      <c r="C615" s="595" t="s">
        <v>747</v>
      </c>
      <c r="D615" s="8" t="str">
        <f t="shared" si="402"/>
        <v xml:space="preserve">Education Director </v>
      </c>
      <c r="E615" s="115">
        <f>'LOE Breakdown by Year'!L14</f>
        <v>0.1</v>
      </c>
      <c r="F615" s="50" t="s">
        <v>100</v>
      </c>
      <c r="G615" s="44">
        <f t="shared" si="403"/>
        <v>9</v>
      </c>
      <c r="H615" s="44">
        <f t="shared" si="403"/>
        <v>4583.333333333333</v>
      </c>
      <c r="I615" s="44">
        <f t="shared" si="410"/>
        <v>4125</v>
      </c>
      <c r="J615" s="115">
        <f>'LOE Breakdown by Year'!L60</f>
        <v>0.1</v>
      </c>
      <c r="K615" s="44">
        <f t="shared" si="404"/>
        <v>12</v>
      </c>
      <c r="L615" s="44">
        <f t="shared" si="411"/>
        <v>5775</v>
      </c>
      <c r="M615" s="115">
        <f>'LOE Breakdown by Year'!L106</f>
        <v>0.1</v>
      </c>
      <c r="N615" s="44">
        <f t="shared" si="405"/>
        <v>12</v>
      </c>
      <c r="O615" s="44">
        <f t="shared" si="412"/>
        <v>6063.75</v>
      </c>
      <c r="P615" s="115">
        <f>'LOE Breakdown by Year'!L152</f>
        <v>0.1</v>
      </c>
      <c r="Q615" s="44">
        <f t="shared" si="406"/>
        <v>12</v>
      </c>
      <c r="R615" s="44">
        <f t="shared" si="413"/>
        <v>6366.9375</v>
      </c>
      <c r="S615" s="115">
        <f>'LOE Breakdown by Year'!L198</f>
        <v>0.1</v>
      </c>
      <c r="T615" s="44">
        <f t="shared" si="407"/>
        <v>12</v>
      </c>
      <c r="U615" s="44">
        <f t="shared" si="414"/>
        <v>6685.2843750000002</v>
      </c>
      <c r="V615" s="115">
        <f>'LOE Breakdown by Year'!L244</f>
        <v>0.1</v>
      </c>
      <c r="W615" s="44">
        <f t="shared" si="408"/>
        <v>8</v>
      </c>
      <c r="X615" s="44">
        <f t="shared" si="415"/>
        <v>4679.6990624999999</v>
      </c>
      <c r="Y615" s="44">
        <f t="shared" si="416"/>
        <v>33695.670937499999</v>
      </c>
      <c r="Z615" s="44">
        <v>0</v>
      </c>
      <c r="AA615" s="44">
        <f t="shared" si="417"/>
        <v>33695.670937499999</v>
      </c>
    </row>
    <row r="616" spans="1:27">
      <c r="A616" s="595" t="s">
        <v>1084</v>
      </c>
      <c r="B616" s="595">
        <v>70000</v>
      </c>
      <c r="C616" s="595" t="s">
        <v>747</v>
      </c>
      <c r="D616" s="8" t="str">
        <f t="shared" si="402"/>
        <v>Education Specialist</v>
      </c>
      <c r="E616" s="115">
        <f>'LOE Breakdown by Year'!L15</f>
        <v>0.1</v>
      </c>
      <c r="F616" s="50" t="s">
        <v>100</v>
      </c>
      <c r="G616" s="44">
        <f t="shared" si="403"/>
        <v>8</v>
      </c>
      <c r="H616" s="44">
        <f t="shared" si="403"/>
        <v>2500</v>
      </c>
      <c r="I616" s="44">
        <f t="shared" si="410"/>
        <v>2000</v>
      </c>
      <c r="J616" s="115">
        <f>'LOE Breakdown by Year'!L61</f>
        <v>0.1</v>
      </c>
      <c r="K616" s="44">
        <f t="shared" si="404"/>
        <v>12</v>
      </c>
      <c r="L616" s="44">
        <f t="shared" si="411"/>
        <v>3150</v>
      </c>
      <c r="M616" s="115">
        <f>'LOE Breakdown by Year'!L107</f>
        <v>0.1</v>
      </c>
      <c r="N616" s="44">
        <f t="shared" si="405"/>
        <v>12</v>
      </c>
      <c r="O616" s="44">
        <f t="shared" si="412"/>
        <v>3307.5</v>
      </c>
      <c r="P616" s="115">
        <f>'LOE Breakdown by Year'!L153</f>
        <v>0.1</v>
      </c>
      <c r="Q616" s="44">
        <f t="shared" si="406"/>
        <v>12</v>
      </c>
      <c r="R616" s="44">
        <f t="shared" si="413"/>
        <v>3472.875</v>
      </c>
      <c r="S616" s="115">
        <f>'LOE Breakdown by Year'!L199</f>
        <v>0.1</v>
      </c>
      <c r="T616" s="44">
        <f t="shared" si="407"/>
        <v>12</v>
      </c>
      <c r="U616" s="44">
        <f t="shared" si="414"/>
        <v>3646.5187500000002</v>
      </c>
      <c r="V616" s="115">
        <f>'LOE Breakdown by Year'!L245</f>
        <v>0.1</v>
      </c>
      <c r="W616" s="44">
        <f t="shared" si="408"/>
        <v>3</v>
      </c>
      <c r="X616" s="44">
        <f t="shared" si="415"/>
        <v>957.2111718750001</v>
      </c>
      <c r="Y616" s="44">
        <f t="shared" si="416"/>
        <v>16534.104921874998</v>
      </c>
      <c r="Z616" s="44">
        <v>0</v>
      </c>
      <c r="AA616" s="44">
        <f t="shared" si="417"/>
        <v>16534.104921874998</v>
      </c>
    </row>
    <row r="617" spans="1:27">
      <c r="A617" s="595" t="s">
        <v>1085</v>
      </c>
      <c r="B617" s="595">
        <v>70000</v>
      </c>
      <c r="C617" s="595" t="s">
        <v>747</v>
      </c>
      <c r="D617" s="8" t="str">
        <f t="shared" si="402"/>
        <v>Education Officer</v>
      </c>
      <c r="E617" s="115">
        <f>'LOE Breakdown by Year'!L16</f>
        <v>0.1</v>
      </c>
      <c r="F617" s="50" t="s">
        <v>100</v>
      </c>
      <c r="G617" s="44">
        <f t="shared" si="403"/>
        <v>6</v>
      </c>
      <c r="H617" s="44">
        <f t="shared" si="403"/>
        <v>1000</v>
      </c>
      <c r="I617" s="44">
        <f t="shared" si="410"/>
        <v>600</v>
      </c>
      <c r="J617" s="115">
        <f>'LOE Breakdown by Year'!L62</f>
        <v>0.1</v>
      </c>
      <c r="K617" s="44">
        <f t="shared" si="404"/>
        <v>12</v>
      </c>
      <c r="L617" s="44">
        <f t="shared" si="411"/>
        <v>1260</v>
      </c>
      <c r="M617" s="115">
        <f>'LOE Breakdown by Year'!L108</f>
        <v>0.1</v>
      </c>
      <c r="N617" s="44">
        <f t="shared" si="405"/>
        <v>12</v>
      </c>
      <c r="O617" s="44">
        <f t="shared" si="412"/>
        <v>1323</v>
      </c>
      <c r="P617" s="115">
        <f>'LOE Breakdown by Year'!L154</f>
        <v>0.1</v>
      </c>
      <c r="Q617" s="44">
        <f t="shared" si="406"/>
        <v>12</v>
      </c>
      <c r="R617" s="44">
        <f t="shared" si="413"/>
        <v>1389.15</v>
      </c>
      <c r="S617" s="115">
        <f>'LOE Breakdown by Year'!L200</f>
        <v>0.1</v>
      </c>
      <c r="T617" s="44">
        <f t="shared" si="407"/>
        <v>12</v>
      </c>
      <c r="U617" s="44">
        <f t="shared" si="414"/>
        <v>1458.6075000000001</v>
      </c>
      <c r="V617" s="115">
        <f>'LOE Breakdown by Year'!L246</f>
        <v>0.1</v>
      </c>
      <c r="W617" s="44">
        <f t="shared" si="408"/>
        <v>3</v>
      </c>
      <c r="X617" s="44">
        <f t="shared" si="415"/>
        <v>382.88446875000005</v>
      </c>
      <c r="Y617" s="44">
        <f t="shared" si="416"/>
        <v>6413.6419687500002</v>
      </c>
      <c r="Z617" s="44">
        <v>0</v>
      </c>
      <c r="AA617" s="44">
        <f t="shared" si="417"/>
        <v>6413.6419687500002</v>
      </c>
    </row>
    <row r="618" spans="1:27">
      <c r="A618" s="595" t="s">
        <v>1086</v>
      </c>
      <c r="B618" s="595">
        <v>70000</v>
      </c>
      <c r="C618" s="595" t="s">
        <v>747</v>
      </c>
      <c r="D618" s="8" t="str">
        <f t="shared" si="402"/>
        <v>Nutrition and Health Specialist</v>
      </c>
      <c r="E618" s="115">
        <f>'LOE Breakdown by Year'!L17</f>
        <v>0.05</v>
      </c>
      <c r="F618" s="50" t="s">
        <v>100</v>
      </c>
      <c r="G618" s="44">
        <f t="shared" si="403"/>
        <v>9</v>
      </c>
      <c r="H618" s="44">
        <f t="shared" si="403"/>
        <v>1500</v>
      </c>
      <c r="I618" s="44">
        <f t="shared" si="410"/>
        <v>675</v>
      </c>
      <c r="J618" s="115">
        <f>'LOE Breakdown by Year'!L63</f>
        <v>0.05</v>
      </c>
      <c r="K618" s="44">
        <f t="shared" si="404"/>
        <v>12</v>
      </c>
      <c r="L618" s="44">
        <f t="shared" si="411"/>
        <v>945</v>
      </c>
      <c r="M618" s="115">
        <f>'LOE Breakdown by Year'!L109</f>
        <v>0.05</v>
      </c>
      <c r="N618" s="44">
        <f t="shared" si="405"/>
        <v>12</v>
      </c>
      <c r="O618" s="44">
        <f t="shared" si="412"/>
        <v>992.25</v>
      </c>
      <c r="P618" s="115">
        <f>'LOE Breakdown by Year'!L155</f>
        <v>0.05</v>
      </c>
      <c r="Q618" s="44">
        <f t="shared" si="406"/>
        <v>12</v>
      </c>
      <c r="R618" s="44">
        <f t="shared" si="413"/>
        <v>1041.8625</v>
      </c>
      <c r="S618" s="115">
        <f>'LOE Breakdown by Year'!L201</f>
        <v>0.05</v>
      </c>
      <c r="T618" s="44">
        <f t="shared" si="407"/>
        <v>12</v>
      </c>
      <c r="U618" s="44">
        <f t="shared" si="414"/>
        <v>1093.9556250000001</v>
      </c>
      <c r="V618" s="115">
        <f>'LOE Breakdown by Year'!L247</f>
        <v>0.05</v>
      </c>
      <c r="W618" s="44">
        <f t="shared" si="408"/>
        <v>6</v>
      </c>
      <c r="X618" s="44">
        <f t="shared" si="415"/>
        <v>574.32670312500011</v>
      </c>
      <c r="Y618" s="44">
        <f t="shared" si="416"/>
        <v>5322.3948281249995</v>
      </c>
      <c r="Z618" s="44">
        <v>0</v>
      </c>
      <c r="AA618" s="44">
        <f t="shared" si="417"/>
        <v>5322.3948281249995</v>
      </c>
    </row>
    <row r="619" spans="1:27" hidden="1">
      <c r="A619" s="595" t="s">
        <v>1087</v>
      </c>
      <c r="B619" s="595">
        <v>70000</v>
      </c>
      <c r="C619" s="595" t="s">
        <v>747</v>
      </c>
      <c r="D619" s="8" t="str">
        <f t="shared" si="402"/>
        <v>Nutrition Officer - (2 Individuals)</v>
      </c>
      <c r="E619" s="115">
        <f>'LOE Breakdown by Year'!L18</f>
        <v>0</v>
      </c>
      <c r="F619" s="50" t="s">
        <v>100</v>
      </c>
      <c r="G619" s="44">
        <f t="shared" si="403"/>
        <v>6</v>
      </c>
      <c r="H619" s="44">
        <f t="shared" si="403"/>
        <v>1000</v>
      </c>
      <c r="I619" s="44">
        <f t="shared" si="410"/>
        <v>0</v>
      </c>
      <c r="J619" s="115">
        <f>'LOE Breakdown by Year'!L64</f>
        <v>0</v>
      </c>
      <c r="K619" s="44">
        <f t="shared" si="404"/>
        <v>24</v>
      </c>
      <c r="L619" s="44">
        <f t="shared" si="411"/>
        <v>0</v>
      </c>
      <c r="M619" s="115">
        <f>'LOE Breakdown by Year'!L110</f>
        <v>0</v>
      </c>
      <c r="N619" s="44">
        <f t="shared" si="405"/>
        <v>24</v>
      </c>
      <c r="O619" s="44">
        <f t="shared" si="412"/>
        <v>0</v>
      </c>
      <c r="P619" s="115">
        <f>'LOE Breakdown by Year'!L156</f>
        <v>0</v>
      </c>
      <c r="Q619" s="44">
        <f t="shared" si="406"/>
        <v>24</v>
      </c>
      <c r="R619" s="44">
        <f t="shared" si="413"/>
        <v>0</v>
      </c>
      <c r="S619" s="115">
        <f>'LOE Breakdown by Year'!L202</f>
        <v>0</v>
      </c>
      <c r="T619" s="44">
        <f t="shared" si="407"/>
        <v>24</v>
      </c>
      <c r="U619" s="44">
        <f t="shared" si="414"/>
        <v>0</v>
      </c>
      <c r="V619" s="115">
        <f>'LOE Breakdown by Year'!L248</f>
        <v>0</v>
      </c>
      <c r="W619" s="44">
        <f t="shared" si="408"/>
        <v>6</v>
      </c>
      <c r="X619" s="44">
        <f t="shared" si="415"/>
        <v>0</v>
      </c>
      <c r="Y619" s="44">
        <f t="shared" si="416"/>
        <v>0</v>
      </c>
      <c r="Z619" s="44">
        <v>0</v>
      </c>
      <c r="AA619" s="44">
        <f t="shared" si="417"/>
        <v>0</v>
      </c>
    </row>
    <row r="620" spans="1:27">
      <c r="A620" s="595" t="s">
        <v>1088</v>
      </c>
      <c r="B620" s="595">
        <v>70000</v>
      </c>
      <c r="C620" s="595" t="s">
        <v>747</v>
      </c>
      <c r="D620" s="8" t="str">
        <f t="shared" si="402"/>
        <v>School Feeding Specialist</v>
      </c>
      <c r="E620" s="115">
        <f>'LOE Breakdown by Year'!L19</f>
        <v>0.05</v>
      </c>
      <c r="F620" s="50" t="s">
        <v>100</v>
      </c>
      <c r="G620" s="44">
        <f t="shared" si="403"/>
        <v>9</v>
      </c>
      <c r="H620" s="44">
        <f t="shared" si="403"/>
        <v>1500</v>
      </c>
      <c r="I620" s="44">
        <f t="shared" si="410"/>
        <v>675</v>
      </c>
      <c r="J620" s="115">
        <f>'LOE Breakdown by Year'!L65</f>
        <v>0.05</v>
      </c>
      <c r="K620" s="44">
        <f t="shared" si="404"/>
        <v>12</v>
      </c>
      <c r="L620" s="44">
        <f t="shared" si="411"/>
        <v>945</v>
      </c>
      <c r="M620" s="115">
        <f>'LOE Breakdown by Year'!L111</f>
        <v>0.05</v>
      </c>
      <c r="N620" s="44">
        <f t="shared" si="405"/>
        <v>12</v>
      </c>
      <c r="O620" s="44">
        <f t="shared" si="412"/>
        <v>992.25</v>
      </c>
      <c r="P620" s="115">
        <f>'LOE Breakdown by Year'!L157</f>
        <v>0.05</v>
      </c>
      <c r="Q620" s="44">
        <f t="shared" si="406"/>
        <v>12</v>
      </c>
      <c r="R620" s="44">
        <f t="shared" si="413"/>
        <v>1041.8625</v>
      </c>
      <c r="S620" s="115">
        <f>'LOE Breakdown by Year'!L203</f>
        <v>0.05</v>
      </c>
      <c r="T620" s="44">
        <f t="shared" si="407"/>
        <v>6</v>
      </c>
      <c r="U620" s="44">
        <f t="shared" si="414"/>
        <v>546.97781250000003</v>
      </c>
      <c r="V620" s="115">
        <f>'LOE Breakdown by Year'!L249</f>
        <v>0.05</v>
      </c>
      <c r="W620" s="44">
        <f t="shared" si="408"/>
        <v>6</v>
      </c>
      <c r="X620" s="44">
        <f t="shared" si="415"/>
        <v>574.32670312500011</v>
      </c>
      <c r="Y620" s="44">
        <f t="shared" si="416"/>
        <v>4775.4170156250002</v>
      </c>
      <c r="Z620" s="44">
        <v>0</v>
      </c>
      <c r="AA620" s="44">
        <f t="shared" si="417"/>
        <v>4775.4170156250002</v>
      </c>
    </row>
    <row r="621" spans="1:27" hidden="1">
      <c r="A621" s="595" t="s">
        <v>1089</v>
      </c>
      <c r="B621" s="595">
        <v>70000</v>
      </c>
      <c r="C621" s="595" t="s">
        <v>747</v>
      </c>
      <c r="D621" s="8" t="str">
        <f t="shared" si="402"/>
        <v>Food Aid Monitors - (2 Individuals)</v>
      </c>
      <c r="E621" s="115">
        <f>'LOE Breakdown by Year'!L20</f>
        <v>0</v>
      </c>
      <c r="F621" s="50" t="s">
        <v>100</v>
      </c>
      <c r="G621" s="44">
        <f t="shared" si="403"/>
        <v>6</v>
      </c>
      <c r="H621" s="44">
        <f t="shared" si="403"/>
        <v>1000</v>
      </c>
      <c r="I621" s="44">
        <f t="shared" si="410"/>
        <v>0</v>
      </c>
      <c r="J621" s="115">
        <f>'LOE Breakdown by Year'!L66</f>
        <v>0</v>
      </c>
      <c r="K621" s="44">
        <f t="shared" si="404"/>
        <v>24</v>
      </c>
      <c r="L621" s="44">
        <f t="shared" si="411"/>
        <v>0</v>
      </c>
      <c r="M621" s="115">
        <f>'LOE Breakdown by Year'!L112</f>
        <v>0</v>
      </c>
      <c r="N621" s="44">
        <f t="shared" si="405"/>
        <v>24</v>
      </c>
      <c r="O621" s="44">
        <f t="shared" si="412"/>
        <v>0</v>
      </c>
      <c r="P621" s="115">
        <f>'LOE Breakdown by Year'!L158</f>
        <v>0</v>
      </c>
      <c r="Q621" s="44">
        <f t="shared" si="406"/>
        <v>24</v>
      </c>
      <c r="R621" s="44">
        <f t="shared" si="413"/>
        <v>0</v>
      </c>
      <c r="S621" s="115">
        <f>'LOE Breakdown by Year'!L204</f>
        <v>0</v>
      </c>
      <c r="T621" s="44">
        <f t="shared" si="407"/>
        <v>24</v>
      </c>
      <c r="U621" s="44">
        <f t="shared" si="414"/>
        <v>0</v>
      </c>
      <c r="V621" s="115">
        <f>'LOE Breakdown by Year'!L250</f>
        <v>0</v>
      </c>
      <c r="W621" s="44">
        <f t="shared" si="408"/>
        <v>12</v>
      </c>
      <c r="X621" s="44">
        <f t="shared" si="415"/>
        <v>0</v>
      </c>
      <c r="Y621" s="44">
        <f t="shared" si="416"/>
        <v>0</v>
      </c>
      <c r="Z621" s="44">
        <v>0</v>
      </c>
      <c r="AA621" s="44">
        <f t="shared" si="417"/>
        <v>0</v>
      </c>
    </row>
    <row r="622" spans="1:27" hidden="1">
      <c r="A622" s="595" t="s">
        <v>1090</v>
      </c>
      <c r="B622" s="595">
        <v>70000</v>
      </c>
      <c r="C622" s="595" t="s">
        <v>747</v>
      </c>
      <c r="D622" s="8" t="str">
        <f t="shared" si="402"/>
        <v>WASH Officer</v>
      </c>
      <c r="E622" s="115">
        <f>'LOE Breakdown by Year'!L21</f>
        <v>0</v>
      </c>
      <c r="F622" s="50" t="s">
        <v>100</v>
      </c>
      <c r="G622" s="44">
        <f t="shared" si="403"/>
        <v>6</v>
      </c>
      <c r="H622" s="44">
        <f t="shared" si="403"/>
        <v>1000</v>
      </c>
      <c r="I622" s="44">
        <f t="shared" si="410"/>
        <v>0</v>
      </c>
      <c r="J622" s="115">
        <f>'LOE Breakdown by Year'!L67</f>
        <v>0</v>
      </c>
      <c r="K622" s="44">
        <f t="shared" si="404"/>
        <v>12</v>
      </c>
      <c r="L622" s="44">
        <f t="shared" si="411"/>
        <v>0</v>
      </c>
      <c r="M622" s="115">
        <f>'LOE Breakdown by Year'!L113</f>
        <v>0</v>
      </c>
      <c r="N622" s="44">
        <f t="shared" si="405"/>
        <v>12</v>
      </c>
      <c r="O622" s="44">
        <f t="shared" si="412"/>
        <v>0</v>
      </c>
      <c r="P622" s="115">
        <f>'LOE Breakdown by Year'!L159</f>
        <v>0</v>
      </c>
      <c r="Q622" s="44">
        <f t="shared" si="406"/>
        <v>12</v>
      </c>
      <c r="R622" s="44">
        <f t="shared" si="413"/>
        <v>0</v>
      </c>
      <c r="S622" s="115">
        <f>'LOE Breakdown by Year'!L205</f>
        <v>0</v>
      </c>
      <c r="T622" s="44">
        <f t="shared" si="407"/>
        <v>12</v>
      </c>
      <c r="U622" s="44">
        <f t="shared" si="414"/>
        <v>0</v>
      </c>
      <c r="V622" s="115">
        <f>'LOE Breakdown by Year'!L251</f>
        <v>0</v>
      </c>
      <c r="W622" s="44">
        <f t="shared" si="408"/>
        <v>3</v>
      </c>
      <c r="X622" s="44">
        <f t="shared" si="415"/>
        <v>0</v>
      </c>
      <c r="Y622" s="44">
        <f t="shared" si="416"/>
        <v>0</v>
      </c>
      <c r="Z622" s="44">
        <v>0</v>
      </c>
      <c r="AA622" s="44">
        <f t="shared" si="417"/>
        <v>0</v>
      </c>
    </row>
    <row r="623" spans="1:27">
      <c r="A623" s="595" t="s">
        <v>1091</v>
      </c>
      <c r="B623" s="595">
        <v>70000</v>
      </c>
      <c r="C623" s="595" t="s">
        <v>747</v>
      </c>
      <c r="D623" s="8" t="str">
        <f t="shared" si="402"/>
        <v>Communications Specialist</v>
      </c>
      <c r="E623" s="115">
        <f>'LOE Breakdown by Year'!L22</f>
        <v>0.1</v>
      </c>
      <c r="F623" s="50" t="s">
        <v>100</v>
      </c>
      <c r="G623" s="44">
        <f t="shared" si="403"/>
        <v>8</v>
      </c>
      <c r="H623" s="44">
        <f t="shared" si="403"/>
        <v>1500</v>
      </c>
      <c r="I623" s="44">
        <f t="shared" si="410"/>
        <v>1200</v>
      </c>
      <c r="J623" s="115">
        <f>'LOE Breakdown by Year'!L68</f>
        <v>0.1</v>
      </c>
      <c r="K623" s="44">
        <f t="shared" si="404"/>
        <v>12</v>
      </c>
      <c r="L623" s="44">
        <f t="shared" si="411"/>
        <v>1890</v>
      </c>
      <c r="M623" s="115">
        <f>'LOE Breakdown by Year'!L114</f>
        <v>0.1</v>
      </c>
      <c r="N623" s="44">
        <f t="shared" si="405"/>
        <v>12</v>
      </c>
      <c r="O623" s="44">
        <f t="shared" si="412"/>
        <v>1984.5</v>
      </c>
      <c r="P623" s="115">
        <f>'LOE Breakdown by Year'!L160</f>
        <v>0.1</v>
      </c>
      <c r="Q623" s="44">
        <f t="shared" si="406"/>
        <v>12</v>
      </c>
      <c r="R623" s="44">
        <f t="shared" si="413"/>
        <v>2083.7249999999999</v>
      </c>
      <c r="S623" s="115">
        <f>'LOE Breakdown by Year'!L206</f>
        <v>0.1</v>
      </c>
      <c r="T623" s="44">
        <f t="shared" si="407"/>
        <v>12</v>
      </c>
      <c r="U623" s="44">
        <f t="shared" si="414"/>
        <v>2187.9112500000001</v>
      </c>
      <c r="V623" s="115">
        <f>'LOE Breakdown by Year'!L252</f>
        <v>0.1</v>
      </c>
      <c r="W623" s="44">
        <f t="shared" si="408"/>
        <v>8</v>
      </c>
      <c r="X623" s="44">
        <f t="shared" si="415"/>
        <v>1531.5378750000002</v>
      </c>
      <c r="Y623" s="44">
        <f t="shared" si="416"/>
        <v>10877.674125</v>
      </c>
      <c r="Z623" s="44">
        <v>0</v>
      </c>
      <c r="AA623" s="44">
        <f t="shared" si="417"/>
        <v>10877.674125</v>
      </c>
    </row>
    <row r="624" spans="1:27">
      <c r="A624" s="595" t="s">
        <v>1092</v>
      </c>
      <c r="B624" s="595">
        <v>70000</v>
      </c>
      <c r="C624" s="595" t="s">
        <v>747</v>
      </c>
      <c r="D624" s="8" t="str">
        <f t="shared" si="402"/>
        <v>Communications Officer</v>
      </c>
      <c r="E624" s="115">
        <f>'LOE Breakdown by Year'!L23</f>
        <v>0.1</v>
      </c>
      <c r="F624" s="50" t="s">
        <v>100</v>
      </c>
      <c r="G624" s="44">
        <f t="shared" si="403"/>
        <v>0</v>
      </c>
      <c r="H624" s="44">
        <f t="shared" si="403"/>
        <v>1000</v>
      </c>
      <c r="I624" s="44">
        <f t="shared" si="410"/>
        <v>0</v>
      </c>
      <c r="J624" s="115">
        <f>'LOE Breakdown by Year'!L69</f>
        <v>0.1</v>
      </c>
      <c r="K624" s="44">
        <f t="shared" si="404"/>
        <v>12</v>
      </c>
      <c r="L624" s="44">
        <f t="shared" si="411"/>
        <v>1260</v>
      </c>
      <c r="M624" s="115">
        <f>'LOE Breakdown by Year'!L115</f>
        <v>0.1</v>
      </c>
      <c r="N624" s="44">
        <f t="shared" si="405"/>
        <v>12</v>
      </c>
      <c r="O624" s="44">
        <f t="shared" si="412"/>
        <v>1323</v>
      </c>
      <c r="P624" s="115">
        <f>'LOE Breakdown by Year'!L161</f>
        <v>0.1</v>
      </c>
      <c r="Q624" s="44">
        <f t="shared" si="406"/>
        <v>12</v>
      </c>
      <c r="R624" s="44">
        <f t="shared" si="413"/>
        <v>1389.15</v>
      </c>
      <c r="S624" s="115">
        <f>'LOE Breakdown by Year'!L207</f>
        <v>0.1</v>
      </c>
      <c r="T624" s="44">
        <f t="shared" si="407"/>
        <v>12</v>
      </c>
      <c r="U624" s="44">
        <f t="shared" si="414"/>
        <v>1458.6075000000001</v>
      </c>
      <c r="V624" s="115">
        <f>'LOE Breakdown by Year'!L253</f>
        <v>0.1</v>
      </c>
      <c r="W624" s="44">
        <f t="shared" si="408"/>
        <v>0</v>
      </c>
      <c r="X624" s="44">
        <f t="shared" si="415"/>
        <v>0</v>
      </c>
      <c r="Y624" s="44">
        <f t="shared" si="416"/>
        <v>5430.7574999999997</v>
      </c>
      <c r="Z624" s="44">
        <v>0</v>
      </c>
      <c r="AA624" s="44">
        <f t="shared" si="417"/>
        <v>5430.7574999999997</v>
      </c>
    </row>
    <row r="625" spans="1:27">
      <c r="A625" s="595" t="s">
        <v>1093</v>
      </c>
      <c r="B625" s="595">
        <v>70000</v>
      </c>
      <c r="C625" s="595" t="s">
        <v>747</v>
      </c>
      <c r="D625" s="8" t="str">
        <f t="shared" si="402"/>
        <v>Education &amp; Community Engagement Specialist</v>
      </c>
      <c r="E625" s="115">
        <f>'LOE Breakdown by Year'!L24</f>
        <v>0.1</v>
      </c>
      <c r="F625" s="50" t="s">
        <v>100</v>
      </c>
      <c r="G625" s="44">
        <f t="shared" si="403"/>
        <v>6</v>
      </c>
      <c r="H625" s="44">
        <f t="shared" si="403"/>
        <v>1500</v>
      </c>
      <c r="I625" s="44">
        <f t="shared" si="410"/>
        <v>900</v>
      </c>
      <c r="J625" s="115">
        <f>'LOE Breakdown by Year'!L70</f>
        <v>0.1</v>
      </c>
      <c r="K625" s="44">
        <f t="shared" si="404"/>
        <v>12</v>
      </c>
      <c r="L625" s="44">
        <f t="shared" si="411"/>
        <v>1890</v>
      </c>
      <c r="M625" s="115">
        <f>'LOE Breakdown by Year'!L116</f>
        <v>0.1</v>
      </c>
      <c r="N625" s="44">
        <f t="shared" si="405"/>
        <v>12</v>
      </c>
      <c r="O625" s="44">
        <f t="shared" si="412"/>
        <v>1984.5</v>
      </c>
      <c r="P625" s="115">
        <f>'LOE Breakdown by Year'!L162</f>
        <v>0.1</v>
      </c>
      <c r="Q625" s="44">
        <f t="shared" si="406"/>
        <v>12</v>
      </c>
      <c r="R625" s="44">
        <f t="shared" si="413"/>
        <v>2083.7249999999999</v>
      </c>
      <c r="S625" s="115">
        <f>'LOE Breakdown by Year'!L208</f>
        <v>0.1</v>
      </c>
      <c r="T625" s="44">
        <f t="shared" si="407"/>
        <v>12</v>
      </c>
      <c r="U625" s="44">
        <f t="shared" si="414"/>
        <v>2187.9112500000001</v>
      </c>
      <c r="V625" s="115">
        <f>'LOE Breakdown by Year'!L254</f>
        <v>0.1</v>
      </c>
      <c r="W625" s="44">
        <f t="shared" si="408"/>
        <v>8</v>
      </c>
      <c r="X625" s="44">
        <f t="shared" si="415"/>
        <v>1531.5378750000002</v>
      </c>
      <c r="Y625" s="44">
        <f t="shared" si="416"/>
        <v>10577.674125</v>
      </c>
      <c r="Z625" s="44">
        <v>0</v>
      </c>
      <c r="AA625" s="44">
        <f t="shared" si="417"/>
        <v>10577.674125</v>
      </c>
    </row>
    <row r="626" spans="1:27">
      <c r="A626" s="595" t="s">
        <v>1094</v>
      </c>
      <c r="B626" s="595">
        <v>70000</v>
      </c>
      <c r="C626" s="595" t="s">
        <v>747</v>
      </c>
      <c r="D626" s="8" t="str">
        <f t="shared" si="402"/>
        <v>Education &amp; Community Engagement Officer</v>
      </c>
      <c r="E626" s="115">
        <f>'LOE Breakdown by Year'!L25</f>
        <v>0.1</v>
      </c>
      <c r="F626" s="50" t="s">
        <v>100</v>
      </c>
      <c r="G626" s="44">
        <f t="shared" si="403"/>
        <v>3</v>
      </c>
      <c r="H626" s="44">
        <f t="shared" si="403"/>
        <v>1000</v>
      </c>
      <c r="I626" s="44">
        <f t="shared" si="410"/>
        <v>300</v>
      </c>
      <c r="J626" s="115">
        <f>'LOE Breakdown by Year'!L71</f>
        <v>0.1</v>
      </c>
      <c r="K626" s="44">
        <f t="shared" si="404"/>
        <v>12</v>
      </c>
      <c r="L626" s="44">
        <f t="shared" si="411"/>
        <v>1260</v>
      </c>
      <c r="M626" s="115">
        <f>'LOE Breakdown by Year'!L117</f>
        <v>0.1</v>
      </c>
      <c r="N626" s="44">
        <f t="shared" si="405"/>
        <v>12</v>
      </c>
      <c r="O626" s="44">
        <f t="shared" si="412"/>
        <v>1323</v>
      </c>
      <c r="P626" s="115">
        <f>'LOE Breakdown by Year'!L163</f>
        <v>0.1</v>
      </c>
      <c r="Q626" s="44">
        <f t="shared" si="406"/>
        <v>12</v>
      </c>
      <c r="R626" s="44">
        <f t="shared" si="413"/>
        <v>1389.15</v>
      </c>
      <c r="S626" s="115">
        <f>'LOE Breakdown by Year'!L209</f>
        <v>0.1</v>
      </c>
      <c r="T626" s="44">
        <f t="shared" si="407"/>
        <v>12</v>
      </c>
      <c r="U626" s="44">
        <f t="shared" si="414"/>
        <v>1458.6075000000001</v>
      </c>
      <c r="V626" s="115">
        <f>'LOE Breakdown by Year'!L255</f>
        <v>0.1</v>
      </c>
      <c r="W626" s="44">
        <f t="shared" si="408"/>
        <v>0</v>
      </c>
      <c r="X626" s="44">
        <f t="shared" si="415"/>
        <v>0</v>
      </c>
      <c r="Y626" s="44">
        <f t="shared" si="416"/>
        <v>5730.7574999999997</v>
      </c>
      <c r="Z626" s="44">
        <v>0</v>
      </c>
      <c r="AA626" s="44">
        <f t="shared" si="417"/>
        <v>5730.7574999999997</v>
      </c>
    </row>
    <row r="627" spans="1:27">
      <c r="A627" s="595" t="s">
        <v>1095</v>
      </c>
      <c r="B627" s="595">
        <v>70000</v>
      </c>
      <c r="C627" s="595" t="s">
        <v>747</v>
      </c>
      <c r="D627" s="8" t="str">
        <f t="shared" si="402"/>
        <v>Private Sector Specialist</v>
      </c>
      <c r="E627" s="115">
        <f>'LOE Breakdown by Year'!L26</f>
        <v>0.1</v>
      </c>
      <c r="F627" s="50" t="s">
        <v>100</v>
      </c>
      <c r="G627" s="44">
        <f t="shared" si="403"/>
        <v>9</v>
      </c>
      <c r="H627" s="44">
        <f t="shared" si="403"/>
        <v>2000</v>
      </c>
      <c r="I627" s="44">
        <f t="shared" si="410"/>
        <v>1800</v>
      </c>
      <c r="J627" s="115">
        <f>'LOE Breakdown by Year'!L72</f>
        <v>0.1</v>
      </c>
      <c r="K627" s="44">
        <f t="shared" si="404"/>
        <v>12</v>
      </c>
      <c r="L627" s="44">
        <f t="shared" si="411"/>
        <v>2520</v>
      </c>
      <c r="M627" s="115">
        <f>'LOE Breakdown by Year'!L118</f>
        <v>0.1</v>
      </c>
      <c r="N627" s="44">
        <f t="shared" si="405"/>
        <v>12</v>
      </c>
      <c r="O627" s="44">
        <f t="shared" si="412"/>
        <v>2646</v>
      </c>
      <c r="P627" s="115">
        <f>'LOE Breakdown by Year'!L164</f>
        <v>0.1</v>
      </c>
      <c r="Q627" s="44">
        <f t="shared" si="406"/>
        <v>12</v>
      </c>
      <c r="R627" s="44">
        <f t="shared" si="413"/>
        <v>2778.3</v>
      </c>
      <c r="S627" s="115">
        <f>'LOE Breakdown by Year'!L210</f>
        <v>0.1</v>
      </c>
      <c r="T627" s="44">
        <f t="shared" si="407"/>
        <v>12</v>
      </c>
      <c r="U627" s="44">
        <f t="shared" si="414"/>
        <v>2917.2150000000001</v>
      </c>
      <c r="V627" s="115">
        <f>'LOE Breakdown by Year'!L256</f>
        <v>0.1</v>
      </c>
      <c r="W627" s="44">
        <f t="shared" si="408"/>
        <v>6</v>
      </c>
      <c r="X627" s="44">
        <f t="shared" si="415"/>
        <v>1531.5378750000002</v>
      </c>
      <c r="Y627" s="44">
        <f t="shared" si="416"/>
        <v>14193.052874999999</v>
      </c>
      <c r="Z627" s="44">
        <v>0</v>
      </c>
      <c r="AA627" s="44">
        <f t="shared" si="417"/>
        <v>14193.052874999999</v>
      </c>
    </row>
    <row r="628" spans="1:27" hidden="1">
      <c r="A628" s="595" t="s">
        <v>1096</v>
      </c>
      <c r="B628" s="595">
        <v>70000</v>
      </c>
      <c r="C628" s="595" t="s">
        <v>747</v>
      </c>
      <c r="D628" s="8" t="str">
        <f t="shared" si="402"/>
        <v xml:space="preserve">Key Personnel: M&amp;E Director </v>
      </c>
      <c r="E628" s="115">
        <f>'LOE Breakdown by Year'!L27</f>
        <v>0</v>
      </c>
      <c r="F628" s="50" t="s">
        <v>100</v>
      </c>
      <c r="G628" s="44">
        <f t="shared" si="403"/>
        <v>11</v>
      </c>
      <c r="H628" s="44">
        <f t="shared" si="403"/>
        <v>4583.333333333333</v>
      </c>
      <c r="I628" s="44">
        <f t="shared" si="410"/>
        <v>0</v>
      </c>
      <c r="J628" s="115">
        <f>'LOE Breakdown by Year'!L73</f>
        <v>0</v>
      </c>
      <c r="K628" s="44">
        <f t="shared" si="404"/>
        <v>12</v>
      </c>
      <c r="L628" s="44">
        <f t="shared" si="411"/>
        <v>0</v>
      </c>
      <c r="M628" s="115">
        <f>'LOE Breakdown by Year'!L119</f>
        <v>0</v>
      </c>
      <c r="N628" s="44">
        <f t="shared" si="405"/>
        <v>12</v>
      </c>
      <c r="O628" s="44">
        <f t="shared" si="412"/>
        <v>0</v>
      </c>
      <c r="P628" s="115">
        <f>'LOE Breakdown by Year'!L165</f>
        <v>0</v>
      </c>
      <c r="Q628" s="44">
        <f t="shared" si="406"/>
        <v>12</v>
      </c>
      <c r="R628" s="44">
        <f t="shared" si="413"/>
        <v>0</v>
      </c>
      <c r="S628" s="115">
        <f>'LOE Breakdown by Year'!L211</f>
        <v>0</v>
      </c>
      <c r="T628" s="44">
        <f t="shared" si="407"/>
        <v>12</v>
      </c>
      <c r="U628" s="44">
        <f t="shared" si="414"/>
        <v>0</v>
      </c>
      <c r="V628" s="115">
        <f>'LOE Breakdown by Year'!L257</f>
        <v>0</v>
      </c>
      <c r="W628" s="44">
        <f t="shared" si="408"/>
        <v>12</v>
      </c>
      <c r="X628" s="44">
        <f t="shared" si="415"/>
        <v>0</v>
      </c>
      <c r="Y628" s="44">
        <f t="shared" si="416"/>
        <v>0</v>
      </c>
      <c r="Z628" s="44">
        <v>0</v>
      </c>
      <c r="AA628" s="44">
        <f t="shared" si="417"/>
        <v>0</v>
      </c>
    </row>
    <row r="629" spans="1:27" hidden="1">
      <c r="A629" s="595" t="s">
        <v>1097</v>
      </c>
      <c r="B629" s="595">
        <v>70000</v>
      </c>
      <c r="C629" s="595" t="s">
        <v>747</v>
      </c>
      <c r="D629" s="8" t="str">
        <f t="shared" si="402"/>
        <v>M&amp;E Specialist</v>
      </c>
      <c r="E629" s="115">
        <f>'LOE Breakdown by Year'!L28</f>
        <v>0</v>
      </c>
      <c r="F629" s="50" t="s">
        <v>100</v>
      </c>
      <c r="G629" s="44">
        <f t="shared" si="403"/>
        <v>6</v>
      </c>
      <c r="H629" s="44">
        <f t="shared" si="403"/>
        <v>2000</v>
      </c>
      <c r="I629" s="44">
        <f t="shared" si="410"/>
        <v>0</v>
      </c>
      <c r="J629" s="115">
        <f>'LOE Breakdown by Year'!L74</f>
        <v>0</v>
      </c>
      <c r="K629" s="44">
        <f t="shared" si="404"/>
        <v>12</v>
      </c>
      <c r="L629" s="44">
        <f t="shared" si="411"/>
        <v>0</v>
      </c>
      <c r="M629" s="115">
        <f>'LOE Breakdown by Year'!L120</f>
        <v>0</v>
      </c>
      <c r="N629" s="44">
        <f t="shared" si="405"/>
        <v>12</v>
      </c>
      <c r="O629" s="44">
        <f t="shared" si="412"/>
        <v>0</v>
      </c>
      <c r="P629" s="115">
        <f>'LOE Breakdown by Year'!L166</f>
        <v>0</v>
      </c>
      <c r="Q629" s="44">
        <f t="shared" si="406"/>
        <v>12</v>
      </c>
      <c r="R629" s="44">
        <f t="shared" si="413"/>
        <v>0</v>
      </c>
      <c r="S629" s="115">
        <f>'LOE Breakdown by Year'!L212</f>
        <v>0</v>
      </c>
      <c r="T629" s="44">
        <f t="shared" si="407"/>
        <v>12</v>
      </c>
      <c r="U629" s="44">
        <f t="shared" si="414"/>
        <v>0</v>
      </c>
      <c r="V629" s="115">
        <f>'LOE Breakdown by Year'!L258</f>
        <v>0</v>
      </c>
      <c r="W629" s="44">
        <f t="shared" si="408"/>
        <v>11</v>
      </c>
      <c r="X629" s="44">
        <f t="shared" si="415"/>
        <v>0</v>
      </c>
      <c r="Y629" s="44">
        <f t="shared" si="416"/>
        <v>0</v>
      </c>
      <c r="Z629" s="44">
        <v>0</v>
      </c>
      <c r="AA629" s="44">
        <f t="shared" si="417"/>
        <v>0</v>
      </c>
    </row>
    <row r="630" spans="1:27" hidden="1">
      <c r="A630" s="595" t="s">
        <v>1098</v>
      </c>
      <c r="B630" s="595">
        <v>70000</v>
      </c>
      <c r="C630" s="595" t="s">
        <v>747</v>
      </c>
      <c r="D630" s="8" t="str">
        <f t="shared" si="402"/>
        <v>M&amp;E Officer</v>
      </c>
      <c r="E630" s="115">
        <f>'LOE Breakdown by Year'!L29</f>
        <v>0</v>
      </c>
      <c r="F630" s="50" t="s">
        <v>100</v>
      </c>
      <c r="G630" s="44">
        <f t="shared" si="403"/>
        <v>2</v>
      </c>
      <c r="H630" s="44">
        <f t="shared" si="403"/>
        <v>1250</v>
      </c>
      <c r="I630" s="44">
        <f t="shared" si="410"/>
        <v>0</v>
      </c>
      <c r="J630" s="115">
        <f>'LOE Breakdown by Year'!L75</f>
        <v>0</v>
      </c>
      <c r="K630" s="44">
        <f t="shared" si="404"/>
        <v>12</v>
      </c>
      <c r="L630" s="44">
        <f t="shared" si="411"/>
        <v>0</v>
      </c>
      <c r="M630" s="115">
        <f>'LOE Breakdown by Year'!L121</f>
        <v>0</v>
      </c>
      <c r="N630" s="44">
        <f t="shared" si="405"/>
        <v>12</v>
      </c>
      <c r="O630" s="44">
        <f t="shared" si="412"/>
        <v>0</v>
      </c>
      <c r="P630" s="115">
        <f>'LOE Breakdown by Year'!L167</f>
        <v>0</v>
      </c>
      <c r="Q630" s="44">
        <f t="shared" si="406"/>
        <v>12</v>
      </c>
      <c r="R630" s="44">
        <f t="shared" si="413"/>
        <v>0</v>
      </c>
      <c r="S630" s="115">
        <f>'LOE Breakdown by Year'!L213</f>
        <v>0</v>
      </c>
      <c r="T630" s="44">
        <f t="shared" si="407"/>
        <v>12</v>
      </c>
      <c r="U630" s="44">
        <f t="shared" si="414"/>
        <v>0</v>
      </c>
      <c r="V630" s="115">
        <f>'LOE Breakdown by Year'!L259</f>
        <v>0</v>
      </c>
      <c r="W630" s="44">
        <f t="shared" si="408"/>
        <v>3</v>
      </c>
      <c r="X630" s="44">
        <f t="shared" si="415"/>
        <v>0</v>
      </c>
      <c r="Y630" s="44">
        <f t="shared" si="416"/>
        <v>0</v>
      </c>
      <c r="Z630" s="44">
        <v>0</v>
      </c>
      <c r="AA630" s="44">
        <f t="shared" si="417"/>
        <v>0</v>
      </c>
    </row>
    <row r="631" spans="1:27" hidden="1">
      <c r="A631" s="595" t="s">
        <v>1099</v>
      </c>
      <c r="B631" s="595">
        <v>70000</v>
      </c>
      <c r="C631" s="595" t="s">
        <v>747</v>
      </c>
      <c r="D631" s="8" t="str">
        <f t="shared" si="402"/>
        <v>Supply Chain Manager</v>
      </c>
      <c r="E631" s="115">
        <f>'LOE Breakdown by Year'!L30</f>
        <v>0</v>
      </c>
      <c r="F631" s="50" t="s">
        <v>100</v>
      </c>
      <c r="G631" s="44">
        <f t="shared" si="403"/>
        <v>11</v>
      </c>
      <c r="H631" s="44">
        <f t="shared" si="403"/>
        <v>5000</v>
      </c>
      <c r="I631" s="44">
        <f t="shared" si="410"/>
        <v>0</v>
      </c>
      <c r="J631" s="115">
        <f>'LOE Breakdown by Year'!L76</f>
        <v>0</v>
      </c>
      <c r="K631" s="44">
        <f t="shared" si="404"/>
        <v>12</v>
      </c>
      <c r="L631" s="44">
        <f t="shared" si="411"/>
        <v>0</v>
      </c>
      <c r="M631" s="115">
        <f>'LOE Breakdown by Year'!L122</f>
        <v>0</v>
      </c>
      <c r="N631" s="44">
        <f t="shared" si="405"/>
        <v>12</v>
      </c>
      <c r="O631" s="44">
        <f t="shared" si="412"/>
        <v>0</v>
      </c>
      <c r="P631" s="115">
        <f>'LOE Breakdown by Year'!L168</f>
        <v>0</v>
      </c>
      <c r="Q631" s="44">
        <f t="shared" si="406"/>
        <v>12</v>
      </c>
      <c r="R631" s="44">
        <f t="shared" si="413"/>
        <v>0</v>
      </c>
      <c r="S631" s="115">
        <f>'LOE Breakdown by Year'!L214</f>
        <v>0</v>
      </c>
      <c r="T631" s="44">
        <f t="shared" si="407"/>
        <v>12</v>
      </c>
      <c r="U631" s="44">
        <f t="shared" si="414"/>
        <v>0</v>
      </c>
      <c r="V631" s="115">
        <f>'LOE Breakdown by Year'!L260</f>
        <v>0</v>
      </c>
      <c r="W631" s="44">
        <f t="shared" si="408"/>
        <v>8</v>
      </c>
      <c r="X631" s="44">
        <f t="shared" si="415"/>
        <v>0</v>
      </c>
      <c r="Y631" s="44">
        <f t="shared" si="416"/>
        <v>0</v>
      </c>
      <c r="Z631" s="44">
        <v>0</v>
      </c>
      <c r="AA631" s="44">
        <f t="shared" si="417"/>
        <v>0</v>
      </c>
    </row>
    <row r="632" spans="1:27" hidden="1">
      <c r="A632" s="595" t="s">
        <v>1100</v>
      </c>
      <c r="B632" s="595">
        <v>70000</v>
      </c>
      <c r="C632" s="595" t="s">
        <v>747</v>
      </c>
      <c r="D632" s="8" t="str">
        <f t="shared" si="402"/>
        <v>In-Country Logistics Specialist</v>
      </c>
      <c r="E632" s="115">
        <f>'LOE Breakdown by Year'!L31</f>
        <v>0</v>
      </c>
      <c r="F632" s="50" t="s">
        <v>100</v>
      </c>
      <c r="G632" s="44">
        <f t="shared" ref="G632:H645" si="418">G32</f>
        <v>9</v>
      </c>
      <c r="H632" s="44">
        <f t="shared" si="418"/>
        <v>2000</v>
      </c>
      <c r="I632" s="44">
        <f t="shared" si="410"/>
        <v>0</v>
      </c>
      <c r="J632" s="115">
        <f>'LOE Breakdown by Year'!L77</f>
        <v>0</v>
      </c>
      <c r="K632" s="44">
        <f t="shared" si="404"/>
        <v>12</v>
      </c>
      <c r="L632" s="44">
        <f t="shared" si="411"/>
        <v>0</v>
      </c>
      <c r="M632" s="115">
        <f>'LOE Breakdown by Year'!L123</f>
        <v>0</v>
      </c>
      <c r="N632" s="44">
        <f t="shared" si="405"/>
        <v>12</v>
      </c>
      <c r="O632" s="44">
        <f t="shared" si="412"/>
        <v>0</v>
      </c>
      <c r="P632" s="115">
        <f>'LOE Breakdown by Year'!L169</f>
        <v>0</v>
      </c>
      <c r="Q632" s="44">
        <f t="shared" si="406"/>
        <v>12</v>
      </c>
      <c r="R632" s="44">
        <f t="shared" si="413"/>
        <v>0</v>
      </c>
      <c r="S632" s="115">
        <f>'LOE Breakdown by Year'!L215</f>
        <v>0</v>
      </c>
      <c r="T632" s="44">
        <f t="shared" si="407"/>
        <v>12</v>
      </c>
      <c r="U632" s="44">
        <f t="shared" si="414"/>
        <v>0</v>
      </c>
      <c r="V632" s="115">
        <f>'LOE Breakdown by Year'!L261</f>
        <v>0</v>
      </c>
      <c r="W632" s="44">
        <f t="shared" si="408"/>
        <v>8</v>
      </c>
      <c r="X632" s="44">
        <f t="shared" si="415"/>
        <v>0</v>
      </c>
      <c r="Y632" s="44">
        <f t="shared" si="416"/>
        <v>0</v>
      </c>
      <c r="Z632" s="44">
        <v>0</v>
      </c>
      <c r="AA632" s="44">
        <f t="shared" si="417"/>
        <v>0</v>
      </c>
    </row>
    <row r="633" spans="1:27" hidden="1">
      <c r="A633" s="595" t="s">
        <v>1101</v>
      </c>
      <c r="B633" s="595">
        <v>70000</v>
      </c>
      <c r="C633" s="595" t="s">
        <v>747</v>
      </c>
      <c r="D633" s="8" t="str">
        <f t="shared" si="402"/>
        <v>US Commodity Logistics Specialist</v>
      </c>
      <c r="E633" s="115">
        <f>'LOE Breakdown by Year'!L32</f>
        <v>0</v>
      </c>
      <c r="F633" s="50" t="s">
        <v>100</v>
      </c>
      <c r="G633" s="44">
        <f t="shared" si="418"/>
        <v>9</v>
      </c>
      <c r="H633" s="44">
        <f t="shared" si="418"/>
        <v>2000</v>
      </c>
      <c r="I633" s="44">
        <f t="shared" si="410"/>
        <v>0</v>
      </c>
      <c r="J633" s="115">
        <f>'LOE Breakdown by Year'!L78</f>
        <v>0</v>
      </c>
      <c r="K633" s="44">
        <f t="shared" si="404"/>
        <v>12</v>
      </c>
      <c r="L633" s="44">
        <f t="shared" si="411"/>
        <v>0</v>
      </c>
      <c r="M633" s="115">
        <f>'LOE Breakdown by Year'!L124</f>
        <v>0</v>
      </c>
      <c r="N633" s="44">
        <f t="shared" si="405"/>
        <v>12</v>
      </c>
      <c r="O633" s="44">
        <f t="shared" si="412"/>
        <v>0</v>
      </c>
      <c r="P633" s="115">
        <f>'LOE Breakdown by Year'!L170</f>
        <v>0</v>
      </c>
      <c r="Q633" s="44">
        <f t="shared" si="406"/>
        <v>12</v>
      </c>
      <c r="R633" s="44">
        <f t="shared" si="413"/>
        <v>0</v>
      </c>
      <c r="S633" s="115">
        <f>'LOE Breakdown by Year'!L216</f>
        <v>0</v>
      </c>
      <c r="T633" s="44">
        <f t="shared" si="407"/>
        <v>12</v>
      </c>
      <c r="U633" s="44">
        <f t="shared" si="414"/>
        <v>0</v>
      </c>
      <c r="V633" s="115">
        <f>'LOE Breakdown by Year'!L262</f>
        <v>0</v>
      </c>
      <c r="W633" s="44">
        <f t="shared" si="408"/>
        <v>8</v>
      </c>
      <c r="X633" s="44">
        <f t="shared" si="415"/>
        <v>0</v>
      </c>
      <c r="Y633" s="44">
        <f t="shared" si="416"/>
        <v>0</v>
      </c>
      <c r="Z633" s="44">
        <v>0</v>
      </c>
      <c r="AA633" s="44">
        <f t="shared" si="417"/>
        <v>0</v>
      </c>
    </row>
    <row r="634" spans="1:27" hidden="1">
      <c r="A634" s="595" t="s">
        <v>1102</v>
      </c>
      <c r="B634" s="595">
        <v>70000</v>
      </c>
      <c r="C634" s="595" t="s">
        <v>747</v>
      </c>
      <c r="D634" s="8" t="str">
        <f t="shared" si="402"/>
        <v>Warehouse Manager</v>
      </c>
      <c r="E634" s="115">
        <f>'LOE Breakdown by Year'!L33</f>
        <v>0</v>
      </c>
      <c r="F634" s="50" t="s">
        <v>100</v>
      </c>
      <c r="G634" s="44">
        <f t="shared" si="418"/>
        <v>8</v>
      </c>
      <c r="H634" s="44">
        <f t="shared" si="418"/>
        <v>1250</v>
      </c>
      <c r="I634" s="44">
        <f t="shared" si="410"/>
        <v>0</v>
      </c>
      <c r="J634" s="115">
        <f>'LOE Breakdown by Year'!L79</f>
        <v>0</v>
      </c>
      <c r="K634" s="44">
        <f t="shared" si="404"/>
        <v>12</v>
      </c>
      <c r="L634" s="44">
        <f t="shared" si="411"/>
        <v>0</v>
      </c>
      <c r="M634" s="115">
        <f>'LOE Breakdown by Year'!L125</f>
        <v>0</v>
      </c>
      <c r="N634" s="44">
        <f t="shared" si="405"/>
        <v>12</v>
      </c>
      <c r="O634" s="44">
        <f t="shared" si="412"/>
        <v>0</v>
      </c>
      <c r="P634" s="115">
        <f>'LOE Breakdown by Year'!L171</f>
        <v>0</v>
      </c>
      <c r="Q634" s="44">
        <f t="shared" si="406"/>
        <v>12</v>
      </c>
      <c r="R634" s="44">
        <f t="shared" si="413"/>
        <v>0</v>
      </c>
      <c r="S634" s="115">
        <f>'LOE Breakdown by Year'!L217</f>
        <v>0</v>
      </c>
      <c r="T634" s="44">
        <f t="shared" si="407"/>
        <v>12</v>
      </c>
      <c r="U634" s="44">
        <f t="shared" si="414"/>
        <v>0</v>
      </c>
      <c r="V634" s="115">
        <f>'LOE Breakdown by Year'!L263</f>
        <v>0</v>
      </c>
      <c r="W634" s="44">
        <f t="shared" si="408"/>
        <v>8</v>
      </c>
      <c r="X634" s="44">
        <f t="shared" si="415"/>
        <v>0</v>
      </c>
      <c r="Y634" s="44">
        <f t="shared" si="416"/>
        <v>0</v>
      </c>
      <c r="Z634" s="44">
        <v>0</v>
      </c>
      <c r="AA634" s="44">
        <f t="shared" si="417"/>
        <v>0</v>
      </c>
    </row>
    <row r="635" spans="1:27" hidden="1">
      <c r="A635" s="595" t="s">
        <v>1103</v>
      </c>
      <c r="B635" s="595">
        <v>70000</v>
      </c>
      <c r="C635" s="595" t="s">
        <v>747</v>
      </c>
      <c r="D635" s="8" t="str">
        <f t="shared" si="402"/>
        <v>Warehouse Officer - (2 Individuals)</v>
      </c>
      <c r="E635" s="115">
        <f>'LOE Breakdown by Year'!L34</f>
        <v>0</v>
      </c>
      <c r="F635" s="50" t="s">
        <v>100</v>
      </c>
      <c r="G635" s="44">
        <f t="shared" si="418"/>
        <v>8</v>
      </c>
      <c r="H635" s="44">
        <f t="shared" si="418"/>
        <v>1000</v>
      </c>
      <c r="I635" s="44">
        <f t="shared" si="410"/>
        <v>0</v>
      </c>
      <c r="J635" s="115">
        <f>'LOE Breakdown by Year'!L80</f>
        <v>0</v>
      </c>
      <c r="K635" s="44">
        <f t="shared" si="404"/>
        <v>24</v>
      </c>
      <c r="L635" s="44">
        <f t="shared" si="411"/>
        <v>0</v>
      </c>
      <c r="M635" s="115">
        <f>'LOE Breakdown by Year'!L126</f>
        <v>0</v>
      </c>
      <c r="N635" s="44">
        <f t="shared" si="405"/>
        <v>24</v>
      </c>
      <c r="O635" s="44">
        <f t="shared" si="412"/>
        <v>0</v>
      </c>
      <c r="P635" s="115">
        <f>'LOE Breakdown by Year'!L172</f>
        <v>0</v>
      </c>
      <c r="Q635" s="44">
        <f t="shared" si="406"/>
        <v>24</v>
      </c>
      <c r="R635" s="44">
        <f t="shared" si="413"/>
        <v>0</v>
      </c>
      <c r="S635" s="115">
        <f>'LOE Breakdown by Year'!L218</f>
        <v>0</v>
      </c>
      <c r="T635" s="44">
        <f t="shared" si="407"/>
        <v>24</v>
      </c>
      <c r="U635" s="44">
        <f t="shared" si="414"/>
        <v>0</v>
      </c>
      <c r="V635" s="115">
        <f>'LOE Breakdown by Year'!L264</f>
        <v>0</v>
      </c>
      <c r="W635" s="44">
        <f t="shared" si="408"/>
        <v>8</v>
      </c>
      <c r="X635" s="44">
        <f t="shared" si="415"/>
        <v>0</v>
      </c>
      <c r="Y635" s="44">
        <f t="shared" si="416"/>
        <v>0</v>
      </c>
      <c r="Z635" s="44">
        <v>0</v>
      </c>
      <c r="AA635" s="44">
        <f t="shared" si="417"/>
        <v>0</v>
      </c>
    </row>
    <row r="636" spans="1:27" hidden="1">
      <c r="A636" s="595" t="s">
        <v>1104</v>
      </c>
      <c r="B636" s="595">
        <v>70000</v>
      </c>
      <c r="C636" s="595" t="s">
        <v>747</v>
      </c>
      <c r="D636" s="8" t="str">
        <f t="shared" si="402"/>
        <v xml:space="preserve">LRP Technical Specialist </v>
      </c>
      <c r="E636" s="115">
        <f>'LOE Breakdown by Year'!L35</f>
        <v>0</v>
      </c>
      <c r="F636" s="50" t="s">
        <v>100</v>
      </c>
      <c r="G636" s="44">
        <f t="shared" si="418"/>
        <v>8</v>
      </c>
      <c r="H636" s="44">
        <f t="shared" si="418"/>
        <v>1500</v>
      </c>
      <c r="I636" s="44">
        <f t="shared" si="410"/>
        <v>0</v>
      </c>
      <c r="J636" s="115">
        <f>'LOE Breakdown by Year'!L81</f>
        <v>0</v>
      </c>
      <c r="K636" s="44">
        <f t="shared" si="404"/>
        <v>12</v>
      </c>
      <c r="L636" s="44">
        <f t="shared" si="411"/>
        <v>0</v>
      </c>
      <c r="M636" s="115">
        <f>'LOE Breakdown by Year'!L127</f>
        <v>0</v>
      </c>
      <c r="N636" s="44">
        <f t="shared" si="405"/>
        <v>12</v>
      </c>
      <c r="O636" s="44">
        <f t="shared" si="412"/>
        <v>0</v>
      </c>
      <c r="P636" s="115">
        <f>'LOE Breakdown by Year'!L173</f>
        <v>0</v>
      </c>
      <c r="Q636" s="44">
        <f t="shared" si="406"/>
        <v>12</v>
      </c>
      <c r="R636" s="44">
        <f t="shared" si="413"/>
        <v>0</v>
      </c>
      <c r="S636" s="115">
        <f>'LOE Breakdown by Year'!L219</f>
        <v>0</v>
      </c>
      <c r="T636" s="44">
        <f t="shared" si="407"/>
        <v>12</v>
      </c>
      <c r="U636" s="44">
        <f t="shared" si="414"/>
        <v>0</v>
      </c>
      <c r="V636" s="115">
        <f>'LOE Breakdown by Year'!L265</f>
        <v>0</v>
      </c>
      <c r="W636" s="44">
        <f t="shared" si="408"/>
        <v>0</v>
      </c>
      <c r="X636" s="44">
        <f t="shared" si="415"/>
        <v>0</v>
      </c>
      <c r="Y636" s="44">
        <f t="shared" si="416"/>
        <v>0</v>
      </c>
      <c r="Z636" s="44">
        <v>0</v>
      </c>
      <c r="AA636" s="44">
        <f t="shared" si="417"/>
        <v>0</v>
      </c>
    </row>
    <row r="637" spans="1:27" hidden="1">
      <c r="A637" s="595" t="s">
        <v>1105</v>
      </c>
      <c r="B637" s="595">
        <v>70000</v>
      </c>
      <c r="C637" s="595" t="s">
        <v>747</v>
      </c>
      <c r="D637" s="8" t="str">
        <f t="shared" si="402"/>
        <v>Finance &amp; Administration Director</v>
      </c>
      <c r="E637" s="115">
        <f>'LOE Breakdown by Year'!L36</f>
        <v>0</v>
      </c>
      <c r="F637" s="50" t="s">
        <v>100</v>
      </c>
      <c r="G637" s="44">
        <f t="shared" si="418"/>
        <v>9</v>
      </c>
      <c r="H637" s="44">
        <f t="shared" si="418"/>
        <v>5000</v>
      </c>
      <c r="I637" s="44">
        <f t="shared" si="410"/>
        <v>0</v>
      </c>
      <c r="J637" s="115">
        <f>'LOE Breakdown by Year'!L82</f>
        <v>0</v>
      </c>
      <c r="K637" s="44">
        <f t="shared" si="404"/>
        <v>12</v>
      </c>
      <c r="L637" s="44">
        <f t="shared" si="411"/>
        <v>0</v>
      </c>
      <c r="M637" s="115">
        <f>'LOE Breakdown by Year'!L128</f>
        <v>0</v>
      </c>
      <c r="N637" s="44">
        <f t="shared" si="405"/>
        <v>12</v>
      </c>
      <c r="O637" s="44">
        <f t="shared" si="412"/>
        <v>0</v>
      </c>
      <c r="P637" s="115">
        <f>'LOE Breakdown by Year'!L174</f>
        <v>0</v>
      </c>
      <c r="Q637" s="44">
        <f t="shared" si="406"/>
        <v>12</v>
      </c>
      <c r="R637" s="44">
        <f t="shared" si="413"/>
        <v>0</v>
      </c>
      <c r="S637" s="115">
        <f>'LOE Breakdown by Year'!L220</f>
        <v>0</v>
      </c>
      <c r="T637" s="44">
        <f t="shared" si="407"/>
        <v>12</v>
      </c>
      <c r="U637" s="44">
        <f t="shared" si="414"/>
        <v>0</v>
      </c>
      <c r="V637" s="115">
        <f>'LOE Breakdown by Year'!L266</f>
        <v>0</v>
      </c>
      <c r="W637" s="44">
        <f t="shared" si="408"/>
        <v>12</v>
      </c>
      <c r="X637" s="44">
        <f t="shared" si="415"/>
        <v>0</v>
      </c>
      <c r="Y637" s="44">
        <f t="shared" si="416"/>
        <v>0</v>
      </c>
      <c r="Z637" s="44">
        <v>0</v>
      </c>
      <c r="AA637" s="44">
        <f t="shared" si="417"/>
        <v>0</v>
      </c>
    </row>
    <row r="638" spans="1:27" hidden="1">
      <c r="A638" s="595" t="s">
        <v>1106</v>
      </c>
      <c r="B638" s="595">
        <v>70000</v>
      </c>
      <c r="C638" s="595" t="s">
        <v>747</v>
      </c>
      <c r="D638" s="8" t="str">
        <f t="shared" si="402"/>
        <v>Contracts &amp; Compliance Manager</v>
      </c>
      <c r="E638" s="115">
        <f>'LOE Breakdown by Year'!L37</f>
        <v>0</v>
      </c>
      <c r="F638" s="50" t="s">
        <v>100</v>
      </c>
      <c r="G638" s="44">
        <f t="shared" si="418"/>
        <v>9</v>
      </c>
      <c r="H638" s="44">
        <f t="shared" si="418"/>
        <v>2633.3333333333335</v>
      </c>
      <c r="I638" s="44">
        <f t="shared" si="410"/>
        <v>0</v>
      </c>
      <c r="J638" s="115">
        <f>'LOE Breakdown by Year'!L83</f>
        <v>0</v>
      </c>
      <c r="K638" s="44">
        <f t="shared" si="404"/>
        <v>12</v>
      </c>
      <c r="L638" s="44">
        <f t="shared" si="411"/>
        <v>0</v>
      </c>
      <c r="M638" s="115">
        <f>'LOE Breakdown by Year'!L129</f>
        <v>0</v>
      </c>
      <c r="N638" s="44">
        <f t="shared" si="405"/>
        <v>12</v>
      </c>
      <c r="O638" s="44">
        <f t="shared" si="412"/>
        <v>0</v>
      </c>
      <c r="P638" s="115">
        <f>'LOE Breakdown by Year'!L175</f>
        <v>0</v>
      </c>
      <c r="Q638" s="44">
        <f t="shared" si="406"/>
        <v>12</v>
      </c>
      <c r="R638" s="44">
        <f t="shared" si="413"/>
        <v>0</v>
      </c>
      <c r="S638" s="115">
        <f>'LOE Breakdown by Year'!L221</f>
        <v>0</v>
      </c>
      <c r="T638" s="44">
        <f t="shared" si="407"/>
        <v>12</v>
      </c>
      <c r="U638" s="44">
        <f t="shared" si="414"/>
        <v>0</v>
      </c>
      <c r="V638" s="115">
        <f>'LOE Breakdown by Year'!L267</f>
        <v>0</v>
      </c>
      <c r="W638" s="44">
        <f t="shared" si="408"/>
        <v>11</v>
      </c>
      <c r="X638" s="44">
        <f t="shared" si="415"/>
        <v>0</v>
      </c>
      <c r="Y638" s="44">
        <f t="shared" si="416"/>
        <v>0</v>
      </c>
      <c r="Z638" s="44">
        <v>0</v>
      </c>
      <c r="AA638" s="44">
        <f t="shared" si="417"/>
        <v>0</v>
      </c>
    </row>
    <row r="639" spans="1:27" hidden="1">
      <c r="A639" s="595" t="s">
        <v>1107</v>
      </c>
      <c r="B639" s="595">
        <v>70000</v>
      </c>
      <c r="C639" s="595" t="s">
        <v>747</v>
      </c>
      <c r="D639" s="8" t="str">
        <f t="shared" si="402"/>
        <v>Grants &amp; Procurement Specialist</v>
      </c>
      <c r="E639" s="115">
        <f>'LOE Breakdown by Year'!L38</f>
        <v>0</v>
      </c>
      <c r="F639" s="50" t="s">
        <v>100</v>
      </c>
      <c r="G639" s="44">
        <f t="shared" si="418"/>
        <v>6</v>
      </c>
      <c r="H639" s="44">
        <f t="shared" si="418"/>
        <v>1500</v>
      </c>
      <c r="I639" s="44">
        <f t="shared" si="410"/>
        <v>0</v>
      </c>
      <c r="J639" s="115">
        <f>'LOE Breakdown by Year'!L84</f>
        <v>0</v>
      </c>
      <c r="K639" s="44">
        <f t="shared" si="404"/>
        <v>12</v>
      </c>
      <c r="L639" s="44">
        <f t="shared" si="411"/>
        <v>0</v>
      </c>
      <c r="M639" s="115">
        <f>'LOE Breakdown by Year'!L130</f>
        <v>0</v>
      </c>
      <c r="N639" s="44">
        <f t="shared" si="405"/>
        <v>12</v>
      </c>
      <c r="O639" s="44">
        <f t="shared" si="412"/>
        <v>0</v>
      </c>
      <c r="P639" s="115">
        <f>'LOE Breakdown by Year'!L176</f>
        <v>0</v>
      </c>
      <c r="Q639" s="44">
        <f t="shared" si="406"/>
        <v>12</v>
      </c>
      <c r="R639" s="44">
        <f t="shared" si="413"/>
        <v>0</v>
      </c>
      <c r="S639" s="115">
        <f>'LOE Breakdown by Year'!L222</f>
        <v>0</v>
      </c>
      <c r="T639" s="44">
        <f t="shared" si="407"/>
        <v>12</v>
      </c>
      <c r="U639" s="44">
        <f t="shared" si="414"/>
        <v>0</v>
      </c>
      <c r="V639" s="115">
        <f>'LOE Breakdown by Year'!L268</f>
        <v>0</v>
      </c>
      <c r="W639" s="44">
        <f t="shared" si="408"/>
        <v>6</v>
      </c>
      <c r="X639" s="44">
        <f t="shared" si="415"/>
        <v>0</v>
      </c>
      <c r="Y639" s="44">
        <f t="shared" si="416"/>
        <v>0</v>
      </c>
      <c r="Z639" s="44">
        <v>0</v>
      </c>
      <c r="AA639" s="44">
        <f t="shared" si="417"/>
        <v>0</v>
      </c>
    </row>
    <row r="640" spans="1:27" hidden="1">
      <c r="A640" s="595" t="s">
        <v>1108</v>
      </c>
      <c r="B640" s="595">
        <v>70000</v>
      </c>
      <c r="C640" s="595" t="s">
        <v>747</v>
      </c>
      <c r="D640" s="8" t="str">
        <f t="shared" si="402"/>
        <v>Grants &amp; Procurement Officer</v>
      </c>
      <c r="E640" s="115">
        <f>'LOE Breakdown by Year'!L39</f>
        <v>0</v>
      </c>
      <c r="F640" s="50" t="s">
        <v>100</v>
      </c>
      <c r="G640" s="44">
        <f t="shared" si="418"/>
        <v>2</v>
      </c>
      <c r="H640" s="44">
        <f t="shared" si="418"/>
        <v>1000</v>
      </c>
      <c r="I640" s="44">
        <f t="shared" si="410"/>
        <v>0</v>
      </c>
      <c r="J640" s="115">
        <f>'LOE Breakdown by Year'!L85</f>
        <v>0</v>
      </c>
      <c r="K640" s="44">
        <f t="shared" si="404"/>
        <v>12</v>
      </c>
      <c r="L640" s="44">
        <f t="shared" si="411"/>
        <v>0</v>
      </c>
      <c r="M640" s="115">
        <f>'LOE Breakdown by Year'!L131</f>
        <v>0</v>
      </c>
      <c r="N640" s="44">
        <f t="shared" si="405"/>
        <v>12</v>
      </c>
      <c r="O640" s="44">
        <f t="shared" si="412"/>
        <v>0</v>
      </c>
      <c r="P640" s="115">
        <f>'LOE Breakdown by Year'!L177</f>
        <v>0</v>
      </c>
      <c r="Q640" s="44">
        <f t="shared" si="406"/>
        <v>12</v>
      </c>
      <c r="R640" s="44">
        <f t="shared" si="413"/>
        <v>0</v>
      </c>
      <c r="S640" s="115">
        <f>'LOE Breakdown by Year'!L223</f>
        <v>0</v>
      </c>
      <c r="T640" s="44">
        <f t="shared" si="407"/>
        <v>12</v>
      </c>
      <c r="U640" s="44">
        <f t="shared" si="414"/>
        <v>0</v>
      </c>
      <c r="V640" s="115">
        <f>'LOE Breakdown by Year'!L269</f>
        <v>0</v>
      </c>
      <c r="W640" s="44">
        <f t="shared" si="408"/>
        <v>3</v>
      </c>
      <c r="X640" s="44">
        <f t="shared" si="415"/>
        <v>0</v>
      </c>
      <c r="Y640" s="44">
        <f t="shared" si="416"/>
        <v>0</v>
      </c>
      <c r="Z640" s="44">
        <v>0</v>
      </c>
      <c r="AA640" s="44">
        <f t="shared" si="417"/>
        <v>0</v>
      </c>
    </row>
    <row r="641" spans="1:27" hidden="1">
      <c r="A641" s="595" t="s">
        <v>1109</v>
      </c>
      <c r="B641" s="595">
        <v>70000</v>
      </c>
      <c r="C641" s="595" t="s">
        <v>747</v>
      </c>
      <c r="D641" s="8" t="str">
        <f t="shared" si="402"/>
        <v>Finance Officer</v>
      </c>
      <c r="E641" s="115">
        <f>'LOE Breakdown by Year'!L40</f>
        <v>0</v>
      </c>
      <c r="F641" s="50" t="s">
        <v>100</v>
      </c>
      <c r="G641" s="44">
        <f t="shared" si="418"/>
        <v>9</v>
      </c>
      <c r="H641" s="44">
        <f t="shared" si="418"/>
        <v>1250</v>
      </c>
      <c r="I641" s="44">
        <f t="shared" si="410"/>
        <v>0</v>
      </c>
      <c r="J641" s="115">
        <f>'LOE Breakdown by Year'!L86</f>
        <v>0</v>
      </c>
      <c r="K641" s="44">
        <f t="shared" si="404"/>
        <v>12</v>
      </c>
      <c r="L641" s="44">
        <f t="shared" si="411"/>
        <v>0</v>
      </c>
      <c r="M641" s="115">
        <f>'LOE Breakdown by Year'!L132</f>
        <v>0</v>
      </c>
      <c r="N641" s="44">
        <f t="shared" si="405"/>
        <v>12</v>
      </c>
      <c r="O641" s="44">
        <f t="shared" si="412"/>
        <v>0</v>
      </c>
      <c r="P641" s="115">
        <f>'LOE Breakdown by Year'!L178</f>
        <v>0</v>
      </c>
      <c r="Q641" s="44">
        <f t="shared" si="406"/>
        <v>12</v>
      </c>
      <c r="R641" s="44">
        <f t="shared" si="413"/>
        <v>0</v>
      </c>
      <c r="S641" s="115">
        <f>'LOE Breakdown by Year'!L224</f>
        <v>0</v>
      </c>
      <c r="T641" s="44">
        <f t="shared" si="407"/>
        <v>12</v>
      </c>
      <c r="U641" s="44">
        <f t="shared" si="414"/>
        <v>0</v>
      </c>
      <c r="V641" s="115">
        <f>'LOE Breakdown by Year'!L270</f>
        <v>0</v>
      </c>
      <c r="W641" s="44">
        <f t="shared" si="408"/>
        <v>11</v>
      </c>
      <c r="X641" s="44">
        <f t="shared" si="415"/>
        <v>0</v>
      </c>
      <c r="Y641" s="44">
        <f t="shared" si="416"/>
        <v>0</v>
      </c>
      <c r="Z641" s="44">
        <v>0</v>
      </c>
      <c r="AA641" s="44">
        <f t="shared" si="417"/>
        <v>0</v>
      </c>
    </row>
    <row r="642" spans="1:27" hidden="1">
      <c r="A642" s="595" t="s">
        <v>1110</v>
      </c>
      <c r="B642" s="595">
        <v>70000</v>
      </c>
      <c r="C642" s="595" t="s">
        <v>747</v>
      </c>
      <c r="D642" s="8" t="str">
        <f t="shared" si="402"/>
        <v>Accountant</v>
      </c>
      <c r="E642" s="115">
        <f>'LOE Breakdown by Year'!L41</f>
        <v>0</v>
      </c>
      <c r="F642" s="50" t="s">
        <v>100</v>
      </c>
      <c r="G642" s="44">
        <f t="shared" si="418"/>
        <v>3</v>
      </c>
      <c r="H642" s="44">
        <f t="shared" si="418"/>
        <v>1000</v>
      </c>
      <c r="I642" s="44">
        <f t="shared" si="410"/>
        <v>0</v>
      </c>
      <c r="J642" s="115">
        <f>'LOE Breakdown by Year'!L87</f>
        <v>0</v>
      </c>
      <c r="K642" s="44">
        <f t="shared" si="404"/>
        <v>12</v>
      </c>
      <c r="L642" s="44">
        <f t="shared" si="411"/>
        <v>0</v>
      </c>
      <c r="M642" s="115">
        <f>'LOE Breakdown by Year'!L133</f>
        <v>0</v>
      </c>
      <c r="N642" s="44">
        <f t="shared" si="405"/>
        <v>12</v>
      </c>
      <c r="O642" s="44">
        <f t="shared" si="412"/>
        <v>0</v>
      </c>
      <c r="P642" s="115">
        <f>'LOE Breakdown by Year'!L179</f>
        <v>0</v>
      </c>
      <c r="Q642" s="44">
        <f t="shared" si="406"/>
        <v>12</v>
      </c>
      <c r="R642" s="44">
        <f t="shared" si="413"/>
        <v>0</v>
      </c>
      <c r="S642" s="115">
        <f>'LOE Breakdown by Year'!L225</f>
        <v>0</v>
      </c>
      <c r="T642" s="44">
        <f t="shared" si="407"/>
        <v>12</v>
      </c>
      <c r="U642" s="44">
        <f t="shared" si="414"/>
        <v>0</v>
      </c>
      <c r="V642" s="115">
        <f>'LOE Breakdown by Year'!L271</f>
        <v>0</v>
      </c>
      <c r="W642" s="44">
        <f t="shared" si="408"/>
        <v>9</v>
      </c>
      <c r="X642" s="44">
        <f t="shared" si="415"/>
        <v>0</v>
      </c>
      <c r="Y642" s="44">
        <f t="shared" si="416"/>
        <v>0</v>
      </c>
      <c r="Z642" s="44">
        <v>0</v>
      </c>
      <c r="AA642" s="44">
        <f t="shared" si="417"/>
        <v>0</v>
      </c>
    </row>
    <row r="643" spans="1:27" hidden="1">
      <c r="A643" s="595" t="s">
        <v>1111</v>
      </c>
      <c r="B643" s="595">
        <v>70000</v>
      </c>
      <c r="C643" s="595" t="s">
        <v>747</v>
      </c>
      <c r="D643" s="8" t="str">
        <f t="shared" si="402"/>
        <v>Operation &amp; HR Manager</v>
      </c>
      <c r="E643" s="115">
        <f>'LOE Breakdown by Year'!L42</f>
        <v>0</v>
      </c>
      <c r="F643" s="50" t="s">
        <v>100</v>
      </c>
      <c r="G643" s="44">
        <f t="shared" si="418"/>
        <v>9</v>
      </c>
      <c r="H643" s="44">
        <f t="shared" si="418"/>
        <v>1800</v>
      </c>
      <c r="I643" s="44">
        <f t="shared" si="410"/>
        <v>0</v>
      </c>
      <c r="J643" s="115">
        <f>'LOE Breakdown by Year'!L88</f>
        <v>0</v>
      </c>
      <c r="K643" s="44">
        <f t="shared" si="404"/>
        <v>12</v>
      </c>
      <c r="L643" s="44">
        <f t="shared" si="411"/>
        <v>0</v>
      </c>
      <c r="M643" s="115">
        <f>'LOE Breakdown by Year'!L134</f>
        <v>0</v>
      </c>
      <c r="N643" s="44">
        <f t="shared" si="405"/>
        <v>12</v>
      </c>
      <c r="O643" s="44">
        <f t="shared" si="412"/>
        <v>0</v>
      </c>
      <c r="P643" s="115">
        <f>'LOE Breakdown by Year'!L180</f>
        <v>0</v>
      </c>
      <c r="Q643" s="44">
        <f t="shared" si="406"/>
        <v>12</v>
      </c>
      <c r="R643" s="44">
        <f t="shared" si="413"/>
        <v>0</v>
      </c>
      <c r="S643" s="115">
        <f>'LOE Breakdown by Year'!L226</f>
        <v>0</v>
      </c>
      <c r="T643" s="44">
        <f t="shared" si="407"/>
        <v>12</v>
      </c>
      <c r="U643" s="44">
        <f t="shared" si="414"/>
        <v>0</v>
      </c>
      <c r="V643" s="115">
        <f>'LOE Breakdown by Year'!L272</f>
        <v>0</v>
      </c>
      <c r="W643" s="44">
        <f t="shared" si="408"/>
        <v>11</v>
      </c>
      <c r="X643" s="44">
        <f t="shared" si="415"/>
        <v>0</v>
      </c>
      <c r="Y643" s="44">
        <f t="shared" si="416"/>
        <v>0</v>
      </c>
      <c r="Z643" s="44">
        <v>0</v>
      </c>
      <c r="AA643" s="44">
        <f t="shared" si="417"/>
        <v>0</v>
      </c>
    </row>
    <row r="644" spans="1:27" hidden="1">
      <c r="A644" s="595" t="s">
        <v>1112</v>
      </c>
      <c r="B644" s="595">
        <v>70000</v>
      </c>
      <c r="C644" s="595" t="s">
        <v>747</v>
      </c>
      <c r="D644" s="8" t="str">
        <f t="shared" si="402"/>
        <v>Administrative Assistant - (2 Individuals)</v>
      </c>
      <c r="E644" s="115">
        <f>'LOE Breakdown by Year'!L43</f>
        <v>0</v>
      </c>
      <c r="F644" s="50" t="s">
        <v>100</v>
      </c>
      <c r="G644" s="44">
        <f t="shared" si="418"/>
        <v>6</v>
      </c>
      <c r="H644" s="44">
        <f t="shared" si="418"/>
        <v>750</v>
      </c>
      <c r="I644" s="44">
        <f t="shared" si="410"/>
        <v>0</v>
      </c>
      <c r="J644" s="115">
        <f>'LOE Breakdown by Year'!L89</f>
        <v>0</v>
      </c>
      <c r="K644" s="44">
        <f t="shared" si="404"/>
        <v>24</v>
      </c>
      <c r="L644" s="44">
        <f t="shared" si="411"/>
        <v>0</v>
      </c>
      <c r="M644" s="115">
        <f>'LOE Breakdown by Year'!L135</f>
        <v>0</v>
      </c>
      <c r="N644" s="44">
        <f t="shared" si="405"/>
        <v>24</v>
      </c>
      <c r="O644" s="44">
        <f t="shared" si="412"/>
        <v>0</v>
      </c>
      <c r="P644" s="115">
        <f>'LOE Breakdown by Year'!L181</f>
        <v>0</v>
      </c>
      <c r="Q644" s="44">
        <f t="shared" si="406"/>
        <v>24</v>
      </c>
      <c r="R644" s="44">
        <f t="shared" si="413"/>
        <v>0</v>
      </c>
      <c r="S644" s="115">
        <f>'LOE Breakdown by Year'!L227</f>
        <v>0</v>
      </c>
      <c r="T644" s="44">
        <f t="shared" si="407"/>
        <v>24</v>
      </c>
      <c r="U644" s="44">
        <f t="shared" si="414"/>
        <v>0</v>
      </c>
      <c r="V644" s="115">
        <f>'LOE Breakdown by Year'!L273</f>
        <v>0</v>
      </c>
      <c r="W644" s="44">
        <f t="shared" si="408"/>
        <v>10</v>
      </c>
      <c r="X644" s="44">
        <f t="shared" si="415"/>
        <v>0</v>
      </c>
      <c r="Y644" s="44">
        <f t="shared" si="416"/>
        <v>0</v>
      </c>
      <c r="Z644" s="44">
        <v>0</v>
      </c>
      <c r="AA644" s="44">
        <f t="shared" si="417"/>
        <v>0</v>
      </c>
    </row>
    <row r="645" spans="1:27" hidden="1">
      <c r="A645" s="595" t="s">
        <v>1113</v>
      </c>
      <c r="B645" s="595">
        <v>70000</v>
      </c>
      <c r="C645" s="595" t="s">
        <v>747</v>
      </c>
      <c r="D645" s="8" t="str">
        <f t="shared" si="402"/>
        <v>Driver - (2 Individuals)</v>
      </c>
      <c r="E645" s="115">
        <f>'LOE Breakdown by Year'!L44</f>
        <v>0</v>
      </c>
      <c r="F645" s="50" t="s">
        <v>100</v>
      </c>
      <c r="G645" s="44">
        <f t="shared" si="418"/>
        <v>6</v>
      </c>
      <c r="H645" s="44">
        <f t="shared" si="418"/>
        <v>500</v>
      </c>
      <c r="I645" s="44">
        <f t="shared" si="410"/>
        <v>0</v>
      </c>
      <c r="J645" s="115">
        <f>'LOE Breakdown by Year'!L90</f>
        <v>0</v>
      </c>
      <c r="K645" s="44">
        <f t="shared" si="404"/>
        <v>24</v>
      </c>
      <c r="L645" s="44">
        <f t="shared" si="411"/>
        <v>0</v>
      </c>
      <c r="M645" s="115">
        <f>'LOE Breakdown by Year'!L136</f>
        <v>0</v>
      </c>
      <c r="N645" s="44">
        <f t="shared" si="405"/>
        <v>24</v>
      </c>
      <c r="O645" s="44">
        <f t="shared" si="412"/>
        <v>0</v>
      </c>
      <c r="P645" s="115">
        <f>'LOE Breakdown by Year'!L182</f>
        <v>0</v>
      </c>
      <c r="Q645" s="44">
        <f t="shared" si="406"/>
        <v>24</v>
      </c>
      <c r="R645" s="44">
        <f t="shared" si="413"/>
        <v>0</v>
      </c>
      <c r="S645" s="115">
        <f>'LOE Breakdown by Year'!L228</f>
        <v>0</v>
      </c>
      <c r="T645" s="44">
        <f t="shared" si="407"/>
        <v>24</v>
      </c>
      <c r="U645" s="44">
        <f t="shared" si="414"/>
        <v>0</v>
      </c>
      <c r="V645" s="115">
        <f>'LOE Breakdown by Year'!L274</f>
        <v>0</v>
      </c>
      <c r="W645" s="44">
        <f t="shared" si="408"/>
        <v>18</v>
      </c>
      <c r="X645" s="44">
        <f t="shared" si="415"/>
        <v>0</v>
      </c>
      <c r="Y645" s="44">
        <f t="shared" si="416"/>
        <v>0</v>
      </c>
      <c r="Z645" s="44">
        <v>0</v>
      </c>
      <c r="AA645" s="44">
        <f t="shared" si="417"/>
        <v>0</v>
      </c>
    </row>
    <row r="646" spans="1:27">
      <c r="A646" s="607"/>
      <c r="B646" s="607"/>
      <c r="C646" s="607"/>
      <c r="D646" s="41" t="s">
        <v>385</v>
      </c>
      <c r="E646" s="127"/>
      <c r="F646" s="46"/>
      <c r="G646" s="47"/>
      <c r="H646" s="47"/>
      <c r="I646" s="48">
        <f>SUM(I612:I645)</f>
        <v>12275</v>
      </c>
      <c r="J646" s="127"/>
      <c r="K646" s="48"/>
      <c r="L646" s="48">
        <f>SUM(L612:L645)</f>
        <v>20895</v>
      </c>
      <c r="M646" s="127"/>
      <c r="N646" s="48"/>
      <c r="O646" s="48">
        <f>SUM(O612:O645)</f>
        <v>24255</v>
      </c>
      <c r="P646" s="127"/>
      <c r="Q646" s="48"/>
      <c r="R646" s="48">
        <f>SUM(R612:R645)</f>
        <v>27204.1875</v>
      </c>
      <c r="S646" s="127"/>
      <c r="T646" s="48"/>
      <c r="U646" s="48">
        <f>SUM(U612:U645)</f>
        <v>28017.419062500008</v>
      </c>
      <c r="V646" s="127"/>
      <c r="W646" s="48"/>
      <c r="X646" s="48">
        <f>SUM(X612:X645)</f>
        <v>14060.368546875001</v>
      </c>
      <c r="Y646" s="48">
        <f>SUM(Y612:Y645)</f>
        <v>126706.97510937499</v>
      </c>
      <c r="Z646" s="48">
        <f>SUM(Z612:Z645)</f>
        <v>0</v>
      </c>
      <c r="AA646" s="48">
        <f>SUM(AA612:AA645)</f>
        <v>126706.97510937499</v>
      </c>
    </row>
    <row r="647" spans="1:27">
      <c r="A647" s="608"/>
      <c r="B647" s="608"/>
      <c r="C647" s="608"/>
      <c r="D647" s="100"/>
      <c r="E647" s="128"/>
      <c r="F647" s="81"/>
      <c r="G647" s="63"/>
      <c r="H647" s="63"/>
      <c r="I647" s="63"/>
      <c r="J647" s="128"/>
      <c r="K647" s="63"/>
      <c r="L647" s="63"/>
      <c r="M647" s="128"/>
      <c r="N647" s="63"/>
      <c r="O647" s="63"/>
      <c r="P647" s="128"/>
      <c r="Q647" s="63"/>
      <c r="R647" s="63"/>
      <c r="S647" s="128"/>
      <c r="T647" s="63"/>
      <c r="U647" s="63"/>
      <c r="V647" s="128"/>
      <c r="W647" s="63"/>
      <c r="X647" s="63"/>
      <c r="Y647" s="63"/>
      <c r="Z647" s="63"/>
      <c r="AA647" s="63"/>
    </row>
    <row r="648" spans="1:27">
      <c r="A648" s="607"/>
      <c r="B648" s="607"/>
      <c r="C648" s="607"/>
      <c r="D648" s="41" t="s">
        <v>386</v>
      </c>
      <c r="E648" s="127"/>
      <c r="F648" s="46"/>
      <c r="G648" s="47"/>
      <c r="H648" s="47"/>
      <c r="I648" s="48"/>
      <c r="J648" s="127"/>
      <c r="K648" s="48"/>
      <c r="L648" s="48"/>
      <c r="M648" s="127"/>
      <c r="N648" s="48"/>
      <c r="O648" s="48"/>
      <c r="P648" s="127"/>
      <c r="Q648" s="48"/>
      <c r="R648" s="48"/>
      <c r="S648" s="127"/>
      <c r="T648" s="48"/>
      <c r="U648" s="48"/>
      <c r="V648" s="127"/>
      <c r="W648" s="48"/>
      <c r="X648" s="48"/>
      <c r="Y648" s="48"/>
      <c r="Z648" s="48"/>
      <c r="AA648" s="48"/>
    </row>
    <row r="649" spans="1:27">
      <c r="A649" s="591" t="s">
        <v>871</v>
      </c>
      <c r="B649" s="591" t="s">
        <v>791</v>
      </c>
      <c r="C649" s="591" t="s">
        <v>747</v>
      </c>
      <c r="D649" s="8" t="str">
        <f>D56</f>
        <v>Fringe Benefits CCN - Honduras</v>
      </c>
      <c r="E649" s="116"/>
      <c r="F649" s="82" t="str">
        <f>F56</f>
        <v>%</v>
      </c>
      <c r="G649" s="44">
        <f>G56</f>
        <v>0</v>
      </c>
      <c r="H649" s="60">
        <f>H56</f>
        <v>0.48259999999999997</v>
      </c>
      <c r="I649" s="44">
        <f>(SUM(I612:I645))*$H$649</f>
        <v>5923.915</v>
      </c>
      <c r="J649" s="116"/>
      <c r="K649" s="44">
        <f>K56</f>
        <v>0</v>
      </c>
      <c r="L649" s="44">
        <f>(SUM(L612:L645))*$H$649</f>
        <v>10083.927</v>
      </c>
      <c r="M649" s="116"/>
      <c r="N649" s="44">
        <f>N56</f>
        <v>0</v>
      </c>
      <c r="O649" s="44">
        <f>(SUM(O612:O645))*$H$649</f>
        <v>11705.463</v>
      </c>
      <c r="P649" s="116"/>
      <c r="Q649" s="44">
        <f>Q56</f>
        <v>0</v>
      </c>
      <c r="R649" s="44">
        <f>(SUM(R612:R645))*$H$649</f>
        <v>13128.7408875</v>
      </c>
      <c r="S649" s="116"/>
      <c r="T649" s="44">
        <f>T56</f>
        <v>0</v>
      </c>
      <c r="U649" s="44">
        <f>(SUM(U612:U645))*$H$649</f>
        <v>13521.206439562504</v>
      </c>
      <c r="V649" s="116"/>
      <c r="W649" s="44">
        <f>W56</f>
        <v>0</v>
      </c>
      <c r="X649" s="44">
        <f>(SUM(X612:X645))*$H$649</f>
        <v>6785.5338607218755</v>
      </c>
      <c r="Y649" s="44">
        <f t="shared" ref="Y649" si="419">SUM(R649,O649,L649,I649,U649,X649)</f>
        <v>61148.786187784375</v>
      </c>
      <c r="Z649" s="63">
        <v>0</v>
      </c>
      <c r="AA649" s="44">
        <f>SUM(Y649:Z649)</f>
        <v>61148.786187784375</v>
      </c>
    </row>
    <row r="650" spans="1:27">
      <c r="A650" s="607"/>
      <c r="B650" s="607"/>
      <c r="C650" s="607"/>
      <c r="D650" s="41" t="s">
        <v>387</v>
      </c>
      <c r="E650" s="127"/>
      <c r="F650" s="46"/>
      <c r="G650" s="47"/>
      <c r="H650" s="47"/>
      <c r="I650" s="48">
        <f>SUM(I649:I649)</f>
        <v>5923.915</v>
      </c>
      <c r="J650" s="127"/>
      <c r="K650" s="48"/>
      <c r="L650" s="48">
        <f>SUM(L649:L649)</f>
        <v>10083.927</v>
      </c>
      <c r="M650" s="127"/>
      <c r="N650" s="48"/>
      <c r="O650" s="48">
        <f>SUM(O649:O649)</f>
        <v>11705.463</v>
      </c>
      <c r="P650" s="127"/>
      <c r="Q650" s="48"/>
      <c r="R650" s="48">
        <f>SUM(R649:R649)</f>
        <v>13128.7408875</v>
      </c>
      <c r="S650" s="127"/>
      <c r="T650" s="48"/>
      <c r="U650" s="48">
        <f>SUM(U649:U649)</f>
        <v>13521.206439562504</v>
      </c>
      <c r="V650" s="127"/>
      <c r="W650" s="48"/>
      <c r="X650" s="48">
        <f>SUM(X649:X649)</f>
        <v>6785.5338607218755</v>
      </c>
      <c r="Y650" s="48">
        <f>SUM(Y649:Y649)</f>
        <v>61148.786187784375</v>
      </c>
      <c r="Z650" s="48">
        <f>SUM(Z649:Z649)</f>
        <v>0</v>
      </c>
      <c r="AA650" s="48">
        <f>SUM(AA649:AA649)</f>
        <v>61148.786187784375</v>
      </c>
    </row>
    <row r="651" spans="1:27">
      <c r="A651" s="608"/>
      <c r="B651" s="608"/>
      <c r="C651" s="608"/>
      <c r="D651" s="100"/>
      <c r="E651" s="128"/>
      <c r="F651" s="81"/>
      <c r="G651" s="63"/>
      <c r="H651" s="63"/>
      <c r="I651" s="63"/>
      <c r="J651" s="128"/>
      <c r="K651" s="63"/>
      <c r="L651" s="63"/>
      <c r="M651" s="128"/>
      <c r="N651" s="63"/>
      <c r="O651" s="63"/>
      <c r="P651" s="128"/>
      <c r="Q651" s="63"/>
      <c r="R651" s="63"/>
      <c r="S651" s="128"/>
      <c r="T651" s="63"/>
      <c r="U651" s="63"/>
      <c r="V651" s="128"/>
      <c r="W651" s="63"/>
      <c r="X651" s="63"/>
      <c r="Y651" s="63"/>
      <c r="Z651" s="63"/>
      <c r="AA651" s="63"/>
    </row>
    <row r="652" spans="1:27">
      <c r="A652" s="607"/>
      <c r="B652" s="607"/>
      <c r="C652" s="607"/>
      <c r="D652" s="41" t="s">
        <v>388</v>
      </c>
      <c r="E652" s="127"/>
      <c r="F652" s="46"/>
      <c r="G652" s="47"/>
      <c r="H652" s="47"/>
      <c r="I652" s="47"/>
      <c r="J652" s="127"/>
      <c r="K652" s="47"/>
      <c r="L652" s="47"/>
      <c r="M652" s="127"/>
      <c r="N652" s="47"/>
      <c r="O652" s="47"/>
      <c r="P652" s="127"/>
      <c r="Q652" s="47"/>
      <c r="R652" s="47"/>
      <c r="S652" s="127"/>
      <c r="T652" s="47"/>
      <c r="U652" s="47"/>
      <c r="V652" s="127"/>
      <c r="W652" s="47"/>
      <c r="X652" s="47"/>
      <c r="Y652" s="47"/>
      <c r="Z652" s="47"/>
      <c r="AA652" s="47"/>
    </row>
    <row r="653" spans="1:27">
      <c r="A653" s="591" t="s">
        <v>1335</v>
      </c>
      <c r="B653" s="591" t="s">
        <v>1293</v>
      </c>
      <c r="C653" s="591" t="s">
        <v>747</v>
      </c>
      <c r="D653" s="8" t="s">
        <v>389</v>
      </c>
      <c r="F653" s="49" t="s">
        <v>100</v>
      </c>
      <c r="G653" s="44">
        <v>4</v>
      </c>
      <c r="H653" s="44">
        <v>2500</v>
      </c>
      <c r="I653" s="44">
        <f>G653*H653</f>
        <v>10000</v>
      </c>
      <c r="J653" s="123"/>
      <c r="K653" s="153">
        <v>0</v>
      </c>
      <c r="L653" s="44">
        <f>H653*K653</f>
        <v>0</v>
      </c>
      <c r="M653" s="123"/>
      <c r="N653" s="153">
        <v>0</v>
      </c>
      <c r="O653" s="44">
        <f>H653*N653</f>
        <v>0</v>
      </c>
      <c r="P653" s="123"/>
      <c r="Q653" s="44">
        <v>0</v>
      </c>
      <c r="R653" s="44">
        <f>H653*Q653</f>
        <v>0</v>
      </c>
      <c r="S653" s="123"/>
      <c r="T653" s="44">
        <v>0</v>
      </c>
      <c r="U653" s="44">
        <f>H653*T653</f>
        <v>0</v>
      </c>
      <c r="V653" s="123"/>
      <c r="W653" s="44">
        <v>0</v>
      </c>
      <c r="X653" s="44">
        <f>W653*H653</f>
        <v>0</v>
      </c>
      <c r="Y653" s="44">
        <f>SUM(R653,O653,L653,I653,U653,X653)</f>
        <v>10000</v>
      </c>
      <c r="Z653" s="44">
        <v>0</v>
      </c>
      <c r="AA653" s="44">
        <f>SUM(Y653:Z653)</f>
        <v>10000</v>
      </c>
    </row>
    <row r="654" spans="1:27">
      <c r="A654" s="591" t="s">
        <v>1336</v>
      </c>
      <c r="B654" s="591" t="s">
        <v>1293</v>
      </c>
      <c r="C654" s="591" t="s">
        <v>747</v>
      </c>
      <c r="D654" s="8" t="s">
        <v>390</v>
      </c>
      <c r="E654" s="120"/>
      <c r="F654" s="49" t="s">
        <v>100</v>
      </c>
      <c r="G654" s="44">
        <v>4</v>
      </c>
      <c r="H654" s="44">
        <v>2500</v>
      </c>
      <c r="I654" s="44">
        <f>G654*H654</f>
        <v>10000</v>
      </c>
      <c r="J654" s="120"/>
      <c r="K654" s="44">
        <v>1</v>
      </c>
      <c r="L654" s="44">
        <f>K654*H654</f>
        <v>2500</v>
      </c>
      <c r="M654" s="120"/>
      <c r="N654" s="44">
        <v>1</v>
      </c>
      <c r="O654" s="44">
        <f>N654*H654</f>
        <v>2500</v>
      </c>
      <c r="P654" s="120"/>
      <c r="Q654" s="44">
        <v>1</v>
      </c>
      <c r="R654" s="44">
        <f>Q654*H654</f>
        <v>2500</v>
      </c>
      <c r="S654" s="120"/>
      <c r="T654" s="44">
        <v>1</v>
      </c>
      <c r="U654" s="44">
        <f>T654*H654</f>
        <v>2500</v>
      </c>
      <c r="V654" s="120"/>
      <c r="W654" s="44">
        <v>0</v>
      </c>
      <c r="X654" s="44">
        <f>W654*H654</f>
        <v>0</v>
      </c>
      <c r="Y654" s="44">
        <f>SUM(R654,O654,L654,I654,U654,X654)</f>
        <v>20000</v>
      </c>
      <c r="Z654" s="44">
        <v>0</v>
      </c>
      <c r="AA654" s="44">
        <f>Y654+Z654</f>
        <v>20000</v>
      </c>
    </row>
    <row r="655" spans="1:27" ht="25.2">
      <c r="A655" s="591" t="s">
        <v>1337</v>
      </c>
      <c r="B655" s="591" t="s">
        <v>1293</v>
      </c>
      <c r="C655" s="591" t="s">
        <v>747</v>
      </c>
      <c r="D655" s="8" t="s">
        <v>391</v>
      </c>
      <c r="E655" s="120"/>
      <c r="F655" s="49" t="s">
        <v>100</v>
      </c>
      <c r="G655" s="44">
        <v>0</v>
      </c>
      <c r="H655" s="44">
        <v>1500</v>
      </c>
      <c r="I655" s="44">
        <f>G655*H655</f>
        <v>0</v>
      </c>
      <c r="J655" s="120"/>
      <c r="K655" s="44">
        <v>10</v>
      </c>
      <c r="L655" s="44">
        <f>K655*H655</f>
        <v>15000</v>
      </c>
      <c r="M655" s="120"/>
      <c r="N655" s="44">
        <v>10</v>
      </c>
      <c r="O655" s="44">
        <f>N655*H655</f>
        <v>15000</v>
      </c>
      <c r="P655" s="120"/>
      <c r="Q655" s="44">
        <v>0</v>
      </c>
      <c r="R655" s="44">
        <f>Q655*H655</f>
        <v>0</v>
      </c>
      <c r="S655" s="120"/>
      <c r="T655" s="44">
        <v>0</v>
      </c>
      <c r="U655" s="44">
        <f>T655*H655</f>
        <v>0</v>
      </c>
      <c r="V655" s="120"/>
      <c r="W655" s="44">
        <v>0</v>
      </c>
      <c r="X655" s="44">
        <f>W655*H655</f>
        <v>0</v>
      </c>
      <c r="Y655" s="44">
        <f>SUM(R655,O655,L655,I655,U655,X655)</f>
        <v>30000</v>
      </c>
      <c r="Z655" s="44">
        <v>0</v>
      </c>
      <c r="AA655" s="44">
        <f>Y655+Z655</f>
        <v>30000</v>
      </c>
    </row>
    <row r="656" spans="1:27">
      <c r="A656" s="591" t="s">
        <v>1334</v>
      </c>
      <c r="B656" s="591" t="s">
        <v>802</v>
      </c>
      <c r="C656" s="591" t="s">
        <v>747</v>
      </c>
      <c r="D656" s="8" t="s">
        <v>392</v>
      </c>
      <c r="E656" s="120"/>
      <c r="F656" s="49" t="s">
        <v>234</v>
      </c>
      <c r="G656" s="44">
        <v>0</v>
      </c>
      <c r="H656" s="44">
        <v>60000</v>
      </c>
      <c r="I656" s="44">
        <f>G656*H656</f>
        <v>0</v>
      </c>
      <c r="J656" s="120"/>
      <c r="K656" s="44">
        <v>1</v>
      </c>
      <c r="L656" s="44">
        <f>K656*H656</f>
        <v>60000</v>
      </c>
      <c r="M656" s="120"/>
      <c r="N656" s="44">
        <v>0</v>
      </c>
      <c r="O656" s="44">
        <f>N656*H656</f>
        <v>0</v>
      </c>
      <c r="P656" s="120"/>
      <c r="Q656" s="44">
        <v>0</v>
      </c>
      <c r="R656" s="44">
        <f>Q656*H656</f>
        <v>0</v>
      </c>
      <c r="S656" s="120"/>
      <c r="T656" s="44">
        <v>0</v>
      </c>
      <c r="U656" s="44">
        <f>T656*H656</f>
        <v>0</v>
      </c>
      <c r="V656" s="120"/>
      <c r="W656" s="44">
        <v>0</v>
      </c>
      <c r="X656" s="44">
        <f>W656*H656</f>
        <v>0</v>
      </c>
      <c r="Y656" s="44">
        <f>SUM(R656,O656,L656,I656,U656,X656)</f>
        <v>60000</v>
      </c>
      <c r="Z656" s="44">
        <v>0</v>
      </c>
      <c r="AA656" s="44">
        <f>Y656+Z656</f>
        <v>60000</v>
      </c>
    </row>
    <row r="657" spans="1:27">
      <c r="A657" s="607"/>
      <c r="B657" s="607"/>
      <c r="C657" s="607"/>
      <c r="D657" s="41" t="s">
        <v>393</v>
      </c>
      <c r="E657" s="127"/>
      <c r="F657" s="46"/>
      <c r="G657" s="47"/>
      <c r="H657" s="47"/>
      <c r="I657" s="48">
        <f>SUM(I653:I656)</f>
        <v>20000</v>
      </c>
      <c r="J657" s="127"/>
      <c r="K657" s="48"/>
      <c r="L657" s="48">
        <f>SUM(L653:L656)</f>
        <v>77500</v>
      </c>
      <c r="M657" s="127"/>
      <c r="N657" s="48"/>
      <c r="O657" s="48">
        <f>SUM(O653:O656)</f>
        <v>17500</v>
      </c>
      <c r="P657" s="127"/>
      <c r="Q657" s="48"/>
      <c r="R657" s="48">
        <f>SUM(R653:R656)</f>
        <v>2500</v>
      </c>
      <c r="S657" s="127"/>
      <c r="T657" s="48"/>
      <c r="U657" s="48">
        <f>SUM(U653:U656)</f>
        <v>2500</v>
      </c>
      <c r="V657" s="127"/>
      <c r="W657" s="48"/>
      <c r="X657" s="48">
        <f>SUM(X653:X656)</f>
        <v>0</v>
      </c>
      <c r="Y657" s="101">
        <f>SUM(Y653:Y656)</f>
        <v>120000</v>
      </c>
      <c r="Z657" s="48">
        <f>SUM(Z653:Z656)</f>
        <v>0</v>
      </c>
      <c r="AA657" s="48">
        <f>SUM(AA653:AA656)</f>
        <v>120000</v>
      </c>
    </row>
    <row r="658" spans="1:27">
      <c r="A658" s="608"/>
      <c r="B658" s="608"/>
      <c r="C658" s="608"/>
      <c r="D658" s="100"/>
      <c r="E658" s="128"/>
      <c r="F658" s="81"/>
      <c r="G658" s="63"/>
      <c r="H658" s="63"/>
      <c r="I658" s="63"/>
      <c r="J658" s="128"/>
      <c r="K658" s="63"/>
      <c r="L658" s="63"/>
      <c r="M658" s="128"/>
      <c r="N658" s="63"/>
      <c r="O658" s="63"/>
      <c r="P658" s="128"/>
      <c r="Q658" s="63"/>
      <c r="R658" s="63"/>
      <c r="S658" s="128"/>
      <c r="T658" s="63"/>
      <c r="U658" s="63"/>
      <c r="V658" s="128"/>
      <c r="W658" s="63"/>
      <c r="X658" s="63"/>
      <c r="Y658" s="63"/>
      <c r="Z658" s="63"/>
      <c r="AA658" s="63"/>
    </row>
    <row r="659" spans="1:27">
      <c r="A659" s="607"/>
      <c r="B659" s="607"/>
      <c r="C659" s="607"/>
      <c r="D659" s="41" t="s">
        <v>394</v>
      </c>
      <c r="E659" s="127"/>
      <c r="F659" s="46"/>
      <c r="G659" s="47"/>
      <c r="H659" s="47"/>
      <c r="I659" s="47"/>
      <c r="J659" s="127"/>
      <c r="K659" s="47"/>
      <c r="L659" s="47"/>
      <c r="M659" s="127"/>
      <c r="N659" s="47"/>
      <c r="O659" s="47"/>
      <c r="P659" s="127"/>
      <c r="Q659" s="47"/>
      <c r="R659" s="47"/>
      <c r="S659" s="127"/>
      <c r="T659" s="47"/>
      <c r="U659" s="47"/>
      <c r="V659" s="127"/>
      <c r="W659" s="47"/>
      <c r="X659" s="47"/>
      <c r="Y659" s="47"/>
      <c r="Z659" s="47"/>
      <c r="AA659" s="47"/>
    </row>
    <row r="660" spans="1:27" ht="25.2">
      <c r="A660" s="591" t="s">
        <v>1333</v>
      </c>
      <c r="B660" s="591" t="s">
        <v>1297</v>
      </c>
      <c r="C660" s="591" t="s">
        <v>747</v>
      </c>
      <c r="D660" s="8" t="s">
        <v>395</v>
      </c>
      <c r="E660" s="120"/>
      <c r="F660" s="50" t="s">
        <v>246</v>
      </c>
      <c r="G660" s="44">
        <v>0</v>
      </c>
      <c r="H660" s="44">
        <v>8</v>
      </c>
      <c r="I660" s="44">
        <f>G660*H660</f>
        <v>0</v>
      </c>
      <c r="J660" s="120"/>
      <c r="K660" s="44">
        <v>750</v>
      </c>
      <c r="L660" s="44">
        <f>K660*H660</f>
        <v>6000</v>
      </c>
      <c r="M660" s="120"/>
      <c r="N660" s="44">
        <v>750</v>
      </c>
      <c r="O660" s="44">
        <f>N660*H660</f>
        <v>6000</v>
      </c>
      <c r="P660" s="120"/>
      <c r="Q660" s="44">
        <v>750</v>
      </c>
      <c r="R660" s="44">
        <f>Q660*H660</f>
        <v>6000</v>
      </c>
      <c r="S660" s="120"/>
      <c r="T660" s="44">
        <v>750</v>
      </c>
      <c r="U660" s="44">
        <f>T660*H660</f>
        <v>6000</v>
      </c>
      <c r="V660" s="120"/>
      <c r="W660" s="44">
        <v>0</v>
      </c>
      <c r="X660" s="44">
        <f>W660*H660</f>
        <v>0</v>
      </c>
      <c r="Y660" s="44">
        <f>SUM(R660,O660,L660,I660,U660,X660)</f>
        <v>24000</v>
      </c>
      <c r="Z660" s="44">
        <v>0</v>
      </c>
      <c r="AA660" s="44">
        <f>Y660+Z660</f>
        <v>24000</v>
      </c>
    </row>
    <row r="661" spans="1:27">
      <c r="A661" s="607"/>
      <c r="B661" s="607"/>
      <c r="C661" s="607"/>
      <c r="D661" s="41" t="s">
        <v>396</v>
      </c>
      <c r="E661" s="127"/>
      <c r="F661" s="46"/>
      <c r="G661" s="47"/>
      <c r="H661" s="48"/>
      <c r="I661" s="48">
        <f>SUM(I660:I660)</f>
        <v>0</v>
      </c>
      <c r="J661" s="130"/>
      <c r="K661" s="48"/>
      <c r="L661" s="48">
        <f>SUM(L660:L660)</f>
        <v>6000</v>
      </c>
      <c r="M661" s="130"/>
      <c r="N661" s="48"/>
      <c r="O661" s="48">
        <f>SUM(O660:O660)</f>
        <v>6000</v>
      </c>
      <c r="P661" s="130"/>
      <c r="Q661" s="48"/>
      <c r="R661" s="48">
        <f>SUM(R660:R660)</f>
        <v>6000</v>
      </c>
      <c r="S661" s="130"/>
      <c r="T661" s="48"/>
      <c r="U661" s="48">
        <f>SUM(U660:U660)</f>
        <v>6000</v>
      </c>
      <c r="V661" s="130"/>
      <c r="W661" s="48"/>
      <c r="X661" s="48">
        <f>SUM(X660:X660)</f>
        <v>0</v>
      </c>
      <c r="Y661" s="101">
        <f>SUM(Y660:Y660)</f>
        <v>24000</v>
      </c>
      <c r="Z661" s="48">
        <f>SUM(Z660:Z660)</f>
        <v>0</v>
      </c>
      <c r="AA661" s="48">
        <f>SUM(AA660:AA660)</f>
        <v>24000</v>
      </c>
    </row>
    <row r="662" spans="1:27">
      <c r="A662" s="608"/>
      <c r="B662" s="608"/>
      <c r="C662" s="608"/>
      <c r="D662" s="100"/>
      <c r="E662" s="128"/>
      <c r="F662" s="81"/>
      <c r="G662" s="63"/>
      <c r="H662" s="63"/>
      <c r="I662" s="63"/>
      <c r="J662" s="128"/>
      <c r="K662" s="63"/>
      <c r="L662" s="63"/>
      <c r="M662" s="128"/>
      <c r="N662" s="63"/>
      <c r="O662" s="63"/>
      <c r="P662" s="128"/>
      <c r="Q662" s="63"/>
      <c r="R662" s="63"/>
      <c r="S662" s="128"/>
      <c r="T662" s="63"/>
      <c r="U662" s="63"/>
      <c r="V662" s="128"/>
      <c r="W662" s="63"/>
      <c r="X662" s="63"/>
      <c r="Y662" s="63"/>
      <c r="Z662" s="63"/>
      <c r="AA662" s="63"/>
    </row>
    <row r="663" spans="1:27">
      <c r="A663" s="607"/>
      <c r="B663" s="607"/>
      <c r="C663" s="607"/>
      <c r="D663" s="41" t="s">
        <v>397</v>
      </c>
      <c r="E663" s="127"/>
      <c r="F663" s="46"/>
      <c r="G663" s="47"/>
      <c r="H663" s="47"/>
      <c r="I663" s="47"/>
      <c r="J663" s="127"/>
      <c r="K663" s="47"/>
      <c r="L663" s="47"/>
      <c r="M663" s="127"/>
      <c r="N663" s="47"/>
      <c r="O663" s="47"/>
      <c r="P663" s="127"/>
      <c r="Q663" s="47"/>
      <c r="R663" s="47"/>
      <c r="S663" s="127"/>
      <c r="T663" s="47"/>
      <c r="U663" s="47"/>
      <c r="V663" s="127"/>
      <c r="W663" s="47"/>
      <c r="X663" s="47"/>
      <c r="Y663" s="47"/>
      <c r="Z663" s="47"/>
      <c r="AA663" s="47"/>
    </row>
    <row r="664" spans="1:27">
      <c r="A664" s="591" t="s">
        <v>1326</v>
      </c>
      <c r="B664" s="591" t="s">
        <v>1265</v>
      </c>
      <c r="C664" s="591" t="s">
        <v>747</v>
      </c>
      <c r="D664" s="8" t="s">
        <v>160</v>
      </c>
      <c r="F664" s="8" t="s">
        <v>100</v>
      </c>
      <c r="G664" s="44">
        <v>3</v>
      </c>
      <c r="H664" s="44">
        <v>100</v>
      </c>
      <c r="I664" s="44">
        <f t="shared" ref="I664:I669" si="420">G664*H664</f>
        <v>300</v>
      </c>
      <c r="J664" s="44"/>
      <c r="K664" s="44">
        <v>12</v>
      </c>
      <c r="L664" s="44">
        <f>H664*K664*$E$6</f>
        <v>1260</v>
      </c>
      <c r="M664" s="123"/>
      <c r="N664" s="44">
        <v>12</v>
      </c>
      <c r="O664" s="44">
        <f>H664*N664*$E$6*$E$6</f>
        <v>1323</v>
      </c>
      <c r="P664" s="123"/>
      <c r="Q664" s="44">
        <v>12</v>
      </c>
      <c r="R664" s="44">
        <f>H664*Q664*$E$6*$E$6*$E$6</f>
        <v>1389.15</v>
      </c>
      <c r="S664" s="123"/>
      <c r="T664" s="44">
        <v>12</v>
      </c>
      <c r="U664" s="44">
        <f>H664*T664*$E$6*$E$6*$E$6*$E$6</f>
        <v>1458.6075000000001</v>
      </c>
      <c r="V664" s="123"/>
      <c r="W664" s="44">
        <v>9</v>
      </c>
      <c r="X664" s="44">
        <f t="shared" ref="X664:X669" si="421">W664*H664*$E$6*$E$6*$E$6*$E$6*$E$6</f>
        <v>1148.6534062500002</v>
      </c>
      <c r="Y664" s="44">
        <f t="shared" ref="Y664:Y669" si="422">SUM(R664,O664,L664,I664,U664,X664)</f>
        <v>6879.4109062500002</v>
      </c>
      <c r="Z664" s="44" t="s">
        <v>149</v>
      </c>
      <c r="AA664" s="44">
        <f t="shared" ref="AA664:AA669" si="423">SUM(Y664:Z664)</f>
        <v>6879.4109062500002</v>
      </c>
    </row>
    <row r="665" spans="1:27">
      <c r="A665" s="591" t="s">
        <v>1327</v>
      </c>
      <c r="B665" s="591" t="s">
        <v>1265</v>
      </c>
      <c r="C665" s="591" t="s">
        <v>747</v>
      </c>
      <c r="D665" s="8" t="s">
        <v>398</v>
      </c>
      <c r="F665" s="8" t="s">
        <v>148</v>
      </c>
      <c r="G665" s="44">
        <v>2</v>
      </c>
      <c r="H665" s="44">
        <v>35</v>
      </c>
      <c r="I665" s="44">
        <f t="shared" si="420"/>
        <v>70</v>
      </c>
      <c r="J665" s="123"/>
      <c r="K665" s="44">
        <v>2</v>
      </c>
      <c r="L665" s="44">
        <f t="shared" ref="L665:L666" si="424">H665*K665*$E$6</f>
        <v>73.5</v>
      </c>
      <c r="M665" s="123"/>
      <c r="N665" s="44">
        <v>2</v>
      </c>
      <c r="O665" s="44">
        <f t="shared" ref="O665:O666" si="425">H665*N665*$E$6*$E$6</f>
        <v>77.174999999999997</v>
      </c>
      <c r="P665" s="123"/>
      <c r="Q665" s="44">
        <v>2</v>
      </c>
      <c r="R665" s="44">
        <f t="shared" ref="R665:R666" si="426">H665*Q665*$E$6*$E$6*$E$6</f>
        <v>81.033749999999998</v>
      </c>
      <c r="S665" s="123"/>
      <c r="T665" s="44">
        <v>2</v>
      </c>
      <c r="U665" s="44">
        <f t="shared" ref="U665:U666" si="427">T665*H665*$E$6*$E$6*$E$6*$E$6</f>
        <v>85.085437499999998</v>
      </c>
      <c r="V665" s="123"/>
      <c r="W665" s="44">
        <v>2</v>
      </c>
      <c r="X665" s="44">
        <f>W665*H665*$E$6*$E$6*$E$6*$E$6*$E$6</f>
        <v>89.339709374999998</v>
      </c>
      <c r="Y665" s="44">
        <f>SUM(R665,O665,L665,I665,U665,X665)</f>
        <v>476.133896875</v>
      </c>
      <c r="Z665" s="44" t="s">
        <v>149</v>
      </c>
      <c r="AA665" s="44">
        <f t="shared" si="423"/>
        <v>476.133896875</v>
      </c>
    </row>
    <row r="666" spans="1:27" ht="25.2">
      <c r="A666" s="591" t="s">
        <v>1327</v>
      </c>
      <c r="B666" s="45" t="s">
        <v>794</v>
      </c>
      <c r="C666" s="591" t="s">
        <v>747</v>
      </c>
      <c r="D666" s="8" t="s">
        <v>399</v>
      </c>
      <c r="F666" s="8" t="s">
        <v>151</v>
      </c>
      <c r="G666" s="44">
        <f>2*G665</f>
        <v>4</v>
      </c>
      <c r="H666" s="44">
        <f xml:space="preserve"> 75 +  + (0.5*80)</f>
        <v>115</v>
      </c>
      <c r="I666" s="44">
        <f t="shared" si="420"/>
        <v>460</v>
      </c>
      <c r="J666" s="123"/>
      <c r="K666" s="44">
        <f>2*K665</f>
        <v>4</v>
      </c>
      <c r="L666" s="44">
        <f t="shared" si="424"/>
        <v>483</v>
      </c>
      <c r="M666" s="123"/>
      <c r="N666" s="44">
        <f>2*N665</f>
        <v>4</v>
      </c>
      <c r="O666" s="44">
        <f t="shared" si="425"/>
        <v>507.15000000000003</v>
      </c>
      <c r="P666" s="123"/>
      <c r="Q666" s="44">
        <f>2*Q665</f>
        <v>4</v>
      </c>
      <c r="R666" s="44">
        <f t="shared" si="426"/>
        <v>532.50750000000005</v>
      </c>
      <c r="S666" s="123"/>
      <c r="T666" s="44">
        <f>2*T665</f>
        <v>4</v>
      </c>
      <c r="U666" s="44">
        <f t="shared" si="427"/>
        <v>559.13287500000013</v>
      </c>
      <c r="V666" s="123"/>
      <c r="W666" s="44">
        <f>2*W665</f>
        <v>4</v>
      </c>
      <c r="X666" s="44">
        <f>W666*H666*$E$6*$E$6*$E$6*$E$6*$E$6</f>
        <v>587.08951875000014</v>
      </c>
      <c r="Y666" s="44">
        <f>SUM(R666,O666,L666,I666,U666,X666)</f>
        <v>3128.8798937500001</v>
      </c>
      <c r="Z666" s="44" t="s">
        <v>149</v>
      </c>
      <c r="AA666" s="44">
        <f t="shared" si="423"/>
        <v>3128.8798937500001</v>
      </c>
    </row>
    <row r="667" spans="1:27">
      <c r="A667" s="591" t="s">
        <v>1328</v>
      </c>
      <c r="B667" s="591" t="s">
        <v>1329</v>
      </c>
      <c r="C667" s="591" t="s">
        <v>747</v>
      </c>
      <c r="D667" s="8" t="s">
        <v>400</v>
      </c>
      <c r="F667" s="8" t="s">
        <v>148</v>
      </c>
      <c r="G667" s="44">
        <f>G674*5</f>
        <v>0</v>
      </c>
      <c r="H667" s="44">
        <v>50</v>
      </c>
      <c r="I667" s="44">
        <f t="shared" si="420"/>
        <v>0</v>
      </c>
      <c r="J667" s="44"/>
      <c r="K667" s="44">
        <f>K674*5</f>
        <v>5</v>
      </c>
      <c r="L667" s="44">
        <f>H667*K667*$E$6</f>
        <v>262.5</v>
      </c>
      <c r="M667" s="123"/>
      <c r="N667" s="44">
        <f>N674*5</f>
        <v>5</v>
      </c>
      <c r="O667" s="44">
        <f>H667*N667*$E$6*$E$6</f>
        <v>275.625</v>
      </c>
      <c r="P667" s="123"/>
      <c r="Q667" s="44">
        <f>Q674*5</f>
        <v>5</v>
      </c>
      <c r="R667" s="44">
        <f>H667*Q667*$E$6*$E$6*$E$6</f>
        <v>289.40625</v>
      </c>
      <c r="S667" s="123"/>
      <c r="T667" s="44">
        <f>T674*5</f>
        <v>5</v>
      </c>
      <c r="U667" s="44">
        <f>H667*T667*$E$6*$E$6*$E$6*$E$6</f>
        <v>303.87656250000003</v>
      </c>
      <c r="V667" s="123"/>
      <c r="W667" s="44">
        <f>W674*5</f>
        <v>5</v>
      </c>
      <c r="X667" s="44">
        <f t="shared" si="421"/>
        <v>319.07039062500007</v>
      </c>
      <c r="Y667" s="44">
        <f t="shared" si="422"/>
        <v>1450.4782031250002</v>
      </c>
      <c r="Z667" s="44" t="s">
        <v>149</v>
      </c>
      <c r="AA667" s="44">
        <f t="shared" si="423"/>
        <v>1450.4782031250002</v>
      </c>
    </row>
    <row r="668" spans="1:27" ht="25.2">
      <c r="A668" s="591" t="s">
        <v>1330</v>
      </c>
      <c r="B668" s="591" t="s">
        <v>1265</v>
      </c>
      <c r="C668" s="591" t="s">
        <v>747</v>
      </c>
      <c r="D668" s="8" t="s">
        <v>401</v>
      </c>
      <c r="F668" s="8" t="s">
        <v>148</v>
      </c>
      <c r="G668" s="44">
        <f>G673*10</f>
        <v>0</v>
      </c>
      <c r="H668" s="44">
        <v>55</v>
      </c>
      <c r="I668" s="44">
        <f t="shared" si="420"/>
        <v>0</v>
      </c>
      <c r="J668" s="44"/>
      <c r="K668" s="44">
        <f>K673*10</f>
        <v>10</v>
      </c>
      <c r="L668" s="44">
        <f>H668*K668*$E$6</f>
        <v>577.5</v>
      </c>
      <c r="M668" s="123"/>
      <c r="N668" s="44">
        <f>N673*10</f>
        <v>0</v>
      </c>
      <c r="O668" s="44">
        <f>H668*N668*$E$6*$E$6</f>
        <v>0</v>
      </c>
      <c r="P668" s="123"/>
      <c r="Q668" s="44">
        <f>Q673*10</f>
        <v>0</v>
      </c>
      <c r="R668" s="44">
        <f>H668*Q668*$E$6*$E$6*$E$6</f>
        <v>0</v>
      </c>
      <c r="S668" s="123"/>
      <c r="T668" s="44">
        <f>T673*10</f>
        <v>0</v>
      </c>
      <c r="U668" s="44">
        <f>H668*T668*$E$6*$E$6*$E$6*$E$6</f>
        <v>0</v>
      </c>
      <c r="V668" s="123"/>
      <c r="W668" s="44">
        <f>W673*10</f>
        <v>0</v>
      </c>
      <c r="X668" s="44">
        <f t="shared" si="421"/>
        <v>0</v>
      </c>
      <c r="Y668" s="44">
        <f t="shared" si="422"/>
        <v>577.5</v>
      </c>
      <c r="Z668" s="44" t="s">
        <v>149</v>
      </c>
      <c r="AA668" s="44">
        <f t="shared" si="423"/>
        <v>577.5</v>
      </c>
    </row>
    <row r="669" spans="1:27" ht="25.2">
      <c r="A669" s="591" t="s">
        <v>1330</v>
      </c>
      <c r="B669" s="45" t="s">
        <v>794</v>
      </c>
      <c r="C669" s="591" t="s">
        <v>747</v>
      </c>
      <c r="D669" s="8" t="s">
        <v>402</v>
      </c>
      <c r="F669" s="8" t="s">
        <v>151</v>
      </c>
      <c r="G669" s="44">
        <f>G668*5</f>
        <v>0</v>
      </c>
      <c r="H669" s="237">
        <f xml:space="preserve"> 150 + (0.5*87)</f>
        <v>193.5</v>
      </c>
      <c r="I669" s="44">
        <f t="shared" si="420"/>
        <v>0</v>
      </c>
      <c r="J669" s="44"/>
      <c r="K669" s="44">
        <f>K668*5</f>
        <v>50</v>
      </c>
      <c r="L669" s="44">
        <f>H669*K669*$E$6</f>
        <v>10158.75</v>
      </c>
      <c r="M669" s="123"/>
      <c r="N669" s="44">
        <f>N668*5</f>
        <v>0</v>
      </c>
      <c r="O669" s="44">
        <f>H669*N669*$E$6*$E$6</f>
        <v>0</v>
      </c>
      <c r="P669" s="123"/>
      <c r="Q669" s="44">
        <f>Q668*5</f>
        <v>0</v>
      </c>
      <c r="R669" s="44">
        <f>H669*Q669*$E$6*$E$6*$E$6</f>
        <v>0</v>
      </c>
      <c r="S669" s="123"/>
      <c r="T669" s="44">
        <f>T668*5</f>
        <v>0</v>
      </c>
      <c r="U669" s="44">
        <f>H669*T669*$E$6*$E$6*$E$6*$E$6</f>
        <v>0</v>
      </c>
      <c r="V669" s="123"/>
      <c r="W669" s="44">
        <f>W668*5</f>
        <v>0</v>
      </c>
      <c r="X669" s="44">
        <f t="shared" si="421"/>
        <v>0</v>
      </c>
      <c r="Y669" s="44">
        <f t="shared" si="422"/>
        <v>10158.75</v>
      </c>
      <c r="Z669" s="44" t="s">
        <v>149</v>
      </c>
      <c r="AA669" s="44">
        <f t="shared" si="423"/>
        <v>10158.75</v>
      </c>
    </row>
    <row r="670" spans="1:27">
      <c r="A670" s="607"/>
      <c r="B670" s="607"/>
      <c r="C670" s="607"/>
      <c r="D670" s="41" t="s">
        <v>403</v>
      </c>
      <c r="E670" s="127"/>
      <c r="F670" s="46"/>
      <c r="G670" s="47"/>
      <c r="H670" s="47"/>
      <c r="I670" s="48">
        <f>SUM(I664:I669)</f>
        <v>830</v>
      </c>
      <c r="J670" s="127"/>
      <c r="K670" s="47"/>
      <c r="L670" s="48">
        <f>SUM(L664:L669)</f>
        <v>12815.25</v>
      </c>
      <c r="M670" s="127"/>
      <c r="N670" s="47"/>
      <c r="O670" s="48">
        <f>SUM(O664:O669)</f>
        <v>2182.9499999999998</v>
      </c>
      <c r="P670" s="127"/>
      <c r="Q670" s="47"/>
      <c r="R670" s="48">
        <f>SUM(R664:R669)</f>
        <v>2292.0975000000003</v>
      </c>
      <c r="S670" s="127"/>
      <c r="T670" s="47"/>
      <c r="U670" s="48">
        <f>SUM(U664:U669)</f>
        <v>2406.7023750000003</v>
      </c>
      <c r="V670" s="127"/>
      <c r="W670" s="47"/>
      <c r="X670" s="48">
        <f>SUM(X664:X669)</f>
        <v>2144.1530250000005</v>
      </c>
      <c r="Y670" s="576">
        <f>SUM(Y664:Y669)</f>
        <v>22671.152900000001</v>
      </c>
      <c r="Z670" s="48">
        <f>SUM(Z664:Z669)</f>
        <v>0</v>
      </c>
      <c r="AA670" s="48">
        <f>SUM(AA664:AA669)</f>
        <v>22671.152900000001</v>
      </c>
    </row>
    <row r="671" spans="1:27">
      <c r="A671" s="608"/>
      <c r="B671" s="608"/>
      <c r="C671" s="608"/>
      <c r="D671" s="100"/>
      <c r="E671" s="128"/>
      <c r="F671" s="81"/>
      <c r="G671" s="63"/>
      <c r="H671" s="63"/>
      <c r="I671" s="63"/>
      <c r="J671" s="128"/>
      <c r="K671" s="63"/>
      <c r="L671" s="63"/>
      <c r="M671" s="128"/>
      <c r="N671" s="63"/>
      <c r="O671" s="63"/>
      <c r="P671" s="128"/>
      <c r="Q671" s="63"/>
      <c r="R671" s="63"/>
      <c r="S671" s="128"/>
      <c r="T671" s="63"/>
      <c r="U671" s="63"/>
      <c r="V671" s="128"/>
      <c r="W671" s="63"/>
      <c r="X671" s="63"/>
      <c r="Y671" s="63"/>
      <c r="Z671" s="63"/>
      <c r="AA671" s="63"/>
    </row>
    <row r="672" spans="1:27">
      <c r="A672" s="607"/>
      <c r="B672" s="607"/>
      <c r="C672" s="607"/>
      <c r="D672" s="41" t="s">
        <v>404</v>
      </c>
      <c r="E672" s="127"/>
      <c r="F672" s="46"/>
      <c r="G672" s="47"/>
      <c r="H672" s="47"/>
      <c r="I672" s="47"/>
      <c r="J672" s="127"/>
      <c r="K672" s="47"/>
      <c r="L672" s="47"/>
      <c r="M672" s="127"/>
      <c r="N672" s="47"/>
      <c r="O672" s="47"/>
      <c r="P672" s="127"/>
      <c r="Q672" s="47"/>
      <c r="R672" s="47"/>
      <c r="S672" s="127"/>
      <c r="T672" s="47"/>
      <c r="U672" s="47"/>
      <c r="V672" s="127"/>
      <c r="W672" s="47"/>
      <c r="X672" s="47"/>
      <c r="Y672" s="47"/>
      <c r="Z672" s="47"/>
      <c r="AA672" s="47"/>
    </row>
    <row r="673" spans="1:30">
      <c r="A673" s="591" t="s">
        <v>1332</v>
      </c>
      <c r="B673" s="591" t="s">
        <v>819</v>
      </c>
      <c r="C673" s="591" t="s">
        <v>747</v>
      </c>
      <c r="D673" s="8" t="s">
        <v>405</v>
      </c>
      <c r="F673" s="8" t="s">
        <v>284</v>
      </c>
      <c r="G673" s="44">
        <v>0</v>
      </c>
      <c r="H673" s="44">
        <f>(11*5)+(11*8*1)+250</f>
        <v>393</v>
      </c>
      <c r="I673" s="44">
        <f>G673*H673</f>
        <v>0</v>
      </c>
      <c r="J673" s="123"/>
      <c r="K673" s="44">
        <v>1</v>
      </c>
      <c r="L673" s="44">
        <f>H673*K673</f>
        <v>393</v>
      </c>
      <c r="M673" s="123"/>
      <c r="N673" s="44">
        <v>0</v>
      </c>
      <c r="O673" s="44">
        <f>H673*N673</f>
        <v>0</v>
      </c>
      <c r="P673" s="123"/>
      <c r="Q673" s="44">
        <v>0</v>
      </c>
      <c r="R673" s="44">
        <f>H673*Q673</f>
        <v>0</v>
      </c>
      <c r="S673" s="123"/>
      <c r="T673" s="44">
        <v>0</v>
      </c>
      <c r="U673" s="44">
        <f>H673*T673</f>
        <v>0</v>
      </c>
      <c r="V673" s="123"/>
      <c r="W673" s="44">
        <v>0</v>
      </c>
      <c r="X673" s="44">
        <f>W673*H673</f>
        <v>0</v>
      </c>
      <c r="Y673" s="44">
        <f>SUM(R673,O673,L673,I673,U673,X673)</f>
        <v>393</v>
      </c>
      <c r="Z673" s="44" t="s">
        <v>149</v>
      </c>
      <c r="AA673" s="44">
        <f t="shared" ref="AA673:AA674" si="428">SUM(Y673:Z673)</f>
        <v>393</v>
      </c>
    </row>
    <row r="674" spans="1:30">
      <c r="A674" s="591" t="s">
        <v>1331</v>
      </c>
      <c r="B674" s="591" t="s">
        <v>819</v>
      </c>
      <c r="C674" s="591" t="s">
        <v>747</v>
      </c>
      <c r="D674" s="8" t="s">
        <v>406</v>
      </c>
      <c r="F674" s="8" t="s">
        <v>369</v>
      </c>
      <c r="G674" s="44">
        <v>0</v>
      </c>
      <c r="H674" s="44">
        <f>(130*5)+(130*8*1)+500</f>
        <v>2190</v>
      </c>
      <c r="I674" s="44">
        <f>G674*H674</f>
        <v>0</v>
      </c>
      <c r="J674" s="123"/>
      <c r="K674" s="44">
        <v>1</v>
      </c>
      <c r="L674" s="44">
        <f>H674*K674</f>
        <v>2190</v>
      </c>
      <c r="M674" s="123"/>
      <c r="N674" s="44">
        <v>1</v>
      </c>
      <c r="O674" s="44">
        <f>H674*N674</f>
        <v>2190</v>
      </c>
      <c r="P674" s="123"/>
      <c r="Q674" s="44">
        <v>1</v>
      </c>
      <c r="R674" s="44">
        <f>H674*Q674</f>
        <v>2190</v>
      </c>
      <c r="S674" s="123"/>
      <c r="T674" s="44">
        <v>1</v>
      </c>
      <c r="U674" s="44">
        <f>H674*T674</f>
        <v>2190</v>
      </c>
      <c r="V674" s="123"/>
      <c r="W674" s="44">
        <v>1</v>
      </c>
      <c r="X674" s="44">
        <f>W674*H674</f>
        <v>2190</v>
      </c>
      <c r="Y674" s="44">
        <f>SUM(R674,O674,L674,I674,U674,X674)</f>
        <v>10950</v>
      </c>
      <c r="Z674" s="44">
        <v>0</v>
      </c>
      <c r="AA674" s="44">
        <f t="shared" si="428"/>
        <v>10950</v>
      </c>
    </row>
    <row r="675" spans="1:30">
      <c r="A675" s="607"/>
      <c r="B675" s="607"/>
      <c r="C675" s="607"/>
      <c r="D675" s="41" t="s">
        <v>407</v>
      </c>
      <c r="E675" s="127"/>
      <c r="F675" s="46"/>
      <c r="G675" s="47"/>
      <c r="H675" s="47"/>
      <c r="I675" s="48">
        <f>SUM(I673:I674)</f>
        <v>0</v>
      </c>
      <c r="J675" s="127"/>
      <c r="K675" s="48"/>
      <c r="L675" s="48">
        <f>SUM(L673:L674)</f>
        <v>2583</v>
      </c>
      <c r="M675" s="127"/>
      <c r="N675" s="48"/>
      <c r="O675" s="48">
        <f>SUM(O673:O674)</f>
        <v>2190</v>
      </c>
      <c r="P675" s="127"/>
      <c r="Q675" s="48"/>
      <c r="R675" s="48">
        <f>SUM(R673:R674)</f>
        <v>2190</v>
      </c>
      <c r="S675" s="127"/>
      <c r="T675" s="48"/>
      <c r="U675" s="48">
        <f>SUM(U673:U674)</f>
        <v>2190</v>
      </c>
      <c r="V675" s="127"/>
      <c r="W675" s="48"/>
      <c r="X675" s="48">
        <f>SUM(X673:X674)</f>
        <v>2190</v>
      </c>
      <c r="Y675" s="101">
        <f>SUM(Y673:Y674)</f>
        <v>11343</v>
      </c>
      <c r="Z675" s="48">
        <f>SUM(Z673:Z674)</f>
        <v>0</v>
      </c>
      <c r="AA675" s="48">
        <f>SUM(AA673:AA674)</f>
        <v>11343</v>
      </c>
    </row>
    <row r="676" spans="1:30">
      <c r="A676" s="608"/>
      <c r="B676" s="608"/>
      <c r="C676" s="608"/>
      <c r="D676" s="100"/>
      <c r="E676" s="128"/>
      <c r="F676" s="81"/>
      <c r="G676" s="63"/>
      <c r="H676" s="63"/>
      <c r="I676" s="63"/>
      <c r="J676" s="128"/>
      <c r="K676" s="63"/>
      <c r="L676" s="63"/>
      <c r="M676" s="128"/>
      <c r="N676" s="63"/>
      <c r="O676" s="63"/>
      <c r="P676" s="128"/>
      <c r="Q676" s="63"/>
      <c r="R676" s="63"/>
      <c r="S676" s="128"/>
      <c r="T676" s="63"/>
      <c r="U676" s="63"/>
      <c r="V676" s="128"/>
      <c r="W676" s="63"/>
      <c r="X676" s="63"/>
      <c r="Y676" s="63"/>
      <c r="Z676" s="63"/>
      <c r="AA676" s="63"/>
    </row>
    <row r="677" spans="1:30">
      <c r="A677" s="607"/>
      <c r="B677" s="607"/>
      <c r="C677" s="607"/>
      <c r="D677" s="41" t="s">
        <v>408</v>
      </c>
      <c r="E677" s="127"/>
      <c r="F677" s="46"/>
      <c r="G677" s="47"/>
      <c r="H677" s="47"/>
      <c r="I677" s="47"/>
      <c r="J677" s="127"/>
      <c r="K677" s="47"/>
      <c r="L677" s="47"/>
      <c r="M677" s="127"/>
      <c r="N677" s="47"/>
      <c r="O677" s="47"/>
      <c r="P677" s="127"/>
      <c r="Q677" s="47"/>
      <c r="R677" s="47"/>
      <c r="S677" s="127"/>
      <c r="T677" s="47"/>
      <c r="U677" s="47"/>
      <c r="V677" s="127"/>
      <c r="W677" s="47"/>
      <c r="X677" s="47"/>
      <c r="Y677" s="47"/>
      <c r="Z677" s="47"/>
      <c r="AA677" s="47"/>
    </row>
    <row r="678" spans="1:30">
      <c r="A678" s="591" t="s">
        <v>1270</v>
      </c>
      <c r="B678" s="591" t="s">
        <v>1268</v>
      </c>
      <c r="C678" s="591" t="s">
        <v>747</v>
      </c>
      <c r="D678" s="8" t="s">
        <v>406</v>
      </c>
      <c r="F678" s="8" t="s">
        <v>369</v>
      </c>
      <c r="G678" s="44">
        <f>G674</f>
        <v>0</v>
      </c>
      <c r="H678" s="44">
        <v>2300</v>
      </c>
      <c r="I678" s="44">
        <f>G678*H678</f>
        <v>0</v>
      </c>
      <c r="J678" s="123"/>
      <c r="K678" s="44">
        <f>K674</f>
        <v>1</v>
      </c>
      <c r="L678" s="44">
        <v>0</v>
      </c>
      <c r="M678" s="123"/>
      <c r="N678" s="44">
        <f>N674</f>
        <v>1</v>
      </c>
      <c r="O678" s="44">
        <v>0</v>
      </c>
      <c r="P678" s="123"/>
      <c r="Q678" s="44">
        <f>Q674</f>
        <v>1</v>
      </c>
      <c r="R678" s="44">
        <v>0</v>
      </c>
      <c r="S678" s="123"/>
      <c r="T678" s="44">
        <f>T674</f>
        <v>1</v>
      </c>
      <c r="U678" s="44">
        <v>0</v>
      </c>
      <c r="V678" s="123"/>
      <c r="W678" s="44">
        <f>W674</f>
        <v>1</v>
      </c>
      <c r="X678" s="44">
        <v>0</v>
      </c>
      <c r="Y678" s="44">
        <v>0</v>
      </c>
      <c r="Z678" s="44">
        <f>(G678*H678)+(K678*H678)+(N678*H678)+(H678*Q678)+(T678*H678)+(W678*H678)</f>
        <v>11500</v>
      </c>
      <c r="AA678" s="44">
        <f t="shared" ref="AA678" si="429">SUM(Y678:Z678)</f>
        <v>11500</v>
      </c>
    </row>
    <row r="679" spans="1:30">
      <c r="A679" s="607"/>
      <c r="B679" s="607"/>
      <c r="C679" s="607"/>
      <c r="D679" s="41" t="s">
        <v>409</v>
      </c>
      <c r="E679" s="127"/>
      <c r="F679" s="46"/>
      <c r="G679" s="47"/>
      <c r="H679" s="47"/>
      <c r="I679" s="48">
        <f>SUM(I678:I678)</f>
        <v>0</v>
      </c>
      <c r="J679" s="127"/>
      <c r="K679" s="48"/>
      <c r="L679" s="48">
        <f>SUM(L678:L678)</f>
        <v>0</v>
      </c>
      <c r="M679" s="127"/>
      <c r="N679" s="48"/>
      <c r="O679" s="48">
        <f>SUM(O678:O678)</f>
        <v>0</v>
      </c>
      <c r="P679" s="127"/>
      <c r="Q679" s="48"/>
      <c r="R679" s="48">
        <f>SUM(R678:R678)</f>
        <v>0</v>
      </c>
      <c r="S679" s="127"/>
      <c r="T679" s="48"/>
      <c r="U679" s="48">
        <f>SUM(U678:U678)</f>
        <v>0</v>
      </c>
      <c r="V679" s="127"/>
      <c r="W679" s="48"/>
      <c r="X679" s="48">
        <f>SUM(X678:X678)</f>
        <v>0</v>
      </c>
      <c r="Y679" s="48">
        <f>SUM(Y678:Y678)</f>
        <v>0</v>
      </c>
      <c r="Z679" s="48">
        <f>SUM(Z678:Z678)</f>
        <v>11500</v>
      </c>
      <c r="AA679" s="48">
        <f>SUM(AA678:AA678)</f>
        <v>11500</v>
      </c>
      <c r="AD679" s="566"/>
    </row>
    <row r="680" spans="1:30">
      <c r="A680" s="608"/>
      <c r="B680" s="608"/>
      <c r="C680" s="608"/>
      <c r="D680" s="100"/>
      <c r="E680" s="128"/>
      <c r="F680" s="81"/>
      <c r="G680" s="63"/>
      <c r="H680" s="63"/>
      <c r="I680" s="63"/>
      <c r="J680" s="128"/>
      <c r="K680" s="63"/>
      <c r="L680" s="63"/>
      <c r="M680" s="128"/>
      <c r="N680" s="63"/>
      <c r="O680" s="63"/>
      <c r="P680" s="128"/>
      <c r="Q680" s="63"/>
      <c r="R680" s="63"/>
      <c r="S680" s="128"/>
      <c r="T680" s="63"/>
      <c r="U680" s="63"/>
      <c r="V680" s="128"/>
      <c r="W680" s="63"/>
      <c r="X680" s="63"/>
      <c r="Y680" s="63"/>
      <c r="Z680" s="63"/>
      <c r="AA680" s="63"/>
      <c r="AC680" s="566"/>
    </row>
    <row r="681" spans="1:30" ht="12.9" thickBot="1">
      <c r="A681" s="596"/>
      <c r="B681" s="596"/>
      <c r="C681" s="596"/>
      <c r="D681" s="54" t="s">
        <v>410</v>
      </c>
      <c r="E681" s="121"/>
      <c r="F681" s="54"/>
      <c r="G681" s="69"/>
      <c r="H681" s="69"/>
      <c r="I681" s="65">
        <f>+I657+I670+I650+I646+I675+I661+I679</f>
        <v>39028.915000000001</v>
      </c>
      <c r="J681" s="121"/>
      <c r="K681" s="65"/>
      <c r="L681" s="65">
        <f>+L657+L670+L650+L646+L675+L661+L679</f>
        <v>129877.177</v>
      </c>
      <c r="M681" s="121"/>
      <c r="N681" s="65"/>
      <c r="O681" s="65">
        <f>+O657+O670+O650+O646+O675+O661+O679</f>
        <v>63833.413</v>
      </c>
      <c r="P681" s="121"/>
      <c r="Q681" s="65"/>
      <c r="R681" s="65">
        <f>+R657+R670+R650+R646+R675+R661+R679</f>
        <v>53315.0258875</v>
      </c>
      <c r="S681" s="121"/>
      <c r="T681" s="65"/>
      <c r="U681" s="65">
        <f>+U657+U670+U650+U646+U675+U661+U679</f>
        <v>54635.327877062518</v>
      </c>
      <c r="V681" s="121"/>
      <c r="W681" s="65"/>
      <c r="X681" s="65">
        <f>+X657+X670+X650+X646+X675+X661+X679</f>
        <v>25180.055432596877</v>
      </c>
      <c r="Y681" s="65">
        <f>+Y657+Y670+Y650+Y646+Y675+Y661+Y679</f>
        <v>365869.91419715935</v>
      </c>
      <c r="Z681" s="65">
        <f>+Z657+Z670+Z650+Z646+Z675+Z661+Z679</f>
        <v>11500</v>
      </c>
      <c r="AA681" s="65">
        <f>+AA657+AA670+AA650+AA646+AA675+AA661+AA679</f>
        <v>377369.91419715935</v>
      </c>
      <c r="AB681" s="536"/>
    </row>
    <row r="682" spans="1:30">
      <c r="A682" s="597"/>
      <c r="B682" s="597"/>
      <c r="C682" s="597"/>
      <c r="D682" s="81"/>
      <c r="E682" s="118"/>
      <c r="F682" s="81"/>
      <c r="G682" s="63"/>
      <c r="H682" s="63"/>
      <c r="I682" s="63"/>
      <c r="J682" s="118"/>
      <c r="K682" s="63"/>
      <c r="L682" s="63"/>
      <c r="M682" s="118"/>
      <c r="N682" s="63"/>
      <c r="O682" s="63"/>
      <c r="P682" s="118"/>
      <c r="Q682" s="63"/>
      <c r="R682" s="63"/>
      <c r="S682" s="118"/>
      <c r="T682" s="63"/>
      <c r="U682" s="63"/>
      <c r="V682" s="118"/>
      <c r="W682" s="63"/>
      <c r="X682" s="63"/>
      <c r="Y682" s="63"/>
      <c r="Z682" s="63"/>
      <c r="AA682" s="63"/>
    </row>
    <row r="683" spans="1:30">
      <c r="A683" s="605"/>
      <c r="B683" s="605"/>
      <c r="C683" s="605"/>
      <c r="D683" s="94" t="str">
        <f>'USDA Budget Summary'!A35</f>
        <v>Activity 9: Capacity Building: National Level</v>
      </c>
      <c r="E683" s="125"/>
      <c r="F683" s="38"/>
      <c r="G683" s="38"/>
      <c r="H683" s="39"/>
      <c r="I683" s="95"/>
      <c r="J683" s="125"/>
      <c r="K683" s="95"/>
      <c r="L683" s="95"/>
      <c r="M683" s="125"/>
      <c r="N683" s="95"/>
      <c r="O683" s="95"/>
      <c r="P683" s="125"/>
      <c r="Q683" s="95"/>
      <c r="R683" s="95"/>
      <c r="S683" s="125"/>
      <c r="T683" s="95"/>
      <c r="U683" s="95"/>
      <c r="V683" s="125"/>
      <c r="W683" s="95"/>
      <c r="X683" s="95"/>
      <c r="Y683" s="95"/>
      <c r="Z683" s="96"/>
      <c r="AA683" s="95"/>
    </row>
    <row r="684" spans="1:30">
      <c r="A684" s="606"/>
      <c r="B684" s="606"/>
      <c r="C684" s="606"/>
      <c r="D684" s="97" t="s">
        <v>227</v>
      </c>
      <c r="E684" s="126"/>
      <c r="F684" s="98"/>
      <c r="G684" s="99"/>
      <c r="H684" s="99"/>
      <c r="I684" s="99"/>
      <c r="J684" s="126"/>
      <c r="K684" s="99"/>
      <c r="L684" s="99"/>
      <c r="M684" s="126"/>
      <c r="N684" s="99"/>
      <c r="O684" s="99"/>
      <c r="P684" s="126"/>
      <c r="Q684" s="99"/>
      <c r="R684" s="99"/>
      <c r="S684" s="126"/>
      <c r="T684" s="99"/>
      <c r="U684" s="99"/>
      <c r="V684" s="126"/>
      <c r="W684" s="99"/>
      <c r="X684" s="99"/>
      <c r="Y684" s="99"/>
      <c r="Z684" s="99"/>
      <c r="AA684" s="99"/>
    </row>
    <row r="685" spans="1:30">
      <c r="A685" s="607"/>
      <c r="B685" s="607"/>
      <c r="C685" s="607"/>
      <c r="D685" s="41" t="s">
        <v>411</v>
      </c>
      <c r="E685" s="127"/>
      <c r="F685" s="46"/>
      <c r="G685" s="47"/>
      <c r="H685" s="47"/>
      <c r="I685" s="47"/>
      <c r="J685" s="127"/>
      <c r="K685" s="47"/>
      <c r="L685" s="47"/>
      <c r="M685" s="127"/>
      <c r="N685" s="47"/>
      <c r="O685" s="47"/>
      <c r="P685" s="127"/>
      <c r="Q685" s="47"/>
      <c r="R685" s="47"/>
      <c r="S685" s="127"/>
      <c r="T685" s="47"/>
      <c r="U685" s="47"/>
      <c r="V685" s="127"/>
      <c r="W685" s="47"/>
      <c r="X685" s="47"/>
      <c r="Y685" s="47"/>
      <c r="Z685" s="47"/>
      <c r="AA685" s="47"/>
    </row>
    <row r="686" spans="1:30" hidden="1">
      <c r="A686" s="595" t="s">
        <v>1114</v>
      </c>
      <c r="B686" s="595">
        <v>70000</v>
      </c>
      <c r="C686" s="595" t="s">
        <v>747</v>
      </c>
      <c r="D686" s="8" t="str">
        <f t="shared" ref="D686:D719" si="430">D12</f>
        <v xml:space="preserve">Key Personnel: Chief of Party - Roger Sanchez O’Neill </v>
      </c>
      <c r="E686" s="123">
        <f>'LOE Breakdown by Year'!M11</f>
        <v>0</v>
      </c>
      <c r="F686" s="50" t="s">
        <v>100</v>
      </c>
      <c r="G686" s="44">
        <f t="shared" ref="G686:H705" si="431">G12</f>
        <v>11</v>
      </c>
      <c r="H686" s="44">
        <f t="shared" si="431"/>
        <v>9583.3333333333339</v>
      </c>
      <c r="I686" s="44">
        <f>G686*H686*E686</f>
        <v>0</v>
      </c>
      <c r="J686" s="123">
        <f>'LOE Breakdown by Year'!M57</f>
        <v>0</v>
      </c>
      <c r="K686" s="44">
        <f t="shared" ref="K686:K719" si="432">K12</f>
        <v>12</v>
      </c>
      <c r="L686" s="44">
        <f>K686*H686*$E$7*$J686</f>
        <v>0</v>
      </c>
      <c r="M686" s="123">
        <f>'LOE Breakdown by Year'!M103</f>
        <v>0</v>
      </c>
      <c r="N686" s="44">
        <f t="shared" ref="N686:N719" si="433">N12</f>
        <v>12</v>
      </c>
      <c r="O686" s="44">
        <f>N686*H686*$M686*$E$7*$E$7</f>
        <v>0</v>
      </c>
      <c r="P686" s="123">
        <f>'LOE Breakdown by Year'!M149</f>
        <v>0</v>
      </c>
      <c r="Q686" s="44">
        <f t="shared" ref="Q686:Q719" si="434">Q12</f>
        <v>12</v>
      </c>
      <c r="R686" s="44">
        <f>Q686*H686*$P686*$E$7*$E$7*$E$7</f>
        <v>0</v>
      </c>
      <c r="S686" s="123">
        <f>'LOE Breakdown by Year'!M195</f>
        <v>0</v>
      </c>
      <c r="T686" s="44">
        <f t="shared" ref="T686:T719" si="435">T12</f>
        <v>12</v>
      </c>
      <c r="U686" s="44">
        <f>T686*H686*$S686*$E$7*$E$7*$E$7*$E$7</f>
        <v>0</v>
      </c>
      <c r="V686" s="123">
        <f>'LOE Breakdown by Year'!M241</f>
        <v>0</v>
      </c>
      <c r="W686" s="44">
        <f t="shared" ref="W686:W719" si="436">W12</f>
        <v>12</v>
      </c>
      <c r="X686" s="44">
        <f>W686*H686*$V686*$E$7*$E$7*$E$7*$E$7*$E$7</f>
        <v>0</v>
      </c>
      <c r="Y686" s="44">
        <f>SUM(R686,O686,L686,I686,U686,X686)</f>
        <v>0</v>
      </c>
      <c r="Z686" s="44">
        <v>0</v>
      </c>
      <c r="AA686" s="44">
        <f>SUM(Y686:Z686)</f>
        <v>0</v>
      </c>
    </row>
    <row r="687" spans="1:30" hidden="1">
      <c r="A687" s="595" t="s">
        <v>1115</v>
      </c>
      <c r="B687" s="595">
        <v>70000</v>
      </c>
      <c r="C687" s="595" t="s">
        <v>747</v>
      </c>
      <c r="D687" s="8" t="str">
        <f t="shared" si="430"/>
        <v>Key Personnel: Deputy Chief of Party - David Medina Mayo</v>
      </c>
      <c r="E687" s="123">
        <f>'LOE Breakdown by Year'!M12</f>
        <v>0</v>
      </c>
      <c r="F687" s="50" t="s">
        <v>100</v>
      </c>
      <c r="G687" s="44">
        <f t="shared" si="431"/>
        <v>11</v>
      </c>
      <c r="H687" s="44">
        <f t="shared" si="431"/>
        <v>6500</v>
      </c>
      <c r="I687" s="44">
        <f t="shared" ref="I687:I719" si="437">G687*H687*E687</f>
        <v>0</v>
      </c>
      <c r="J687" s="123">
        <f>'LOE Breakdown by Year'!M58</f>
        <v>0</v>
      </c>
      <c r="K687" s="44">
        <f t="shared" si="432"/>
        <v>12</v>
      </c>
      <c r="L687" s="44">
        <f t="shared" ref="L687:L719" si="438">K687*H687*$E$7*$J687</f>
        <v>0</v>
      </c>
      <c r="M687" s="123">
        <f>'LOE Breakdown by Year'!M104</f>
        <v>0</v>
      </c>
      <c r="N687" s="44">
        <f t="shared" si="433"/>
        <v>12</v>
      </c>
      <c r="O687" s="44">
        <f t="shared" ref="O687:O719" si="439">N687*H687*$M687*$E$7*$E$7</f>
        <v>0</v>
      </c>
      <c r="P687" s="123">
        <f>'LOE Breakdown by Year'!M150</f>
        <v>0</v>
      </c>
      <c r="Q687" s="44">
        <f t="shared" si="434"/>
        <v>12</v>
      </c>
      <c r="R687" s="44">
        <f t="shared" ref="R687:R719" si="440">Q687*H687*$P687*$E$7*$E$7*$E$7</f>
        <v>0</v>
      </c>
      <c r="S687" s="123">
        <f>'LOE Breakdown by Year'!M196</f>
        <v>0</v>
      </c>
      <c r="T687" s="44">
        <f t="shared" si="435"/>
        <v>12</v>
      </c>
      <c r="U687" s="44">
        <f t="shared" ref="U687:U719" si="441">T687*H687*$S687*$E$7*$E$7*$E$7*$E$7</f>
        <v>0</v>
      </c>
      <c r="V687" s="123">
        <f>'LOE Breakdown by Year'!M242</f>
        <v>0</v>
      </c>
      <c r="W687" s="44">
        <f t="shared" si="436"/>
        <v>12</v>
      </c>
      <c r="X687" s="44">
        <f t="shared" ref="X687:X719" si="442">W687*H687*$V687*$E$7*$E$7*$E$7*$E$7*$E$7</f>
        <v>0</v>
      </c>
      <c r="Y687" s="44">
        <f t="shared" ref="Y687:Y719" si="443">SUM(R687,O687,L687,I687,U687,X687)</f>
        <v>0</v>
      </c>
      <c r="Z687" s="44">
        <v>0</v>
      </c>
      <c r="AA687" s="44">
        <f t="shared" ref="AA687:AA719" si="444">SUM(Y687:Z687)</f>
        <v>0</v>
      </c>
    </row>
    <row r="688" spans="1:30">
      <c r="A688" s="595" t="s">
        <v>1116</v>
      </c>
      <c r="B688" s="595">
        <v>70000</v>
      </c>
      <c r="C688" s="595" t="s">
        <v>747</v>
      </c>
      <c r="D688" s="8" t="str">
        <f t="shared" si="430"/>
        <v>Policy &amp; Sustainability Specialist</v>
      </c>
      <c r="E688" s="123">
        <f>'LOE Breakdown by Year'!M13</f>
        <v>0.3</v>
      </c>
      <c r="F688" s="50" t="s">
        <v>100</v>
      </c>
      <c r="G688" s="44">
        <f t="shared" si="431"/>
        <v>0</v>
      </c>
      <c r="H688" s="44">
        <f t="shared" si="431"/>
        <v>1500</v>
      </c>
      <c r="I688" s="44">
        <f t="shared" si="437"/>
        <v>0</v>
      </c>
      <c r="J688" s="123">
        <f>'LOE Breakdown by Year'!M59</f>
        <v>0.3</v>
      </c>
      <c r="K688" s="44">
        <f t="shared" si="432"/>
        <v>0</v>
      </c>
      <c r="L688" s="44">
        <f t="shared" si="438"/>
        <v>0</v>
      </c>
      <c r="M688" s="123">
        <f>'LOE Breakdown by Year'!M105</f>
        <v>0.3</v>
      </c>
      <c r="N688" s="44">
        <f t="shared" si="433"/>
        <v>7</v>
      </c>
      <c r="O688" s="44">
        <f t="shared" si="439"/>
        <v>3472.875</v>
      </c>
      <c r="P688" s="123">
        <f>'LOE Breakdown by Year'!M151</f>
        <v>0.3</v>
      </c>
      <c r="Q688" s="44">
        <f t="shared" si="434"/>
        <v>12</v>
      </c>
      <c r="R688" s="44">
        <f t="shared" si="440"/>
        <v>6251.1750000000002</v>
      </c>
      <c r="S688" s="123">
        <f>'LOE Breakdown by Year'!M197</f>
        <v>0.3</v>
      </c>
      <c r="T688" s="44">
        <f t="shared" si="435"/>
        <v>12</v>
      </c>
      <c r="U688" s="44">
        <f t="shared" si="441"/>
        <v>6563.7337500000003</v>
      </c>
      <c r="V688" s="123">
        <f>'LOE Breakdown by Year'!M243</f>
        <v>0.3</v>
      </c>
      <c r="W688" s="44">
        <f t="shared" si="436"/>
        <v>6</v>
      </c>
      <c r="X688" s="44">
        <f t="shared" si="442"/>
        <v>3445.9602187500004</v>
      </c>
      <c r="Y688" s="44">
        <f t="shared" si="443"/>
        <v>19733.743968750001</v>
      </c>
      <c r="Z688" s="44">
        <v>0</v>
      </c>
      <c r="AA688" s="44">
        <f t="shared" si="444"/>
        <v>19733.743968750001</v>
      </c>
    </row>
    <row r="689" spans="1:27">
      <c r="A689" s="595" t="s">
        <v>1117</v>
      </c>
      <c r="B689" s="595">
        <v>70000</v>
      </c>
      <c r="C689" s="595" t="s">
        <v>747</v>
      </c>
      <c r="D689" s="8" t="str">
        <f t="shared" si="430"/>
        <v xml:space="preserve">Education Director </v>
      </c>
      <c r="E689" s="123">
        <f>'LOE Breakdown by Year'!M14</f>
        <v>0.1</v>
      </c>
      <c r="F689" s="50" t="s">
        <v>100</v>
      </c>
      <c r="G689" s="44">
        <f t="shared" si="431"/>
        <v>9</v>
      </c>
      <c r="H689" s="44">
        <f t="shared" si="431"/>
        <v>4583.333333333333</v>
      </c>
      <c r="I689" s="44">
        <f t="shared" si="437"/>
        <v>4125</v>
      </c>
      <c r="J689" s="123">
        <f>'LOE Breakdown by Year'!M60</f>
        <v>0.1</v>
      </c>
      <c r="K689" s="44">
        <f t="shared" si="432"/>
        <v>12</v>
      </c>
      <c r="L689" s="44">
        <f t="shared" si="438"/>
        <v>5775</v>
      </c>
      <c r="M689" s="123">
        <f>'LOE Breakdown by Year'!M106</f>
        <v>0.1</v>
      </c>
      <c r="N689" s="44">
        <f t="shared" si="433"/>
        <v>12</v>
      </c>
      <c r="O689" s="44">
        <f t="shared" si="439"/>
        <v>6063.75</v>
      </c>
      <c r="P689" s="123">
        <f>'LOE Breakdown by Year'!M152</f>
        <v>0.1</v>
      </c>
      <c r="Q689" s="44">
        <f t="shared" si="434"/>
        <v>12</v>
      </c>
      <c r="R689" s="44">
        <f t="shared" si="440"/>
        <v>6366.9375</v>
      </c>
      <c r="S689" s="123">
        <f>'LOE Breakdown by Year'!M198</f>
        <v>0.1</v>
      </c>
      <c r="T689" s="44">
        <f t="shared" si="435"/>
        <v>12</v>
      </c>
      <c r="U689" s="44">
        <f t="shared" si="441"/>
        <v>6685.2843750000002</v>
      </c>
      <c r="V689" s="123">
        <f>'LOE Breakdown by Year'!M244</f>
        <v>0.1</v>
      </c>
      <c r="W689" s="44">
        <f t="shared" si="436"/>
        <v>8</v>
      </c>
      <c r="X689" s="44">
        <f t="shared" si="442"/>
        <v>4679.6990624999999</v>
      </c>
      <c r="Y689" s="44">
        <f t="shared" si="443"/>
        <v>33695.670937499999</v>
      </c>
      <c r="Z689" s="44">
        <v>0</v>
      </c>
      <c r="AA689" s="44">
        <f t="shared" si="444"/>
        <v>33695.670937499999</v>
      </c>
    </row>
    <row r="690" spans="1:27">
      <c r="A690" s="595" t="s">
        <v>1118</v>
      </c>
      <c r="B690" s="595">
        <v>70000</v>
      </c>
      <c r="C690" s="595" t="s">
        <v>747</v>
      </c>
      <c r="D690" s="8" t="str">
        <f t="shared" si="430"/>
        <v>Education Specialist</v>
      </c>
      <c r="E690" s="123">
        <f>'LOE Breakdown by Year'!M15</f>
        <v>0.1</v>
      </c>
      <c r="F690" s="50" t="s">
        <v>100</v>
      </c>
      <c r="G690" s="44">
        <f t="shared" si="431"/>
        <v>8</v>
      </c>
      <c r="H690" s="44">
        <f t="shared" si="431"/>
        <v>2500</v>
      </c>
      <c r="I690" s="44">
        <f t="shared" si="437"/>
        <v>2000</v>
      </c>
      <c r="J690" s="123">
        <f>'LOE Breakdown by Year'!M61</f>
        <v>0.1</v>
      </c>
      <c r="K690" s="44">
        <f t="shared" si="432"/>
        <v>12</v>
      </c>
      <c r="L690" s="44">
        <f t="shared" si="438"/>
        <v>3150</v>
      </c>
      <c r="M690" s="123">
        <f>'LOE Breakdown by Year'!M107</f>
        <v>0.1</v>
      </c>
      <c r="N690" s="44">
        <f t="shared" si="433"/>
        <v>12</v>
      </c>
      <c r="O690" s="44">
        <f t="shared" si="439"/>
        <v>3307.5</v>
      </c>
      <c r="P690" s="123">
        <f>'LOE Breakdown by Year'!M153</f>
        <v>0.1</v>
      </c>
      <c r="Q690" s="44">
        <f t="shared" si="434"/>
        <v>12</v>
      </c>
      <c r="R690" s="44">
        <f t="shared" si="440"/>
        <v>3472.875</v>
      </c>
      <c r="S690" s="123">
        <f>'LOE Breakdown by Year'!M199</f>
        <v>0.1</v>
      </c>
      <c r="T690" s="44">
        <f t="shared" si="435"/>
        <v>12</v>
      </c>
      <c r="U690" s="44">
        <f t="shared" si="441"/>
        <v>3646.5187500000002</v>
      </c>
      <c r="V690" s="123">
        <f>'LOE Breakdown by Year'!M245</f>
        <v>0.1</v>
      </c>
      <c r="W690" s="44">
        <f t="shared" si="436"/>
        <v>3</v>
      </c>
      <c r="X690" s="44">
        <f t="shared" si="442"/>
        <v>957.2111718750001</v>
      </c>
      <c r="Y690" s="44">
        <f t="shared" si="443"/>
        <v>16534.104921874998</v>
      </c>
      <c r="Z690" s="44">
        <v>0</v>
      </c>
      <c r="AA690" s="44">
        <f t="shared" si="444"/>
        <v>16534.104921874998</v>
      </c>
    </row>
    <row r="691" spans="1:27">
      <c r="A691" s="595" t="s">
        <v>1119</v>
      </c>
      <c r="B691" s="595">
        <v>70000</v>
      </c>
      <c r="C691" s="595" t="s">
        <v>747</v>
      </c>
      <c r="D691" s="8" t="str">
        <f t="shared" si="430"/>
        <v>Education Officer</v>
      </c>
      <c r="E691" s="123">
        <f>'LOE Breakdown by Year'!M16</f>
        <v>0.1</v>
      </c>
      <c r="F691" s="50" t="s">
        <v>100</v>
      </c>
      <c r="G691" s="44">
        <f t="shared" si="431"/>
        <v>6</v>
      </c>
      <c r="H691" s="44">
        <f t="shared" si="431"/>
        <v>1000</v>
      </c>
      <c r="I691" s="44">
        <f t="shared" si="437"/>
        <v>600</v>
      </c>
      <c r="J691" s="123">
        <f>'LOE Breakdown by Year'!M62</f>
        <v>0.1</v>
      </c>
      <c r="K691" s="44">
        <f t="shared" si="432"/>
        <v>12</v>
      </c>
      <c r="L691" s="44">
        <f t="shared" si="438"/>
        <v>1260</v>
      </c>
      <c r="M691" s="123">
        <f>'LOE Breakdown by Year'!M108</f>
        <v>0.1</v>
      </c>
      <c r="N691" s="44">
        <f t="shared" si="433"/>
        <v>12</v>
      </c>
      <c r="O691" s="44">
        <f t="shared" si="439"/>
        <v>1323</v>
      </c>
      <c r="P691" s="123">
        <f>'LOE Breakdown by Year'!M154</f>
        <v>0.1</v>
      </c>
      <c r="Q691" s="44">
        <f t="shared" si="434"/>
        <v>12</v>
      </c>
      <c r="R691" s="44">
        <f t="shared" si="440"/>
        <v>1389.15</v>
      </c>
      <c r="S691" s="123">
        <f>'LOE Breakdown by Year'!M200</f>
        <v>0.1</v>
      </c>
      <c r="T691" s="44">
        <f t="shared" si="435"/>
        <v>12</v>
      </c>
      <c r="U691" s="44">
        <f t="shared" si="441"/>
        <v>1458.6075000000001</v>
      </c>
      <c r="V691" s="123">
        <f>'LOE Breakdown by Year'!M246</f>
        <v>0.1</v>
      </c>
      <c r="W691" s="44">
        <f t="shared" si="436"/>
        <v>3</v>
      </c>
      <c r="X691" s="44">
        <f t="shared" si="442"/>
        <v>382.88446875000005</v>
      </c>
      <c r="Y691" s="44">
        <f t="shared" si="443"/>
        <v>6413.6419687500002</v>
      </c>
      <c r="Z691" s="44">
        <v>0</v>
      </c>
      <c r="AA691" s="44">
        <f t="shared" si="444"/>
        <v>6413.6419687500002</v>
      </c>
    </row>
    <row r="692" spans="1:27">
      <c r="A692" s="595" t="s">
        <v>1120</v>
      </c>
      <c r="B692" s="595">
        <v>70000</v>
      </c>
      <c r="C692" s="595" t="s">
        <v>747</v>
      </c>
      <c r="D692" s="8" t="str">
        <f t="shared" si="430"/>
        <v>Nutrition and Health Specialist</v>
      </c>
      <c r="E692" s="123">
        <f>'LOE Breakdown by Year'!M17</f>
        <v>0.05</v>
      </c>
      <c r="F692" s="50" t="s">
        <v>100</v>
      </c>
      <c r="G692" s="44">
        <f t="shared" si="431"/>
        <v>9</v>
      </c>
      <c r="H692" s="44">
        <f t="shared" si="431"/>
        <v>1500</v>
      </c>
      <c r="I692" s="44">
        <f t="shared" si="437"/>
        <v>675</v>
      </c>
      <c r="J692" s="123">
        <f>'LOE Breakdown by Year'!M63</f>
        <v>0.05</v>
      </c>
      <c r="K692" s="44">
        <f t="shared" si="432"/>
        <v>12</v>
      </c>
      <c r="L692" s="44">
        <f t="shared" si="438"/>
        <v>945</v>
      </c>
      <c r="M692" s="123">
        <f>'LOE Breakdown by Year'!M109</f>
        <v>0.05</v>
      </c>
      <c r="N692" s="44">
        <f t="shared" si="433"/>
        <v>12</v>
      </c>
      <c r="O692" s="44">
        <f t="shared" si="439"/>
        <v>992.25</v>
      </c>
      <c r="P692" s="123">
        <f>'LOE Breakdown by Year'!M155</f>
        <v>0.05</v>
      </c>
      <c r="Q692" s="44">
        <f t="shared" si="434"/>
        <v>12</v>
      </c>
      <c r="R692" s="44">
        <f t="shared" si="440"/>
        <v>1041.8625</v>
      </c>
      <c r="S692" s="123">
        <f>'LOE Breakdown by Year'!M201</f>
        <v>0.05</v>
      </c>
      <c r="T692" s="44">
        <f t="shared" si="435"/>
        <v>12</v>
      </c>
      <c r="U692" s="44">
        <f t="shared" si="441"/>
        <v>1093.9556250000001</v>
      </c>
      <c r="V692" s="123">
        <f>'LOE Breakdown by Year'!M247</f>
        <v>0.05</v>
      </c>
      <c r="W692" s="44">
        <f t="shared" si="436"/>
        <v>6</v>
      </c>
      <c r="X692" s="44">
        <f t="shared" si="442"/>
        <v>574.32670312500011</v>
      </c>
      <c r="Y692" s="44">
        <f t="shared" si="443"/>
        <v>5322.3948281249995</v>
      </c>
      <c r="Z692" s="44">
        <v>0</v>
      </c>
      <c r="AA692" s="44">
        <f t="shared" si="444"/>
        <v>5322.3948281249995</v>
      </c>
    </row>
    <row r="693" spans="1:27" hidden="1">
      <c r="A693" s="595" t="s">
        <v>1121</v>
      </c>
      <c r="B693" s="595">
        <v>70000</v>
      </c>
      <c r="C693" s="595" t="s">
        <v>747</v>
      </c>
      <c r="D693" s="8" t="str">
        <f t="shared" si="430"/>
        <v>Nutrition Officer - (2 Individuals)</v>
      </c>
      <c r="E693" s="123">
        <f>'LOE Breakdown by Year'!M18</f>
        <v>0</v>
      </c>
      <c r="F693" s="50" t="s">
        <v>100</v>
      </c>
      <c r="G693" s="44">
        <f t="shared" si="431"/>
        <v>6</v>
      </c>
      <c r="H693" s="44">
        <f t="shared" si="431"/>
        <v>1000</v>
      </c>
      <c r="I693" s="44">
        <f t="shared" si="437"/>
        <v>0</v>
      </c>
      <c r="J693" s="123">
        <f>'LOE Breakdown by Year'!M64</f>
        <v>0</v>
      </c>
      <c r="K693" s="44">
        <f t="shared" si="432"/>
        <v>24</v>
      </c>
      <c r="L693" s="44">
        <f t="shared" si="438"/>
        <v>0</v>
      </c>
      <c r="M693" s="123">
        <f>'LOE Breakdown by Year'!M110</f>
        <v>0</v>
      </c>
      <c r="N693" s="44">
        <f t="shared" si="433"/>
        <v>24</v>
      </c>
      <c r="O693" s="44">
        <f t="shared" si="439"/>
        <v>0</v>
      </c>
      <c r="P693" s="123">
        <f>'LOE Breakdown by Year'!M156</f>
        <v>0</v>
      </c>
      <c r="Q693" s="44">
        <f t="shared" si="434"/>
        <v>24</v>
      </c>
      <c r="R693" s="44">
        <f t="shared" si="440"/>
        <v>0</v>
      </c>
      <c r="S693" s="123">
        <f>'LOE Breakdown by Year'!M202</f>
        <v>0</v>
      </c>
      <c r="T693" s="44">
        <f t="shared" si="435"/>
        <v>24</v>
      </c>
      <c r="U693" s="44">
        <f t="shared" si="441"/>
        <v>0</v>
      </c>
      <c r="V693" s="123">
        <f>'LOE Breakdown by Year'!M248</f>
        <v>0</v>
      </c>
      <c r="W693" s="44">
        <f t="shared" si="436"/>
        <v>6</v>
      </c>
      <c r="X693" s="44">
        <f t="shared" si="442"/>
        <v>0</v>
      </c>
      <c r="Y693" s="44">
        <f t="shared" si="443"/>
        <v>0</v>
      </c>
      <c r="Z693" s="44">
        <v>0</v>
      </c>
      <c r="AA693" s="44">
        <f t="shared" si="444"/>
        <v>0</v>
      </c>
    </row>
    <row r="694" spans="1:27">
      <c r="A694" s="595" t="s">
        <v>1122</v>
      </c>
      <c r="B694" s="595">
        <v>70000</v>
      </c>
      <c r="C694" s="595" t="s">
        <v>747</v>
      </c>
      <c r="D694" s="8" t="str">
        <f t="shared" si="430"/>
        <v>School Feeding Specialist</v>
      </c>
      <c r="E694" s="123">
        <f>'LOE Breakdown by Year'!M19</f>
        <v>0.05</v>
      </c>
      <c r="F694" s="50" t="s">
        <v>100</v>
      </c>
      <c r="G694" s="44">
        <f t="shared" si="431"/>
        <v>9</v>
      </c>
      <c r="H694" s="44">
        <f t="shared" si="431"/>
        <v>1500</v>
      </c>
      <c r="I694" s="44">
        <f t="shared" si="437"/>
        <v>675</v>
      </c>
      <c r="J694" s="123">
        <f>'LOE Breakdown by Year'!M65</f>
        <v>0.05</v>
      </c>
      <c r="K694" s="44">
        <f t="shared" si="432"/>
        <v>12</v>
      </c>
      <c r="L694" s="44">
        <f t="shared" si="438"/>
        <v>945</v>
      </c>
      <c r="M694" s="123">
        <f>'LOE Breakdown by Year'!M111</f>
        <v>0.05</v>
      </c>
      <c r="N694" s="44">
        <f t="shared" si="433"/>
        <v>12</v>
      </c>
      <c r="O694" s="44">
        <f t="shared" si="439"/>
        <v>992.25</v>
      </c>
      <c r="P694" s="123">
        <f>'LOE Breakdown by Year'!M157</f>
        <v>0.05</v>
      </c>
      <c r="Q694" s="44">
        <f t="shared" si="434"/>
        <v>12</v>
      </c>
      <c r="R694" s="44">
        <f t="shared" si="440"/>
        <v>1041.8625</v>
      </c>
      <c r="S694" s="123">
        <f>'LOE Breakdown by Year'!M203</f>
        <v>0.05</v>
      </c>
      <c r="T694" s="44">
        <f t="shared" si="435"/>
        <v>6</v>
      </c>
      <c r="U694" s="44">
        <f t="shared" si="441"/>
        <v>546.97781250000003</v>
      </c>
      <c r="V694" s="123">
        <f>'LOE Breakdown by Year'!M249</f>
        <v>0.05</v>
      </c>
      <c r="W694" s="44">
        <f t="shared" si="436"/>
        <v>6</v>
      </c>
      <c r="X694" s="44">
        <f t="shared" si="442"/>
        <v>574.32670312500011</v>
      </c>
      <c r="Y694" s="44">
        <f t="shared" si="443"/>
        <v>4775.4170156250002</v>
      </c>
      <c r="Z694" s="44">
        <v>0</v>
      </c>
      <c r="AA694" s="44">
        <f t="shared" si="444"/>
        <v>4775.4170156250002</v>
      </c>
    </row>
    <row r="695" spans="1:27" hidden="1">
      <c r="A695" s="595" t="s">
        <v>1123</v>
      </c>
      <c r="B695" s="595">
        <v>70000</v>
      </c>
      <c r="C695" s="595" t="s">
        <v>747</v>
      </c>
      <c r="D695" s="8" t="str">
        <f t="shared" si="430"/>
        <v>Food Aid Monitors - (2 Individuals)</v>
      </c>
      <c r="E695" s="123">
        <f>'LOE Breakdown by Year'!M20</f>
        <v>0</v>
      </c>
      <c r="F695" s="50" t="s">
        <v>100</v>
      </c>
      <c r="G695" s="44">
        <f t="shared" si="431"/>
        <v>6</v>
      </c>
      <c r="H695" s="44">
        <f t="shared" si="431"/>
        <v>1000</v>
      </c>
      <c r="I695" s="44">
        <f t="shared" si="437"/>
        <v>0</v>
      </c>
      <c r="J695" s="123">
        <f>'LOE Breakdown by Year'!M66</f>
        <v>0</v>
      </c>
      <c r="K695" s="44">
        <f t="shared" si="432"/>
        <v>24</v>
      </c>
      <c r="L695" s="44">
        <f t="shared" si="438"/>
        <v>0</v>
      </c>
      <c r="M695" s="123">
        <f>'LOE Breakdown by Year'!M112</f>
        <v>0</v>
      </c>
      <c r="N695" s="44">
        <f t="shared" si="433"/>
        <v>24</v>
      </c>
      <c r="O695" s="44">
        <f t="shared" si="439"/>
        <v>0</v>
      </c>
      <c r="P695" s="123">
        <f>'LOE Breakdown by Year'!M158</f>
        <v>0</v>
      </c>
      <c r="Q695" s="44">
        <f t="shared" si="434"/>
        <v>24</v>
      </c>
      <c r="R695" s="44">
        <f t="shared" si="440"/>
        <v>0</v>
      </c>
      <c r="S695" s="123">
        <f>'LOE Breakdown by Year'!M204</f>
        <v>0</v>
      </c>
      <c r="T695" s="44">
        <f t="shared" si="435"/>
        <v>24</v>
      </c>
      <c r="U695" s="44">
        <f t="shared" si="441"/>
        <v>0</v>
      </c>
      <c r="V695" s="123">
        <f>'LOE Breakdown by Year'!M250</f>
        <v>0</v>
      </c>
      <c r="W695" s="44">
        <f t="shared" si="436"/>
        <v>12</v>
      </c>
      <c r="X695" s="44">
        <f t="shared" si="442"/>
        <v>0</v>
      </c>
      <c r="Y695" s="44">
        <f t="shared" si="443"/>
        <v>0</v>
      </c>
      <c r="Z695" s="44">
        <v>0</v>
      </c>
      <c r="AA695" s="44">
        <f t="shared" si="444"/>
        <v>0</v>
      </c>
    </row>
    <row r="696" spans="1:27" hidden="1">
      <c r="A696" s="595" t="s">
        <v>1124</v>
      </c>
      <c r="B696" s="595">
        <v>70000</v>
      </c>
      <c r="C696" s="595" t="s">
        <v>747</v>
      </c>
      <c r="D696" s="8" t="str">
        <f t="shared" si="430"/>
        <v>WASH Officer</v>
      </c>
      <c r="E696" s="123">
        <f>'LOE Breakdown by Year'!M21</f>
        <v>0</v>
      </c>
      <c r="F696" s="50" t="s">
        <v>100</v>
      </c>
      <c r="G696" s="44">
        <f t="shared" si="431"/>
        <v>6</v>
      </c>
      <c r="H696" s="44">
        <f t="shared" si="431"/>
        <v>1000</v>
      </c>
      <c r="I696" s="44">
        <f t="shared" si="437"/>
        <v>0</v>
      </c>
      <c r="J696" s="123">
        <f>'LOE Breakdown by Year'!M67</f>
        <v>0</v>
      </c>
      <c r="K696" s="44">
        <f t="shared" si="432"/>
        <v>12</v>
      </c>
      <c r="L696" s="44">
        <f t="shared" si="438"/>
        <v>0</v>
      </c>
      <c r="M696" s="123">
        <f>'LOE Breakdown by Year'!M113</f>
        <v>0</v>
      </c>
      <c r="N696" s="44">
        <f t="shared" si="433"/>
        <v>12</v>
      </c>
      <c r="O696" s="44">
        <f t="shared" si="439"/>
        <v>0</v>
      </c>
      <c r="P696" s="123">
        <f>'LOE Breakdown by Year'!M159</f>
        <v>0</v>
      </c>
      <c r="Q696" s="44">
        <f t="shared" si="434"/>
        <v>12</v>
      </c>
      <c r="R696" s="44">
        <f t="shared" si="440"/>
        <v>0</v>
      </c>
      <c r="S696" s="123">
        <f>'LOE Breakdown by Year'!M205</f>
        <v>0</v>
      </c>
      <c r="T696" s="44">
        <f t="shared" si="435"/>
        <v>12</v>
      </c>
      <c r="U696" s="44">
        <f t="shared" si="441"/>
        <v>0</v>
      </c>
      <c r="V696" s="123">
        <f>'LOE Breakdown by Year'!M251</f>
        <v>0</v>
      </c>
      <c r="W696" s="44">
        <f t="shared" si="436"/>
        <v>3</v>
      </c>
      <c r="X696" s="44">
        <f t="shared" si="442"/>
        <v>0</v>
      </c>
      <c r="Y696" s="44">
        <f t="shared" si="443"/>
        <v>0</v>
      </c>
      <c r="Z696" s="44">
        <v>0</v>
      </c>
      <c r="AA696" s="44">
        <f t="shared" si="444"/>
        <v>0</v>
      </c>
    </row>
    <row r="697" spans="1:27" hidden="1">
      <c r="A697" s="595" t="s">
        <v>1125</v>
      </c>
      <c r="B697" s="595">
        <v>70000</v>
      </c>
      <c r="C697" s="595" t="s">
        <v>747</v>
      </c>
      <c r="D697" s="8" t="str">
        <f t="shared" si="430"/>
        <v>Communications Specialist</v>
      </c>
      <c r="E697" s="123">
        <f>'LOE Breakdown by Year'!M22</f>
        <v>0</v>
      </c>
      <c r="F697" s="50" t="s">
        <v>100</v>
      </c>
      <c r="G697" s="44">
        <f t="shared" si="431"/>
        <v>8</v>
      </c>
      <c r="H697" s="44">
        <f t="shared" si="431"/>
        <v>1500</v>
      </c>
      <c r="I697" s="44">
        <f t="shared" si="437"/>
        <v>0</v>
      </c>
      <c r="J697" s="123">
        <f>'LOE Breakdown by Year'!M68</f>
        <v>0</v>
      </c>
      <c r="K697" s="44">
        <f t="shared" si="432"/>
        <v>12</v>
      </c>
      <c r="L697" s="44">
        <f t="shared" si="438"/>
        <v>0</v>
      </c>
      <c r="M697" s="123">
        <f>'LOE Breakdown by Year'!M114</f>
        <v>0</v>
      </c>
      <c r="N697" s="44">
        <f t="shared" si="433"/>
        <v>12</v>
      </c>
      <c r="O697" s="44">
        <f t="shared" si="439"/>
        <v>0</v>
      </c>
      <c r="P697" s="123">
        <f>'LOE Breakdown by Year'!M160</f>
        <v>0</v>
      </c>
      <c r="Q697" s="44">
        <f t="shared" si="434"/>
        <v>12</v>
      </c>
      <c r="R697" s="44">
        <f t="shared" si="440"/>
        <v>0</v>
      </c>
      <c r="S697" s="123">
        <f>'LOE Breakdown by Year'!M206</f>
        <v>0</v>
      </c>
      <c r="T697" s="44">
        <f t="shared" si="435"/>
        <v>12</v>
      </c>
      <c r="U697" s="44">
        <f t="shared" si="441"/>
        <v>0</v>
      </c>
      <c r="V697" s="123">
        <f>'LOE Breakdown by Year'!M252</f>
        <v>0</v>
      </c>
      <c r="W697" s="44">
        <f t="shared" si="436"/>
        <v>8</v>
      </c>
      <c r="X697" s="44">
        <f t="shared" si="442"/>
        <v>0</v>
      </c>
      <c r="Y697" s="44">
        <f t="shared" si="443"/>
        <v>0</v>
      </c>
      <c r="Z697" s="44">
        <v>0</v>
      </c>
      <c r="AA697" s="44">
        <f t="shared" si="444"/>
        <v>0</v>
      </c>
    </row>
    <row r="698" spans="1:27" hidden="1">
      <c r="A698" s="595" t="s">
        <v>1126</v>
      </c>
      <c r="B698" s="595">
        <v>70000</v>
      </c>
      <c r="C698" s="595" t="s">
        <v>747</v>
      </c>
      <c r="D698" s="8" t="str">
        <f t="shared" si="430"/>
        <v>Communications Officer</v>
      </c>
      <c r="E698" s="123">
        <f>'LOE Breakdown by Year'!M23</f>
        <v>0</v>
      </c>
      <c r="F698" s="50" t="s">
        <v>100</v>
      </c>
      <c r="G698" s="44">
        <f t="shared" si="431"/>
        <v>0</v>
      </c>
      <c r="H698" s="44">
        <f t="shared" si="431"/>
        <v>1000</v>
      </c>
      <c r="I698" s="44">
        <f t="shared" si="437"/>
        <v>0</v>
      </c>
      <c r="J698" s="123">
        <f>'LOE Breakdown by Year'!M69</f>
        <v>0</v>
      </c>
      <c r="K698" s="44">
        <f t="shared" si="432"/>
        <v>12</v>
      </c>
      <c r="L698" s="44">
        <f t="shared" si="438"/>
        <v>0</v>
      </c>
      <c r="M698" s="123">
        <f>'LOE Breakdown by Year'!M115</f>
        <v>0</v>
      </c>
      <c r="N698" s="44">
        <f t="shared" si="433"/>
        <v>12</v>
      </c>
      <c r="O698" s="44">
        <f t="shared" si="439"/>
        <v>0</v>
      </c>
      <c r="P698" s="123">
        <f>'LOE Breakdown by Year'!M161</f>
        <v>0</v>
      </c>
      <c r="Q698" s="44">
        <f t="shared" si="434"/>
        <v>12</v>
      </c>
      <c r="R698" s="44">
        <f t="shared" si="440"/>
        <v>0</v>
      </c>
      <c r="S698" s="123">
        <f>'LOE Breakdown by Year'!M207</f>
        <v>0</v>
      </c>
      <c r="T698" s="44">
        <f t="shared" si="435"/>
        <v>12</v>
      </c>
      <c r="U698" s="44">
        <f t="shared" si="441"/>
        <v>0</v>
      </c>
      <c r="V698" s="123">
        <f>'LOE Breakdown by Year'!M253</f>
        <v>0</v>
      </c>
      <c r="W698" s="44">
        <f t="shared" si="436"/>
        <v>0</v>
      </c>
      <c r="X698" s="44">
        <f t="shared" si="442"/>
        <v>0</v>
      </c>
      <c r="Y698" s="44">
        <f t="shared" si="443"/>
        <v>0</v>
      </c>
      <c r="Z698" s="44">
        <v>0</v>
      </c>
      <c r="AA698" s="44">
        <f t="shared" si="444"/>
        <v>0</v>
      </c>
    </row>
    <row r="699" spans="1:27">
      <c r="A699" s="595" t="s">
        <v>1127</v>
      </c>
      <c r="B699" s="595">
        <v>70000</v>
      </c>
      <c r="C699" s="595" t="s">
        <v>747</v>
      </c>
      <c r="D699" s="8" t="str">
        <f t="shared" si="430"/>
        <v>Education &amp; Community Engagement Specialist</v>
      </c>
      <c r="E699" s="123">
        <f>'LOE Breakdown by Year'!M24</f>
        <v>0.05</v>
      </c>
      <c r="F699" s="50" t="s">
        <v>100</v>
      </c>
      <c r="G699" s="44">
        <f t="shared" si="431"/>
        <v>6</v>
      </c>
      <c r="H699" s="44">
        <f t="shared" si="431"/>
        <v>1500</v>
      </c>
      <c r="I699" s="44">
        <f t="shared" si="437"/>
        <v>450</v>
      </c>
      <c r="J699" s="123">
        <f>'LOE Breakdown by Year'!M70</f>
        <v>0.05</v>
      </c>
      <c r="K699" s="44">
        <f t="shared" si="432"/>
        <v>12</v>
      </c>
      <c r="L699" s="44">
        <f t="shared" si="438"/>
        <v>945</v>
      </c>
      <c r="M699" s="123">
        <f>'LOE Breakdown by Year'!M116</f>
        <v>0.05</v>
      </c>
      <c r="N699" s="44">
        <f t="shared" si="433"/>
        <v>12</v>
      </c>
      <c r="O699" s="44">
        <f t="shared" si="439"/>
        <v>992.25</v>
      </c>
      <c r="P699" s="123">
        <f>'LOE Breakdown by Year'!M162</f>
        <v>0.05</v>
      </c>
      <c r="Q699" s="44">
        <f t="shared" si="434"/>
        <v>12</v>
      </c>
      <c r="R699" s="44">
        <f t="shared" si="440"/>
        <v>1041.8625</v>
      </c>
      <c r="S699" s="123">
        <f>'LOE Breakdown by Year'!M208</f>
        <v>0.05</v>
      </c>
      <c r="T699" s="44">
        <f t="shared" si="435"/>
        <v>12</v>
      </c>
      <c r="U699" s="44">
        <f t="shared" si="441"/>
        <v>1093.9556250000001</v>
      </c>
      <c r="V699" s="123">
        <f>'LOE Breakdown by Year'!M254</f>
        <v>0.05</v>
      </c>
      <c r="W699" s="44">
        <f t="shared" si="436"/>
        <v>8</v>
      </c>
      <c r="X699" s="44">
        <f t="shared" si="442"/>
        <v>765.76893750000011</v>
      </c>
      <c r="Y699" s="44">
        <f t="shared" si="443"/>
        <v>5288.8370624999998</v>
      </c>
      <c r="Z699" s="44">
        <v>0</v>
      </c>
      <c r="AA699" s="44">
        <f t="shared" si="444"/>
        <v>5288.8370624999998</v>
      </c>
    </row>
    <row r="700" spans="1:27">
      <c r="A700" s="595" t="s">
        <v>1128</v>
      </c>
      <c r="B700" s="595">
        <v>70000</v>
      </c>
      <c r="C700" s="595" t="s">
        <v>747</v>
      </c>
      <c r="D700" s="8" t="str">
        <f t="shared" si="430"/>
        <v>Education &amp; Community Engagement Officer</v>
      </c>
      <c r="E700" s="123">
        <f>'LOE Breakdown by Year'!M25</f>
        <v>0.05</v>
      </c>
      <c r="F700" s="50" t="s">
        <v>100</v>
      </c>
      <c r="G700" s="44">
        <f t="shared" si="431"/>
        <v>3</v>
      </c>
      <c r="H700" s="44">
        <f t="shared" si="431"/>
        <v>1000</v>
      </c>
      <c r="I700" s="44">
        <f t="shared" si="437"/>
        <v>150</v>
      </c>
      <c r="J700" s="123">
        <f>'LOE Breakdown by Year'!M71</f>
        <v>0.05</v>
      </c>
      <c r="K700" s="44">
        <f t="shared" si="432"/>
        <v>12</v>
      </c>
      <c r="L700" s="44">
        <f t="shared" si="438"/>
        <v>630</v>
      </c>
      <c r="M700" s="123">
        <f>'LOE Breakdown by Year'!M117</f>
        <v>0.05</v>
      </c>
      <c r="N700" s="44">
        <f t="shared" si="433"/>
        <v>12</v>
      </c>
      <c r="O700" s="44">
        <f t="shared" si="439"/>
        <v>661.5</v>
      </c>
      <c r="P700" s="123">
        <f>'LOE Breakdown by Year'!M163</f>
        <v>0.05</v>
      </c>
      <c r="Q700" s="44">
        <f t="shared" si="434"/>
        <v>12</v>
      </c>
      <c r="R700" s="44">
        <f t="shared" si="440"/>
        <v>694.57500000000005</v>
      </c>
      <c r="S700" s="123">
        <f>'LOE Breakdown by Year'!M209</f>
        <v>0.05</v>
      </c>
      <c r="T700" s="44">
        <f t="shared" si="435"/>
        <v>12</v>
      </c>
      <c r="U700" s="44">
        <f t="shared" si="441"/>
        <v>729.30375000000004</v>
      </c>
      <c r="V700" s="123">
        <f>'LOE Breakdown by Year'!M255</f>
        <v>0.05</v>
      </c>
      <c r="W700" s="44">
        <f t="shared" si="436"/>
        <v>0</v>
      </c>
      <c r="X700" s="44">
        <f t="shared" si="442"/>
        <v>0</v>
      </c>
      <c r="Y700" s="44">
        <f t="shared" si="443"/>
        <v>2865.3787499999999</v>
      </c>
      <c r="Z700" s="44">
        <v>0</v>
      </c>
      <c r="AA700" s="44">
        <f t="shared" si="444"/>
        <v>2865.3787499999999</v>
      </c>
    </row>
    <row r="701" spans="1:27">
      <c r="A701" s="595" t="s">
        <v>1129</v>
      </c>
      <c r="B701" s="595">
        <v>70000</v>
      </c>
      <c r="C701" s="595" t="s">
        <v>747</v>
      </c>
      <c r="D701" s="8" t="str">
        <f t="shared" si="430"/>
        <v>Private Sector Specialist</v>
      </c>
      <c r="E701" s="123">
        <f>'LOE Breakdown by Year'!M26</f>
        <v>0.1</v>
      </c>
      <c r="F701" s="50" t="s">
        <v>100</v>
      </c>
      <c r="G701" s="44">
        <f t="shared" si="431"/>
        <v>9</v>
      </c>
      <c r="H701" s="44">
        <f t="shared" si="431"/>
        <v>2000</v>
      </c>
      <c r="I701" s="44">
        <f t="shared" si="437"/>
        <v>1800</v>
      </c>
      <c r="J701" s="123">
        <f>'LOE Breakdown by Year'!M72</f>
        <v>0.1</v>
      </c>
      <c r="K701" s="44">
        <f t="shared" si="432"/>
        <v>12</v>
      </c>
      <c r="L701" s="44">
        <f t="shared" si="438"/>
        <v>2520</v>
      </c>
      <c r="M701" s="123">
        <f>'LOE Breakdown by Year'!M118</f>
        <v>0.1</v>
      </c>
      <c r="N701" s="44">
        <f t="shared" si="433"/>
        <v>12</v>
      </c>
      <c r="O701" s="44">
        <f t="shared" si="439"/>
        <v>2646</v>
      </c>
      <c r="P701" s="123">
        <f>'LOE Breakdown by Year'!M164</f>
        <v>0.1</v>
      </c>
      <c r="Q701" s="44">
        <f t="shared" si="434"/>
        <v>12</v>
      </c>
      <c r="R701" s="44">
        <f t="shared" si="440"/>
        <v>2778.3</v>
      </c>
      <c r="S701" s="123">
        <f>'LOE Breakdown by Year'!M210</f>
        <v>0.1</v>
      </c>
      <c r="T701" s="44">
        <f t="shared" si="435"/>
        <v>12</v>
      </c>
      <c r="U701" s="44">
        <f t="shared" si="441"/>
        <v>2917.2150000000001</v>
      </c>
      <c r="V701" s="123">
        <f>'LOE Breakdown by Year'!M256</f>
        <v>0.1</v>
      </c>
      <c r="W701" s="44">
        <f t="shared" si="436"/>
        <v>6</v>
      </c>
      <c r="X701" s="44">
        <f t="shared" si="442"/>
        <v>1531.5378750000002</v>
      </c>
      <c r="Y701" s="44">
        <f t="shared" si="443"/>
        <v>14193.052874999999</v>
      </c>
      <c r="Z701" s="44">
        <v>0</v>
      </c>
      <c r="AA701" s="44">
        <f t="shared" si="444"/>
        <v>14193.052874999999</v>
      </c>
    </row>
    <row r="702" spans="1:27" hidden="1">
      <c r="A702" s="595" t="s">
        <v>1130</v>
      </c>
      <c r="B702" s="595">
        <v>70000</v>
      </c>
      <c r="C702" s="595" t="s">
        <v>747</v>
      </c>
      <c r="D702" s="8" t="str">
        <f t="shared" si="430"/>
        <v xml:space="preserve">Key Personnel: M&amp;E Director </v>
      </c>
      <c r="E702" s="123">
        <f>'LOE Breakdown by Year'!M27</f>
        <v>0</v>
      </c>
      <c r="F702" s="50" t="s">
        <v>100</v>
      </c>
      <c r="G702" s="44">
        <f t="shared" si="431"/>
        <v>11</v>
      </c>
      <c r="H702" s="44">
        <f t="shared" si="431"/>
        <v>4583.333333333333</v>
      </c>
      <c r="I702" s="44">
        <f t="shared" si="437"/>
        <v>0</v>
      </c>
      <c r="J702" s="123">
        <f>'LOE Breakdown by Year'!M73</f>
        <v>0</v>
      </c>
      <c r="K702" s="44">
        <f t="shared" si="432"/>
        <v>12</v>
      </c>
      <c r="L702" s="44">
        <f t="shared" si="438"/>
        <v>0</v>
      </c>
      <c r="M702" s="123">
        <f>'LOE Breakdown by Year'!M119</f>
        <v>0</v>
      </c>
      <c r="N702" s="44">
        <f t="shared" si="433"/>
        <v>12</v>
      </c>
      <c r="O702" s="44">
        <f t="shared" si="439"/>
        <v>0</v>
      </c>
      <c r="P702" s="123">
        <f>'LOE Breakdown by Year'!M165</f>
        <v>0</v>
      </c>
      <c r="Q702" s="44">
        <f t="shared" si="434"/>
        <v>12</v>
      </c>
      <c r="R702" s="44">
        <f t="shared" si="440"/>
        <v>0</v>
      </c>
      <c r="S702" s="123">
        <f>'LOE Breakdown by Year'!M211</f>
        <v>0</v>
      </c>
      <c r="T702" s="44">
        <f t="shared" si="435"/>
        <v>12</v>
      </c>
      <c r="U702" s="44">
        <f t="shared" si="441"/>
        <v>0</v>
      </c>
      <c r="V702" s="123">
        <f>'LOE Breakdown by Year'!M257</f>
        <v>0</v>
      </c>
      <c r="W702" s="44">
        <f t="shared" si="436"/>
        <v>12</v>
      </c>
      <c r="X702" s="44">
        <f t="shared" si="442"/>
        <v>0</v>
      </c>
      <c r="Y702" s="44">
        <f t="shared" si="443"/>
        <v>0</v>
      </c>
      <c r="Z702" s="44">
        <v>0</v>
      </c>
      <c r="AA702" s="44">
        <f t="shared" si="444"/>
        <v>0</v>
      </c>
    </row>
    <row r="703" spans="1:27" hidden="1">
      <c r="A703" s="595" t="s">
        <v>1131</v>
      </c>
      <c r="B703" s="595">
        <v>70000</v>
      </c>
      <c r="C703" s="595" t="s">
        <v>747</v>
      </c>
      <c r="D703" s="8" t="str">
        <f t="shared" si="430"/>
        <v>M&amp;E Specialist</v>
      </c>
      <c r="E703" s="123">
        <f>'LOE Breakdown by Year'!M28</f>
        <v>0</v>
      </c>
      <c r="F703" s="50" t="s">
        <v>100</v>
      </c>
      <c r="G703" s="44">
        <f t="shared" si="431"/>
        <v>6</v>
      </c>
      <c r="H703" s="44">
        <f t="shared" si="431"/>
        <v>2000</v>
      </c>
      <c r="I703" s="44">
        <f t="shared" si="437"/>
        <v>0</v>
      </c>
      <c r="J703" s="123">
        <f>'LOE Breakdown by Year'!M74</f>
        <v>0</v>
      </c>
      <c r="K703" s="44">
        <f t="shared" si="432"/>
        <v>12</v>
      </c>
      <c r="L703" s="44">
        <f t="shared" si="438"/>
        <v>0</v>
      </c>
      <c r="M703" s="123">
        <f>'LOE Breakdown by Year'!M120</f>
        <v>0</v>
      </c>
      <c r="N703" s="44">
        <f t="shared" si="433"/>
        <v>12</v>
      </c>
      <c r="O703" s="44">
        <f t="shared" si="439"/>
        <v>0</v>
      </c>
      <c r="P703" s="123">
        <f>'LOE Breakdown by Year'!M166</f>
        <v>0</v>
      </c>
      <c r="Q703" s="44">
        <f t="shared" si="434"/>
        <v>12</v>
      </c>
      <c r="R703" s="44">
        <f t="shared" si="440"/>
        <v>0</v>
      </c>
      <c r="S703" s="123">
        <f>'LOE Breakdown by Year'!M212</f>
        <v>0</v>
      </c>
      <c r="T703" s="44">
        <f t="shared" si="435"/>
        <v>12</v>
      </c>
      <c r="U703" s="44">
        <f t="shared" si="441"/>
        <v>0</v>
      </c>
      <c r="V703" s="123">
        <f>'LOE Breakdown by Year'!M258</f>
        <v>0</v>
      </c>
      <c r="W703" s="44">
        <f t="shared" si="436"/>
        <v>11</v>
      </c>
      <c r="X703" s="44">
        <f t="shared" si="442"/>
        <v>0</v>
      </c>
      <c r="Y703" s="44">
        <f t="shared" si="443"/>
        <v>0</v>
      </c>
      <c r="Z703" s="44">
        <v>0</v>
      </c>
      <c r="AA703" s="44">
        <f t="shared" si="444"/>
        <v>0</v>
      </c>
    </row>
    <row r="704" spans="1:27" hidden="1">
      <c r="A704" s="595" t="s">
        <v>1132</v>
      </c>
      <c r="B704" s="595">
        <v>70000</v>
      </c>
      <c r="C704" s="595" t="s">
        <v>747</v>
      </c>
      <c r="D704" s="8" t="str">
        <f t="shared" si="430"/>
        <v>M&amp;E Officer</v>
      </c>
      <c r="E704" s="123">
        <f>'LOE Breakdown by Year'!M29</f>
        <v>0</v>
      </c>
      <c r="F704" s="50" t="s">
        <v>100</v>
      </c>
      <c r="G704" s="44">
        <f t="shared" si="431"/>
        <v>2</v>
      </c>
      <c r="H704" s="44">
        <f t="shared" si="431"/>
        <v>1250</v>
      </c>
      <c r="I704" s="44">
        <f t="shared" si="437"/>
        <v>0</v>
      </c>
      <c r="J704" s="123">
        <f>'LOE Breakdown by Year'!M75</f>
        <v>0</v>
      </c>
      <c r="K704" s="44">
        <f t="shared" si="432"/>
        <v>12</v>
      </c>
      <c r="L704" s="44">
        <f t="shared" si="438"/>
        <v>0</v>
      </c>
      <c r="M704" s="123">
        <f>'LOE Breakdown by Year'!M121</f>
        <v>0</v>
      </c>
      <c r="N704" s="44">
        <f t="shared" si="433"/>
        <v>12</v>
      </c>
      <c r="O704" s="44">
        <f t="shared" si="439"/>
        <v>0</v>
      </c>
      <c r="P704" s="123">
        <f>'LOE Breakdown by Year'!M167</f>
        <v>0</v>
      </c>
      <c r="Q704" s="44">
        <f t="shared" si="434"/>
        <v>12</v>
      </c>
      <c r="R704" s="44">
        <f t="shared" si="440"/>
        <v>0</v>
      </c>
      <c r="S704" s="123">
        <f>'LOE Breakdown by Year'!M213</f>
        <v>0</v>
      </c>
      <c r="T704" s="44">
        <f t="shared" si="435"/>
        <v>12</v>
      </c>
      <c r="U704" s="44">
        <f t="shared" si="441"/>
        <v>0</v>
      </c>
      <c r="V704" s="123">
        <f>'LOE Breakdown by Year'!M259</f>
        <v>0</v>
      </c>
      <c r="W704" s="44">
        <f t="shared" si="436"/>
        <v>3</v>
      </c>
      <c r="X704" s="44">
        <f t="shared" si="442"/>
        <v>0</v>
      </c>
      <c r="Y704" s="44">
        <f t="shared" si="443"/>
        <v>0</v>
      </c>
      <c r="Z704" s="44">
        <v>0</v>
      </c>
      <c r="AA704" s="44">
        <f t="shared" si="444"/>
        <v>0</v>
      </c>
    </row>
    <row r="705" spans="1:27" hidden="1">
      <c r="A705" s="595" t="s">
        <v>1133</v>
      </c>
      <c r="B705" s="595">
        <v>70000</v>
      </c>
      <c r="C705" s="595" t="s">
        <v>747</v>
      </c>
      <c r="D705" s="8" t="str">
        <f t="shared" si="430"/>
        <v>Supply Chain Manager</v>
      </c>
      <c r="E705" s="123">
        <f>'LOE Breakdown by Year'!M30</f>
        <v>0</v>
      </c>
      <c r="F705" s="50" t="s">
        <v>100</v>
      </c>
      <c r="G705" s="44">
        <f t="shared" si="431"/>
        <v>11</v>
      </c>
      <c r="H705" s="44">
        <f t="shared" si="431"/>
        <v>5000</v>
      </c>
      <c r="I705" s="44">
        <f t="shared" si="437"/>
        <v>0</v>
      </c>
      <c r="J705" s="123">
        <f>'LOE Breakdown by Year'!M76</f>
        <v>0</v>
      </c>
      <c r="K705" s="44">
        <f t="shared" si="432"/>
        <v>12</v>
      </c>
      <c r="L705" s="44">
        <f t="shared" si="438"/>
        <v>0</v>
      </c>
      <c r="M705" s="123">
        <f>'LOE Breakdown by Year'!M122</f>
        <v>0</v>
      </c>
      <c r="N705" s="44">
        <f t="shared" si="433"/>
        <v>12</v>
      </c>
      <c r="O705" s="44">
        <f t="shared" si="439"/>
        <v>0</v>
      </c>
      <c r="P705" s="123">
        <f>'LOE Breakdown by Year'!M168</f>
        <v>0</v>
      </c>
      <c r="Q705" s="44">
        <f t="shared" si="434"/>
        <v>12</v>
      </c>
      <c r="R705" s="44">
        <f t="shared" si="440"/>
        <v>0</v>
      </c>
      <c r="S705" s="123">
        <f>'LOE Breakdown by Year'!M214</f>
        <v>0</v>
      </c>
      <c r="T705" s="44">
        <f t="shared" si="435"/>
        <v>12</v>
      </c>
      <c r="U705" s="44">
        <f t="shared" si="441"/>
        <v>0</v>
      </c>
      <c r="V705" s="123">
        <f>'LOE Breakdown by Year'!M260</f>
        <v>0</v>
      </c>
      <c r="W705" s="44">
        <f t="shared" si="436"/>
        <v>8</v>
      </c>
      <c r="X705" s="44">
        <f t="shared" si="442"/>
        <v>0</v>
      </c>
      <c r="Y705" s="44">
        <f t="shared" si="443"/>
        <v>0</v>
      </c>
      <c r="Z705" s="44">
        <v>0</v>
      </c>
      <c r="AA705" s="44">
        <f t="shared" si="444"/>
        <v>0</v>
      </c>
    </row>
    <row r="706" spans="1:27" hidden="1">
      <c r="A706" s="595" t="s">
        <v>1134</v>
      </c>
      <c r="B706" s="595">
        <v>70000</v>
      </c>
      <c r="C706" s="595" t="s">
        <v>747</v>
      </c>
      <c r="D706" s="8" t="str">
        <f t="shared" si="430"/>
        <v>In-Country Logistics Specialist</v>
      </c>
      <c r="E706" s="123">
        <f>'LOE Breakdown by Year'!M31</f>
        <v>0</v>
      </c>
      <c r="F706" s="50" t="s">
        <v>100</v>
      </c>
      <c r="G706" s="44">
        <f t="shared" ref="G706:H719" si="445">G32</f>
        <v>9</v>
      </c>
      <c r="H706" s="44">
        <f t="shared" si="445"/>
        <v>2000</v>
      </c>
      <c r="I706" s="44">
        <f t="shared" si="437"/>
        <v>0</v>
      </c>
      <c r="J706" s="123">
        <f>'LOE Breakdown by Year'!M77</f>
        <v>0</v>
      </c>
      <c r="K706" s="44">
        <f t="shared" si="432"/>
        <v>12</v>
      </c>
      <c r="L706" s="44">
        <f t="shared" si="438"/>
        <v>0</v>
      </c>
      <c r="M706" s="123">
        <f>'LOE Breakdown by Year'!M123</f>
        <v>0</v>
      </c>
      <c r="N706" s="44">
        <f t="shared" si="433"/>
        <v>12</v>
      </c>
      <c r="O706" s="44">
        <f t="shared" si="439"/>
        <v>0</v>
      </c>
      <c r="P706" s="123">
        <f>'LOE Breakdown by Year'!M169</f>
        <v>0</v>
      </c>
      <c r="Q706" s="44">
        <f t="shared" si="434"/>
        <v>12</v>
      </c>
      <c r="R706" s="44">
        <f t="shared" si="440"/>
        <v>0</v>
      </c>
      <c r="S706" s="123">
        <f>'LOE Breakdown by Year'!M215</f>
        <v>0</v>
      </c>
      <c r="T706" s="44">
        <f t="shared" si="435"/>
        <v>12</v>
      </c>
      <c r="U706" s="44">
        <f t="shared" si="441"/>
        <v>0</v>
      </c>
      <c r="V706" s="123">
        <f>'LOE Breakdown by Year'!M261</f>
        <v>0</v>
      </c>
      <c r="W706" s="44">
        <f t="shared" si="436"/>
        <v>8</v>
      </c>
      <c r="X706" s="44">
        <f t="shared" si="442"/>
        <v>0</v>
      </c>
      <c r="Y706" s="44">
        <f t="shared" si="443"/>
        <v>0</v>
      </c>
      <c r="Z706" s="44">
        <v>0</v>
      </c>
      <c r="AA706" s="44">
        <f t="shared" si="444"/>
        <v>0</v>
      </c>
    </row>
    <row r="707" spans="1:27" hidden="1">
      <c r="A707" s="595" t="s">
        <v>1135</v>
      </c>
      <c r="B707" s="595">
        <v>70000</v>
      </c>
      <c r="C707" s="595" t="s">
        <v>747</v>
      </c>
      <c r="D707" s="8" t="str">
        <f t="shared" si="430"/>
        <v>US Commodity Logistics Specialist</v>
      </c>
      <c r="E707" s="123">
        <f>'LOE Breakdown by Year'!M32</f>
        <v>0</v>
      </c>
      <c r="F707" s="50" t="s">
        <v>100</v>
      </c>
      <c r="G707" s="44">
        <f t="shared" si="445"/>
        <v>9</v>
      </c>
      <c r="H707" s="44">
        <f t="shared" si="445"/>
        <v>2000</v>
      </c>
      <c r="I707" s="44">
        <f t="shared" si="437"/>
        <v>0</v>
      </c>
      <c r="J707" s="123">
        <f>'LOE Breakdown by Year'!M78</f>
        <v>0</v>
      </c>
      <c r="K707" s="44">
        <f t="shared" si="432"/>
        <v>12</v>
      </c>
      <c r="L707" s="44">
        <f t="shared" si="438"/>
        <v>0</v>
      </c>
      <c r="M707" s="123">
        <f>'LOE Breakdown by Year'!M124</f>
        <v>0</v>
      </c>
      <c r="N707" s="44">
        <f t="shared" si="433"/>
        <v>12</v>
      </c>
      <c r="O707" s="44">
        <f t="shared" si="439"/>
        <v>0</v>
      </c>
      <c r="P707" s="123">
        <f>'LOE Breakdown by Year'!M170</f>
        <v>0</v>
      </c>
      <c r="Q707" s="44">
        <f t="shared" si="434"/>
        <v>12</v>
      </c>
      <c r="R707" s="44">
        <f t="shared" si="440"/>
        <v>0</v>
      </c>
      <c r="S707" s="123">
        <f>'LOE Breakdown by Year'!M216</f>
        <v>0</v>
      </c>
      <c r="T707" s="44">
        <f t="shared" si="435"/>
        <v>12</v>
      </c>
      <c r="U707" s="44">
        <f t="shared" si="441"/>
        <v>0</v>
      </c>
      <c r="V707" s="123">
        <f>'LOE Breakdown by Year'!M262</f>
        <v>0</v>
      </c>
      <c r="W707" s="44">
        <f t="shared" si="436"/>
        <v>8</v>
      </c>
      <c r="X707" s="44">
        <f t="shared" si="442"/>
        <v>0</v>
      </c>
      <c r="Y707" s="44">
        <f t="shared" si="443"/>
        <v>0</v>
      </c>
      <c r="Z707" s="44">
        <v>0</v>
      </c>
      <c r="AA707" s="44">
        <f t="shared" si="444"/>
        <v>0</v>
      </c>
    </row>
    <row r="708" spans="1:27" hidden="1">
      <c r="A708" s="595" t="s">
        <v>1136</v>
      </c>
      <c r="B708" s="595">
        <v>70000</v>
      </c>
      <c r="C708" s="595" t="s">
        <v>747</v>
      </c>
      <c r="D708" s="8" t="str">
        <f t="shared" si="430"/>
        <v>Warehouse Manager</v>
      </c>
      <c r="E708" s="123">
        <f>'LOE Breakdown by Year'!M33</f>
        <v>0</v>
      </c>
      <c r="F708" s="50" t="s">
        <v>100</v>
      </c>
      <c r="G708" s="44">
        <f t="shared" si="445"/>
        <v>8</v>
      </c>
      <c r="H708" s="44">
        <f t="shared" si="445"/>
        <v>1250</v>
      </c>
      <c r="I708" s="44">
        <f t="shared" si="437"/>
        <v>0</v>
      </c>
      <c r="J708" s="123">
        <f>'LOE Breakdown by Year'!M79</f>
        <v>0</v>
      </c>
      <c r="K708" s="44">
        <f t="shared" si="432"/>
        <v>12</v>
      </c>
      <c r="L708" s="44">
        <f t="shared" si="438"/>
        <v>0</v>
      </c>
      <c r="M708" s="123">
        <f>'LOE Breakdown by Year'!M125</f>
        <v>0</v>
      </c>
      <c r="N708" s="44">
        <f t="shared" si="433"/>
        <v>12</v>
      </c>
      <c r="O708" s="44">
        <f t="shared" si="439"/>
        <v>0</v>
      </c>
      <c r="P708" s="123">
        <f>'LOE Breakdown by Year'!M171</f>
        <v>0</v>
      </c>
      <c r="Q708" s="44">
        <f t="shared" si="434"/>
        <v>12</v>
      </c>
      <c r="R708" s="44">
        <f t="shared" si="440"/>
        <v>0</v>
      </c>
      <c r="S708" s="123">
        <f>'LOE Breakdown by Year'!M217</f>
        <v>0</v>
      </c>
      <c r="T708" s="44">
        <f t="shared" si="435"/>
        <v>12</v>
      </c>
      <c r="U708" s="44">
        <f t="shared" si="441"/>
        <v>0</v>
      </c>
      <c r="V708" s="123">
        <f>'LOE Breakdown by Year'!M263</f>
        <v>0</v>
      </c>
      <c r="W708" s="44">
        <f t="shared" si="436"/>
        <v>8</v>
      </c>
      <c r="X708" s="44">
        <f t="shared" si="442"/>
        <v>0</v>
      </c>
      <c r="Y708" s="44">
        <f t="shared" si="443"/>
        <v>0</v>
      </c>
      <c r="Z708" s="44">
        <v>0</v>
      </c>
      <c r="AA708" s="44">
        <f t="shared" si="444"/>
        <v>0</v>
      </c>
    </row>
    <row r="709" spans="1:27" hidden="1">
      <c r="A709" s="595" t="s">
        <v>1137</v>
      </c>
      <c r="B709" s="595">
        <v>70000</v>
      </c>
      <c r="C709" s="595" t="s">
        <v>747</v>
      </c>
      <c r="D709" s="8" t="str">
        <f t="shared" si="430"/>
        <v>Warehouse Officer - (2 Individuals)</v>
      </c>
      <c r="E709" s="123">
        <f>'LOE Breakdown by Year'!M34</f>
        <v>0</v>
      </c>
      <c r="F709" s="50" t="s">
        <v>100</v>
      </c>
      <c r="G709" s="44">
        <f t="shared" si="445"/>
        <v>8</v>
      </c>
      <c r="H709" s="44">
        <f t="shared" si="445"/>
        <v>1000</v>
      </c>
      <c r="I709" s="44">
        <f t="shared" si="437"/>
        <v>0</v>
      </c>
      <c r="J709" s="123">
        <f>'LOE Breakdown by Year'!M80</f>
        <v>0</v>
      </c>
      <c r="K709" s="44">
        <f t="shared" si="432"/>
        <v>24</v>
      </c>
      <c r="L709" s="44">
        <f t="shared" si="438"/>
        <v>0</v>
      </c>
      <c r="M709" s="123">
        <f>'LOE Breakdown by Year'!M126</f>
        <v>0</v>
      </c>
      <c r="N709" s="44">
        <f t="shared" si="433"/>
        <v>24</v>
      </c>
      <c r="O709" s="44">
        <f t="shared" si="439"/>
        <v>0</v>
      </c>
      <c r="P709" s="123">
        <f>'LOE Breakdown by Year'!M172</f>
        <v>0</v>
      </c>
      <c r="Q709" s="44">
        <f t="shared" si="434"/>
        <v>24</v>
      </c>
      <c r="R709" s="44">
        <f t="shared" si="440"/>
        <v>0</v>
      </c>
      <c r="S709" s="123">
        <f>'LOE Breakdown by Year'!M218</f>
        <v>0</v>
      </c>
      <c r="T709" s="44">
        <f t="shared" si="435"/>
        <v>24</v>
      </c>
      <c r="U709" s="44">
        <f t="shared" si="441"/>
        <v>0</v>
      </c>
      <c r="V709" s="123">
        <f>'LOE Breakdown by Year'!M264</f>
        <v>0</v>
      </c>
      <c r="W709" s="44">
        <f t="shared" si="436"/>
        <v>8</v>
      </c>
      <c r="X709" s="44">
        <f t="shared" si="442"/>
        <v>0</v>
      </c>
      <c r="Y709" s="44">
        <f t="shared" si="443"/>
        <v>0</v>
      </c>
      <c r="Z709" s="44">
        <v>0</v>
      </c>
      <c r="AA709" s="44">
        <f t="shared" si="444"/>
        <v>0</v>
      </c>
    </row>
    <row r="710" spans="1:27" hidden="1">
      <c r="A710" s="595" t="s">
        <v>1138</v>
      </c>
      <c r="B710" s="595">
        <v>70000</v>
      </c>
      <c r="C710" s="595" t="s">
        <v>747</v>
      </c>
      <c r="D710" s="8" t="str">
        <f t="shared" si="430"/>
        <v xml:space="preserve">LRP Technical Specialist </v>
      </c>
      <c r="E710" s="123">
        <f>'LOE Breakdown by Year'!M35</f>
        <v>0</v>
      </c>
      <c r="F710" s="50" t="s">
        <v>100</v>
      </c>
      <c r="G710" s="44">
        <f t="shared" si="445"/>
        <v>8</v>
      </c>
      <c r="H710" s="44">
        <f t="shared" si="445"/>
        <v>1500</v>
      </c>
      <c r="I710" s="44">
        <f t="shared" si="437"/>
        <v>0</v>
      </c>
      <c r="J710" s="123">
        <f>'LOE Breakdown by Year'!M81</f>
        <v>0</v>
      </c>
      <c r="K710" s="44">
        <f t="shared" si="432"/>
        <v>12</v>
      </c>
      <c r="L710" s="44">
        <f t="shared" si="438"/>
        <v>0</v>
      </c>
      <c r="M710" s="123">
        <f>'LOE Breakdown by Year'!M127</f>
        <v>0</v>
      </c>
      <c r="N710" s="44">
        <f t="shared" si="433"/>
        <v>12</v>
      </c>
      <c r="O710" s="44">
        <f t="shared" si="439"/>
        <v>0</v>
      </c>
      <c r="P710" s="123">
        <f>'LOE Breakdown by Year'!M173</f>
        <v>0</v>
      </c>
      <c r="Q710" s="44">
        <f t="shared" si="434"/>
        <v>12</v>
      </c>
      <c r="R710" s="44">
        <f t="shared" si="440"/>
        <v>0</v>
      </c>
      <c r="S710" s="123">
        <f>'LOE Breakdown by Year'!M219</f>
        <v>0</v>
      </c>
      <c r="T710" s="44">
        <f t="shared" si="435"/>
        <v>12</v>
      </c>
      <c r="U710" s="44">
        <f t="shared" si="441"/>
        <v>0</v>
      </c>
      <c r="V710" s="123">
        <f>'LOE Breakdown by Year'!M265</f>
        <v>0</v>
      </c>
      <c r="W710" s="44">
        <f t="shared" si="436"/>
        <v>0</v>
      </c>
      <c r="X710" s="44">
        <f t="shared" si="442"/>
        <v>0</v>
      </c>
      <c r="Y710" s="44">
        <f t="shared" si="443"/>
        <v>0</v>
      </c>
      <c r="Z710" s="44">
        <v>0</v>
      </c>
      <c r="AA710" s="44">
        <f t="shared" si="444"/>
        <v>0</v>
      </c>
    </row>
    <row r="711" spans="1:27" hidden="1">
      <c r="A711" s="595" t="s">
        <v>1139</v>
      </c>
      <c r="B711" s="595">
        <v>70000</v>
      </c>
      <c r="C711" s="595" t="s">
        <v>747</v>
      </c>
      <c r="D711" s="8" t="str">
        <f t="shared" si="430"/>
        <v>Finance &amp; Administration Director</v>
      </c>
      <c r="E711" s="123">
        <f>'LOE Breakdown by Year'!M36</f>
        <v>0</v>
      </c>
      <c r="F711" s="50" t="s">
        <v>100</v>
      </c>
      <c r="G711" s="44">
        <f t="shared" si="445"/>
        <v>9</v>
      </c>
      <c r="H711" s="44">
        <f t="shared" si="445"/>
        <v>5000</v>
      </c>
      <c r="I711" s="44">
        <f t="shared" si="437"/>
        <v>0</v>
      </c>
      <c r="J711" s="123">
        <f>'LOE Breakdown by Year'!M82</f>
        <v>0</v>
      </c>
      <c r="K711" s="44">
        <f t="shared" si="432"/>
        <v>12</v>
      </c>
      <c r="L711" s="44">
        <f t="shared" si="438"/>
        <v>0</v>
      </c>
      <c r="M711" s="123">
        <f>'LOE Breakdown by Year'!M128</f>
        <v>0</v>
      </c>
      <c r="N711" s="44">
        <f t="shared" si="433"/>
        <v>12</v>
      </c>
      <c r="O711" s="44">
        <f t="shared" si="439"/>
        <v>0</v>
      </c>
      <c r="P711" s="123">
        <f>'LOE Breakdown by Year'!M174</f>
        <v>0</v>
      </c>
      <c r="Q711" s="44">
        <f t="shared" si="434"/>
        <v>12</v>
      </c>
      <c r="R711" s="44">
        <f t="shared" si="440"/>
        <v>0</v>
      </c>
      <c r="S711" s="123">
        <f>'LOE Breakdown by Year'!M220</f>
        <v>0</v>
      </c>
      <c r="T711" s="44">
        <f t="shared" si="435"/>
        <v>12</v>
      </c>
      <c r="U711" s="44">
        <f t="shared" si="441"/>
        <v>0</v>
      </c>
      <c r="V711" s="123">
        <f>'LOE Breakdown by Year'!M266</f>
        <v>0</v>
      </c>
      <c r="W711" s="44">
        <f t="shared" si="436"/>
        <v>12</v>
      </c>
      <c r="X711" s="44">
        <f t="shared" si="442"/>
        <v>0</v>
      </c>
      <c r="Y711" s="44">
        <f t="shared" si="443"/>
        <v>0</v>
      </c>
      <c r="Z711" s="44">
        <v>0</v>
      </c>
      <c r="AA711" s="44">
        <f t="shared" si="444"/>
        <v>0</v>
      </c>
    </row>
    <row r="712" spans="1:27" hidden="1">
      <c r="A712" s="595" t="s">
        <v>1140</v>
      </c>
      <c r="B712" s="595">
        <v>70000</v>
      </c>
      <c r="C712" s="595" t="s">
        <v>747</v>
      </c>
      <c r="D712" s="8" t="str">
        <f t="shared" si="430"/>
        <v>Contracts &amp; Compliance Manager</v>
      </c>
      <c r="E712" s="123">
        <f>'LOE Breakdown by Year'!M37</f>
        <v>0</v>
      </c>
      <c r="F712" s="50" t="s">
        <v>100</v>
      </c>
      <c r="G712" s="44">
        <f t="shared" si="445"/>
        <v>9</v>
      </c>
      <c r="H712" s="44">
        <f t="shared" si="445"/>
        <v>2633.3333333333335</v>
      </c>
      <c r="I712" s="44">
        <f t="shared" si="437"/>
        <v>0</v>
      </c>
      <c r="J712" s="123">
        <f>'LOE Breakdown by Year'!M83</f>
        <v>0</v>
      </c>
      <c r="K712" s="44">
        <f t="shared" si="432"/>
        <v>12</v>
      </c>
      <c r="L712" s="44">
        <f t="shared" si="438"/>
        <v>0</v>
      </c>
      <c r="M712" s="123">
        <f>'LOE Breakdown by Year'!M129</f>
        <v>0</v>
      </c>
      <c r="N712" s="44">
        <f t="shared" si="433"/>
        <v>12</v>
      </c>
      <c r="O712" s="44">
        <f t="shared" si="439"/>
        <v>0</v>
      </c>
      <c r="P712" s="123">
        <f>'LOE Breakdown by Year'!M175</f>
        <v>0</v>
      </c>
      <c r="Q712" s="44">
        <f t="shared" si="434"/>
        <v>12</v>
      </c>
      <c r="R712" s="44">
        <f t="shared" si="440"/>
        <v>0</v>
      </c>
      <c r="S712" s="123">
        <f>'LOE Breakdown by Year'!M221</f>
        <v>0</v>
      </c>
      <c r="T712" s="44">
        <f t="shared" si="435"/>
        <v>12</v>
      </c>
      <c r="U712" s="44">
        <f t="shared" si="441"/>
        <v>0</v>
      </c>
      <c r="V712" s="123">
        <f>'LOE Breakdown by Year'!M267</f>
        <v>0</v>
      </c>
      <c r="W712" s="44">
        <f t="shared" si="436"/>
        <v>11</v>
      </c>
      <c r="X712" s="44">
        <f t="shared" si="442"/>
        <v>0</v>
      </c>
      <c r="Y712" s="44">
        <f t="shared" si="443"/>
        <v>0</v>
      </c>
      <c r="Z712" s="44">
        <v>0</v>
      </c>
      <c r="AA712" s="44">
        <f t="shared" si="444"/>
        <v>0</v>
      </c>
    </row>
    <row r="713" spans="1:27" hidden="1">
      <c r="A713" s="595" t="s">
        <v>1141</v>
      </c>
      <c r="B713" s="595">
        <v>70000</v>
      </c>
      <c r="C713" s="595" t="s">
        <v>747</v>
      </c>
      <c r="D713" s="8" t="str">
        <f t="shared" si="430"/>
        <v>Grants &amp; Procurement Specialist</v>
      </c>
      <c r="E713" s="123">
        <f>'LOE Breakdown by Year'!M38</f>
        <v>0</v>
      </c>
      <c r="F713" s="50" t="s">
        <v>100</v>
      </c>
      <c r="G713" s="44">
        <f t="shared" si="445"/>
        <v>6</v>
      </c>
      <c r="H713" s="44">
        <f t="shared" si="445"/>
        <v>1500</v>
      </c>
      <c r="I713" s="44">
        <f t="shared" si="437"/>
        <v>0</v>
      </c>
      <c r="J713" s="123">
        <f>'LOE Breakdown by Year'!M84</f>
        <v>0</v>
      </c>
      <c r="K713" s="44">
        <f t="shared" si="432"/>
        <v>12</v>
      </c>
      <c r="L713" s="44">
        <f t="shared" si="438"/>
        <v>0</v>
      </c>
      <c r="M713" s="123">
        <f>'LOE Breakdown by Year'!M130</f>
        <v>0</v>
      </c>
      <c r="N713" s="44">
        <f t="shared" si="433"/>
        <v>12</v>
      </c>
      <c r="O713" s="44">
        <f t="shared" si="439"/>
        <v>0</v>
      </c>
      <c r="P713" s="123">
        <f>'LOE Breakdown by Year'!M176</f>
        <v>0</v>
      </c>
      <c r="Q713" s="44">
        <f t="shared" si="434"/>
        <v>12</v>
      </c>
      <c r="R713" s="44">
        <f t="shared" si="440"/>
        <v>0</v>
      </c>
      <c r="S713" s="123">
        <f>'LOE Breakdown by Year'!M222</f>
        <v>0</v>
      </c>
      <c r="T713" s="44">
        <f t="shared" si="435"/>
        <v>12</v>
      </c>
      <c r="U713" s="44">
        <f t="shared" si="441"/>
        <v>0</v>
      </c>
      <c r="V713" s="123">
        <f>'LOE Breakdown by Year'!M268</f>
        <v>0</v>
      </c>
      <c r="W713" s="44">
        <f t="shared" si="436"/>
        <v>6</v>
      </c>
      <c r="X713" s="44">
        <f t="shared" si="442"/>
        <v>0</v>
      </c>
      <c r="Y713" s="44">
        <f t="shared" si="443"/>
        <v>0</v>
      </c>
      <c r="Z713" s="44">
        <v>0</v>
      </c>
      <c r="AA713" s="44">
        <f t="shared" si="444"/>
        <v>0</v>
      </c>
    </row>
    <row r="714" spans="1:27" hidden="1">
      <c r="A714" s="595" t="s">
        <v>1142</v>
      </c>
      <c r="B714" s="595">
        <v>70000</v>
      </c>
      <c r="C714" s="595" t="s">
        <v>747</v>
      </c>
      <c r="D714" s="8" t="str">
        <f t="shared" si="430"/>
        <v>Grants &amp; Procurement Officer</v>
      </c>
      <c r="E714" s="123">
        <f>'LOE Breakdown by Year'!M39</f>
        <v>0</v>
      </c>
      <c r="F714" s="50" t="s">
        <v>100</v>
      </c>
      <c r="G714" s="44">
        <f t="shared" si="445"/>
        <v>2</v>
      </c>
      <c r="H714" s="44">
        <f t="shared" si="445"/>
        <v>1000</v>
      </c>
      <c r="I714" s="44">
        <f t="shared" si="437"/>
        <v>0</v>
      </c>
      <c r="J714" s="123">
        <f>'LOE Breakdown by Year'!M85</f>
        <v>0</v>
      </c>
      <c r="K714" s="44">
        <f t="shared" si="432"/>
        <v>12</v>
      </c>
      <c r="L714" s="44">
        <f t="shared" si="438"/>
        <v>0</v>
      </c>
      <c r="M714" s="123">
        <f>'LOE Breakdown by Year'!M131</f>
        <v>0</v>
      </c>
      <c r="N714" s="44">
        <f t="shared" si="433"/>
        <v>12</v>
      </c>
      <c r="O714" s="44">
        <f t="shared" si="439"/>
        <v>0</v>
      </c>
      <c r="P714" s="123">
        <f>'LOE Breakdown by Year'!M177</f>
        <v>0</v>
      </c>
      <c r="Q714" s="44">
        <f t="shared" si="434"/>
        <v>12</v>
      </c>
      <c r="R714" s="44">
        <f t="shared" si="440"/>
        <v>0</v>
      </c>
      <c r="S714" s="123">
        <f>'LOE Breakdown by Year'!M223</f>
        <v>0</v>
      </c>
      <c r="T714" s="44">
        <f t="shared" si="435"/>
        <v>12</v>
      </c>
      <c r="U714" s="44">
        <f t="shared" si="441"/>
        <v>0</v>
      </c>
      <c r="V714" s="123">
        <f>'LOE Breakdown by Year'!M269</f>
        <v>0</v>
      </c>
      <c r="W714" s="44">
        <f t="shared" si="436"/>
        <v>3</v>
      </c>
      <c r="X714" s="44">
        <f t="shared" si="442"/>
        <v>0</v>
      </c>
      <c r="Y714" s="44">
        <f t="shared" si="443"/>
        <v>0</v>
      </c>
      <c r="Z714" s="44">
        <v>0</v>
      </c>
      <c r="AA714" s="44">
        <f t="shared" si="444"/>
        <v>0</v>
      </c>
    </row>
    <row r="715" spans="1:27" hidden="1">
      <c r="A715" s="595" t="s">
        <v>1143</v>
      </c>
      <c r="B715" s="595">
        <v>70000</v>
      </c>
      <c r="C715" s="595" t="s">
        <v>747</v>
      </c>
      <c r="D715" s="8" t="str">
        <f t="shared" si="430"/>
        <v>Finance Officer</v>
      </c>
      <c r="E715" s="123">
        <f>'LOE Breakdown by Year'!M40</f>
        <v>0</v>
      </c>
      <c r="F715" s="50" t="s">
        <v>100</v>
      </c>
      <c r="G715" s="44">
        <f t="shared" si="445"/>
        <v>9</v>
      </c>
      <c r="H715" s="44">
        <f t="shared" si="445"/>
        <v>1250</v>
      </c>
      <c r="I715" s="44">
        <f t="shared" si="437"/>
        <v>0</v>
      </c>
      <c r="J715" s="123">
        <f>'LOE Breakdown by Year'!M86</f>
        <v>0</v>
      </c>
      <c r="K715" s="44">
        <f t="shared" si="432"/>
        <v>12</v>
      </c>
      <c r="L715" s="44">
        <f t="shared" si="438"/>
        <v>0</v>
      </c>
      <c r="M715" s="123">
        <f>'LOE Breakdown by Year'!M132</f>
        <v>0</v>
      </c>
      <c r="N715" s="44">
        <f t="shared" si="433"/>
        <v>12</v>
      </c>
      <c r="O715" s="44">
        <f t="shared" si="439"/>
        <v>0</v>
      </c>
      <c r="P715" s="123">
        <f>'LOE Breakdown by Year'!M178</f>
        <v>0</v>
      </c>
      <c r="Q715" s="44">
        <f t="shared" si="434"/>
        <v>12</v>
      </c>
      <c r="R715" s="44">
        <f t="shared" si="440"/>
        <v>0</v>
      </c>
      <c r="S715" s="123">
        <f>'LOE Breakdown by Year'!M224</f>
        <v>0</v>
      </c>
      <c r="T715" s="44">
        <f t="shared" si="435"/>
        <v>12</v>
      </c>
      <c r="U715" s="44">
        <f t="shared" si="441"/>
        <v>0</v>
      </c>
      <c r="V715" s="123">
        <f>'LOE Breakdown by Year'!M270</f>
        <v>0</v>
      </c>
      <c r="W715" s="44">
        <f t="shared" si="436"/>
        <v>11</v>
      </c>
      <c r="X715" s="44">
        <f t="shared" si="442"/>
        <v>0</v>
      </c>
      <c r="Y715" s="44">
        <f t="shared" si="443"/>
        <v>0</v>
      </c>
      <c r="Z715" s="44">
        <v>0</v>
      </c>
      <c r="AA715" s="44">
        <f t="shared" si="444"/>
        <v>0</v>
      </c>
    </row>
    <row r="716" spans="1:27" hidden="1">
      <c r="A716" s="595" t="s">
        <v>1144</v>
      </c>
      <c r="B716" s="595">
        <v>70000</v>
      </c>
      <c r="C716" s="595" t="s">
        <v>747</v>
      </c>
      <c r="D716" s="8" t="str">
        <f t="shared" si="430"/>
        <v>Accountant</v>
      </c>
      <c r="E716" s="123">
        <f>'LOE Breakdown by Year'!M41</f>
        <v>0</v>
      </c>
      <c r="F716" s="50" t="s">
        <v>100</v>
      </c>
      <c r="G716" s="44">
        <f t="shared" si="445"/>
        <v>3</v>
      </c>
      <c r="H716" s="44">
        <f t="shared" si="445"/>
        <v>1000</v>
      </c>
      <c r="I716" s="44">
        <f t="shared" si="437"/>
        <v>0</v>
      </c>
      <c r="J716" s="123">
        <f>'LOE Breakdown by Year'!M87</f>
        <v>0</v>
      </c>
      <c r="K716" s="44">
        <f t="shared" si="432"/>
        <v>12</v>
      </c>
      <c r="L716" s="44">
        <f t="shared" si="438"/>
        <v>0</v>
      </c>
      <c r="M716" s="123">
        <f>'LOE Breakdown by Year'!M133</f>
        <v>0</v>
      </c>
      <c r="N716" s="44">
        <f t="shared" si="433"/>
        <v>12</v>
      </c>
      <c r="O716" s="44">
        <f t="shared" si="439"/>
        <v>0</v>
      </c>
      <c r="P716" s="123">
        <f>'LOE Breakdown by Year'!M179</f>
        <v>0</v>
      </c>
      <c r="Q716" s="44">
        <f t="shared" si="434"/>
        <v>12</v>
      </c>
      <c r="R716" s="44">
        <f t="shared" si="440"/>
        <v>0</v>
      </c>
      <c r="S716" s="123">
        <f>'LOE Breakdown by Year'!M225</f>
        <v>0</v>
      </c>
      <c r="T716" s="44">
        <f t="shared" si="435"/>
        <v>12</v>
      </c>
      <c r="U716" s="44">
        <f t="shared" si="441"/>
        <v>0</v>
      </c>
      <c r="V716" s="123">
        <f>'LOE Breakdown by Year'!M271</f>
        <v>0</v>
      </c>
      <c r="W716" s="44">
        <f t="shared" si="436"/>
        <v>9</v>
      </c>
      <c r="X716" s="44">
        <f t="shared" si="442"/>
        <v>0</v>
      </c>
      <c r="Y716" s="44">
        <f t="shared" si="443"/>
        <v>0</v>
      </c>
      <c r="Z716" s="44">
        <v>0</v>
      </c>
      <c r="AA716" s="44">
        <f t="shared" si="444"/>
        <v>0</v>
      </c>
    </row>
    <row r="717" spans="1:27" hidden="1">
      <c r="A717" s="595" t="s">
        <v>1145</v>
      </c>
      <c r="B717" s="595">
        <v>70000</v>
      </c>
      <c r="C717" s="595" t="s">
        <v>747</v>
      </c>
      <c r="D717" s="8" t="str">
        <f t="shared" si="430"/>
        <v>Operation &amp; HR Manager</v>
      </c>
      <c r="E717" s="123">
        <f>'LOE Breakdown by Year'!M42</f>
        <v>0</v>
      </c>
      <c r="F717" s="50" t="s">
        <v>100</v>
      </c>
      <c r="G717" s="44">
        <f t="shared" si="445"/>
        <v>9</v>
      </c>
      <c r="H717" s="44">
        <f t="shared" si="445"/>
        <v>1800</v>
      </c>
      <c r="I717" s="44">
        <f t="shared" si="437"/>
        <v>0</v>
      </c>
      <c r="J717" s="123">
        <f>'LOE Breakdown by Year'!M88</f>
        <v>0</v>
      </c>
      <c r="K717" s="44">
        <f t="shared" si="432"/>
        <v>12</v>
      </c>
      <c r="L717" s="44">
        <f t="shared" si="438"/>
        <v>0</v>
      </c>
      <c r="M717" s="123">
        <f>'LOE Breakdown by Year'!M134</f>
        <v>0</v>
      </c>
      <c r="N717" s="44">
        <f t="shared" si="433"/>
        <v>12</v>
      </c>
      <c r="O717" s="44">
        <f t="shared" si="439"/>
        <v>0</v>
      </c>
      <c r="P717" s="123">
        <f>'LOE Breakdown by Year'!M180</f>
        <v>0</v>
      </c>
      <c r="Q717" s="44">
        <f t="shared" si="434"/>
        <v>12</v>
      </c>
      <c r="R717" s="44">
        <f t="shared" si="440"/>
        <v>0</v>
      </c>
      <c r="S717" s="123">
        <f>'LOE Breakdown by Year'!M226</f>
        <v>0</v>
      </c>
      <c r="T717" s="44">
        <f t="shared" si="435"/>
        <v>12</v>
      </c>
      <c r="U717" s="44">
        <f t="shared" si="441"/>
        <v>0</v>
      </c>
      <c r="V717" s="123">
        <f>'LOE Breakdown by Year'!M272</f>
        <v>0</v>
      </c>
      <c r="W717" s="44">
        <f t="shared" si="436"/>
        <v>11</v>
      </c>
      <c r="X717" s="44">
        <f t="shared" si="442"/>
        <v>0</v>
      </c>
      <c r="Y717" s="44">
        <f t="shared" si="443"/>
        <v>0</v>
      </c>
      <c r="Z717" s="44">
        <v>0</v>
      </c>
      <c r="AA717" s="44">
        <f t="shared" si="444"/>
        <v>0</v>
      </c>
    </row>
    <row r="718" spans="1:27" hidden="1">
      <c r="A718" s="595" t="s">
        <v>1146</v>
      </c>
      <c r="B718" s="595">
        <v>70000</v>
      </c>
      <c r="C718" s="595" t="s">
        <v>747</v>
      </c>
      <c r="D718" s="8" t="str">
        <f t="shared" si="430"/>
        <v>Administrative Assistant - (2 Individuals)</v>
      </c>
      <c r="E718" s="123">
        <f>'LOE Breakdown by Year'!M43</f>
        <v>0</v>
      </c>
      <c r="F718" s="50" t="s">
        <v>100</v>
      </c>
      <c r="G718" s="44">
        <f t="shared" si="445"/>
        <v>6</v>
      </c>
      <c r="H718" s="44">
        <f t="shared" si="445"/>
        <v>750</v>
      </c>
      <c r="I718" s="44">
        <f t="shared" si="437"/>
        <v>0</v>
      </c>
      <c r="J718" s="123">
        <f>'LOE Breakdown by Year'!M89</f>
        <v>0</v>
      </c>
      <c r="K718" s="44">
        <f t="shared" si="432"/>
        <v>24</v>
      </c>
      <c r="L718" s="44">
        <f t="shared" si="438"/>
        <v>0</v>
      </c>
      <c r="M718" s="123">
        <f>'LOE Breakdown by Year'!M135</f>
        <v>0</v>
      </c>
      <c r="N718" s="44">
        <f t="shared" si="433"/>
        <v>24</v>
      </c>
      <c r="O718" s="44">
        <f t="shared" si="439"/>
        <v>0</v>
      </c>
      <c r="P718" s="123">
        <f>'LOE Breakdown by Year'!M181</f>
        <v>0</v>
      </c>
      <c r="Q718" s="44">
        <f t="shared" si="434"/>
        <v>24</v>
      </c>
      <c r="R718" s="44">
        <f t="shared" si="440"/>
        <v>0</v>
      </c>
      <c r="S718" s="123">
        <f>'LOE Breakdown by Year'!M227</f>
        <v>0</v>
      </c>
      <c r="T718" s="44">
        <f t="shared" si="435"/>
        <v>24</v>
      </c>
      <c r="U718" s="44">
        <f t="shared" si="441"/>
        <v>0</v>
      </c>
      <c r="V718" s="123">
        <f>'LOE Breakdown by Year'!M273</f>
        <v>0</v>
      </c>
      <c r="W718" s="44">
        <f t="shared" si="436"/>
        <v>10</v>
      </c>
      <c r="X718" s="44">
        <f t="shared" si="442"/>
        <v>0</v>
      </c>
      <c r="Y718" s="44">
        <f t="shared" si="443"/>
        <v>0</v>
      </c>
      <c r="Z718" s="44">
        <v>0</v>
      </c>
      <c r="AA718" s="44">
        <f t="shared" si="444"/>
        <v>0</v>
      </c>
    </row>
    <row r="719" spans="1:27" hidden="1">
      <c r="A719" s="595" t="s">
        <v>1147</v>
      </c>
      <c r="B719" s="595">
        <v>70000</v>
      </c>
      <c r="C719" s="595" t="s">
        <v>747</v>
      </c>
      <c r="D719" s="8" t="str">
        <f t="shared" si="430"/>
        <v>Driver - (2 Individuals)</v>
      </c>
      <c r="E719" s="123">
        <f>'LOE Breakdown by Year'!M44</f>
        <v>0</v>
      </c>
      <c r="F719" s="50" t="s">
        <v>100</v>
      </c>
      <c r="G719" s="44">
        <f t="shared" si="445"/>
        <v>6</v>
      </c>
      <c r="H719" s="44">
        <f t="shared" si="445"/>
        <v>500</v>
      </c>
      <c r="I719" s="44">
        <f t="shared" si="437"/>
        <v>0</v>
      </c>
      <c r="J719" s="123">
        <f>'LOE Breakdown by Year'!M90</f>
        <v>0</v>
      </c>
      <c r="K719" s="44">
        <f t="shared" si="432"/>
        <v>24</v>
      </c>
      <c r="L719" s="44">
        <f t="shared" si="438"/>
        <v>0</v>
      </c>
      <c r="M719" s="123">
        <f>'LOE Breakdown by Year'!M136</f>
        <v>0</v>
      </c>
      <c r="N719" s="44">
        <f t="shared" si="433"/>
        <v>24</v>
      </c>
      <c r="O719" s="44">
        <f t="shared" si="439"/>
        <v>0</v>
      </c>
      <c r="P719" s="123">
        <f>'LOE Breakdown by Year'!M182</f>
        <v>0</v>
      </c>
      <c r="Q719" s="44">
        <f t="shared" si="434"/>
        <v>24</v>
      </c>
      <c r="R719" s="44">
        <f t="shared" si="440"/>
        <v>0</v>
      </c>
      <c r="S719" s="123">
        <f>'LOE Breakdown by Year'!M228</f>
        <v>0</v>
      </c>
      <c r="T719" s="44">
        <f t="shared" si="435"/>
        <v>24</v>
      </c>
      <c r="U719" s="44">
        <f t="shared" si="441"/>
        <v>0</v>
      </c>
      <c r="V719" s="123">
        <f>'LOE Breakdown by Year'!M274</f>
        <v>0</v>
      </c>
      <c r="W719" s="44">
        <f t="shared" si="436"/>
        <v>18</v>
      </c>
      <c r="X719" s="44">
        <f t="shared" si="442"/>
        <v>0</v>
      </c>
      <c r="Y719" s="44">
        <f t="shared" si="443"/>
        <v>0</v>
      </c>
      <c r="Z719" s="44">
        <v>0</v>
      </c>
      <c r="AA719" s="44">
        <f t="shared" si="444"/>
        <v>0</v>
      </c>
    </row>
    <row r="720" spans="1:27">
      <c r="A720" s="607"/>
      <c r="B720" s="607"/>
      <c r="C720" s="607"/>
      <c r="D720" s="41" t="s">
        <v>412</v>
      </c>
      <c r="E720" s="127"/>
      <c r="F720" s="46"/>
      <c r="G720" s="47"/>
      <c r="H720" s="47"/>
      <c r="I720" s="48">
        <f>SUM(I686:I719)</f>
        <v>10475</v>
      </c>
      <c r="J720" s="127"/>
      <c r="K720" s="48"/>
      <c r="L720" s="48">
        <f>SUM(L686:L719)</f>
        <v>16170</v>
      </c>
      <c r="M720" s="127"/>
      <c r="N720" s="48"/>
      <c r="O720" s="48">
        <f>SUM(O686:O719)</f>
        <v>20451.375</v>
      </c>
      <c r="P720" s="127"/>
      <c r="Q720" s="48"/>
      <c r="R720" s="48">
        <f>SUM(R686:R719)</f>
        <v>24078.6</v>
      </c>
      <c r="S720" s="127"/>
      <c r="T720" s="48"/>
      <c r="U720" s="48">
        <f>SUM(U686:U719)</f>
        <v>24735.552187500001</v>
      </c>
      <c r="V720" s="127"/>
      <c r="W720" s="48"/>
      <c r="X720" s="48">
        <f>SUM(X686:X719)</f>
        <v>12911.715140625001</v>
      </c>
      <c r="Y720" s="48">
        <f>SUM(Y686:Y719)</f>
        <v>108822.24232812499</v>
      </c>
      <c r="Z720" s="48">
        <f>SUM(Z686:Z719)</f>
        <v>0</v>
      </c>
      <c r="AA720" s="48">
        <f>SUM(AA686:AA719)</f>
        <v>108822.24232812499</v>
      </c>
    </row>
    <row r="721" spans="1:27">
      <c r="A721" s="608"/>
      <c r="B721" s="608"/>
      <c r="C721" s="608"/>
      <c r="D721" s="100"/>
      <c r="E721" s="128"/>
      <c r="F721" s="81"/>
      <c r="G721" s="63"/>
      <c r="H721" s="63"/>
      <c r="I721" s="63"/>
      <c r="J721" s="128"/>
      <c r="K721" s="63"/>
      <c r="L721" s="63"/>
      <c r="M721" s="128"/>
      <c r="N721" s="63"/>
      <c r="O721" s="63"/>
      <c r="P721" s="128"/>
      <c r="Q721" s="63"/>
      <c r="R721" s="63"/>
      <c r="S721" s="128"/>
      <c r="T721" s="63"/>
      <c r="U721" s="63"/>
      <c r="V721" s="128"/>
      <c r="W721" s="63"/>
      <c r="X721" s="63"/>
      <c r="Y721" s="63"/>
      <c r="Z721" s="63"/>
      <c r="AA721" s="63"/>
    </row>
    <row r="722" spans="1:27">
      <c r="A722" s="607"/>
      <c r="B722" s="607"/>
      <c r="C722" s="607"/>
      <c r="D722" s="41" t="s">
        <v>413</v>
      </c>
      <c r="E722" s="127"/>
      <c r="F722" s="46"/>
      <c r="G722" s="47"/>
      <c r="H722" s="47"/>
      <c r="I722" s="48"/>
      <c r="J722" s="127"/>
      <c r="K722" s="48"/>
      <c r="L722" s="48"/>
      <c r="M722" s="127"/>
      <c r="N722" s="48"/>
      <c r="O722" s="48"/>
      <c r="P722" s="127"/>
      <c r="Q722" s="48"/>
      <c r="R722" s="48"/>
      <c r="S722" s="127"/>
      <c r="T722" s="48"/>
      <c r="U722" s="48"/>
      <c r="V722" s="127"/>
      <c r="W722" s="48"/>
      <c r="X722" s="48"/>
      <c r="Y722" s="48"/>
      <c r="Z722" s="48"/>
      <c r="AA722" s="48"/>
    </row>
    <row r="723" spans="1:27">
      <c r="A723" s="591" t="s">
        <v>1386</v>
      </c>
      <c r="B723" s="591" t="s">
        <v>791</v>
      </c>
      <c r="C723" s="591" t="s">
        <v>747</v>
      </c>
      <c r="D723" s="8" t="str">
        <f>D56</f>
        <v>Fringe Benefits CCN - Honduras</v>
      </c>
      <c r="E723" s="116"/>
      <c r="F723" s="82" t="str">
        <f>F56</f>
        <v>%</v>
      </c>
      <c r="G723" s="44">
        <f>G56</f>
        <v>0</v>
      </c>
      <c r="H723" s="60">
        <f>H56</f>
        <v>0.48259999999999997</v>
      </c>
      <c r="I723" s="44">
        <f>(SUM(I686:I719))*$H$723</f>
        <v>5055.2349999999997</v>
      </c>
      <c r="J723" s="116"/>
      <c r="K723" s="44">
        <f>K56</f>
        <v>0</v>
      </c>
      <c r="L723" s="44">
        <f>(SUM(L686:L719))*$H$723</f>
        <v>7803.6419999999998</v>
      </c>
      <c r="M723" s="116"/>
      <c r="N723" s="44">
        <f>N56</f>
        <v>0</v>
      </c>
      <c r="O723" s="44">
        <f>(SUM(O686:O719))*$H$723</f>
        <v>9869.8335749999987</v>
      </c>
      <c r="P723" s="116"/>
      <c r="Q723" s="44">
        <f>Q56</f>
        <v>0</v>
      </c>
      <c r="R723" s="44">
        <f>(SUM(R686:R719))*$H$723</f>
        <v>11620.332359999999</v>
      </c>
      <c r="S723" s="116"/>
      <c r="T723" s="44">
        <f>T56</f>
        <v>0</v>
      </c>
      <c r="U723" s="44">
        <f>(SUM(U686:U719))*$H$723</f>
        <v>11937.377485687501</v>
      </c>
      <c r="V723" s="116"/>
      <c r="W723" s="44">
        <f>W56</f>
        <v>0</v>
      </c>
      <c r="X723" s="44">
        <f>(SUM(X686:X719))*$H$723</f>
        <v>6231.1937268656256</v>
      </c>
      <c r="Y723" s="44">
        <f t="shared" ref="Y723" si="446">SUM(R723,O723,L723,I723,U723,X723)</f>
        <v>52517.614147553126</v>
      </c>
      <c r="Z723" s="63">
        <v>0</v>
      </c>
      <c r="AA723" s="44">
        <f>SUM(Y723:Z723)</f>
        <v>52517.614147553126</v>
      </c>
    </row>
    <row r="724" spans="1:27">
      <c r="A724" s="607"/>
      <c r="B724" s="607"/>
      <c r="C724" s="607"/>
      <c r="D724" s="41" t="s">
        <v>414</v>
      </c>
      <c r="E724" s="127"/>
      <c r="F724" s="46"/>
      <c r="G724" s="47"/>
      <c r="H724" s="47"/>
      <c r="I724" s="48">
        <f>SUM(I723:I723)</f>
        <v>5055.2349999999997</v>
      </c>
      <c r="J724" s="127"/>
      <c r="K724" s="48"/>
      <c r="L724" s="48">
        <f>SUM(L723:L723)</f>
        <v>7803.6419999999998</v>
      </c>
      <c r="M724" s="127"/>
      <c r="N724" s="48"/>
      <c r="O724" s="48">
        <f>SUM(O723:O723)</f>
        <v>9869.8335749999987</v>
      </c>
      <c r="P724" s="127"/>
      <c r="Q724" s="48"/>
      <c r="R724" s="48">
        <f>SUM(R723:R723)</f>
        <v>11620.332359999999</v>
      </c>
      <c r="S724" s="127"/>
      <c r="T724" s="48"/>
      <c r="U724" s="48">
        <f>SUM(U723:U723)</f>
        <v>11937.377485687501</v>
      </c>
      <c r="V724" s="127"/>
      <c r="W724" s="48"/>
      <c r="X724" s="48">
        <f>SUM(X723:X723)</f>
        <v>6231.1937268656256</v>
      </c>
      <c r="Y724" s="48">
        <f>SUM(Y723:Y723)</f>
        <v>52517.614147553126</v>
      </c>
      <c r="Z724" s="48">
        <f>SUM(Z723:Z723)</f>
        <v>0</v>
      </c>
      <c r="AA724" s="48">
        <f>SUM(AA723:AA723)</f>
        <v>52517.614147553126</v>
      </c>
    </row>
    <row r="725" spans="1:27">
      <c r="A725" s="608"/>
      <c r="B725" s="608"/>
      <c r="C725" s="608"/>
      <c r="D725" s="100"/>
      <c r="E725" s="128"/>
      <c r="F725" s="81"/>
      <c r="G725" s="63"/>
      <c r="H725" s="63"/>
      <c r="I725" s="63"/>
      <c r="J725" s="128"/>
      <c r="K725" s="63"/>
      <c r="L725" s="63"/>
      <c r="M725" s="128"/>
      <c r="N725" s="63"/>
      <c r="O725" s="63"/>
      <c r="P725" s="128"/>
      <c r="Q725" s="63"/>
      <c r="R725" s="63"/>
      <c r="S725" s="128"/>
      <c r="T725" s="63"/>
      <c r="U725" s="63"/>
      <c r="V725" s="128"/>
      <c r="W725" s="63"/>
      <c r="X725" s="63"/>
      <c r="Y725" s="63"/>
      <c r="Z725" s="63"/>
      <c r="AA725" s="63"/>
    </row>
    <row r="726" spans="1:27">
      <c r="A726" s="607"/>
      <c r="B726" s="607"/>
      <c r="C726" s="607"/>
      <c r="D726" s="41" t="s">
        <v>415</v>
      </c>
      <c r="E726" s="127"/>
      <c r="F726" s="46"/>
      <c r="G726" s="47"/>
      <c r="H726" s="47"/>
      <c r="I726" s="47"/>
      <c r="J726" s="127"/>
      <c r="K726" s="47"/>
      <c r="L726" s="47"/>
      <c r="M726" s="127"/>
      <c r="N726" s="47"/>
      <c r="O726" s="47"/>
      <c r="P726" s="127"/>
      <c r="Q726" s="47"/>
      <c r="R726" s="47"/>
      <c r="S726" s="127"/>
      <c r="T726" s="47"/>
      <c r="U726" s="47"/>
      <c r="V726" s="127"/>
      <c r="W726" s="47"/>
      <c r="X726" s="47"/>
      <c r="Y726" s="47"/>
      <c r="Z726" s="47"/>
      <c r="AA726" s="47"/>
    </row>
    <row r="727" spans="1:27" ht="25.2">
      <c r="A727" s="591" t="s">
        <v>1341</v>
      </c>
      <c r="B727" s="591" t="s">
        <v>1322</v>
      </c>
      <c r="C727" s="591" t="s">
        <v>747</v>
      </c>
      <c r="D727" s="8" t="s">
        <v>416</v>
      </c>
      <c r="E727" s="120"/>
      <c r="F727" s="49" t="s">
        <v>234</v>
      </c>
      <c r="G727" s="44">
        <v>1</v>
      </c>
      <c r="H727" s="44">
        <v>25800</v>
      </c>
      <c r="I727" s="44">
        <f>G727*H727</f>
        <v>25800</v>
      </c>
      <c r="J727" s="120"/>
      <c r="K727" s="44">
        <v>1</v>
      </c>
      <c r="L727" s="44">
        <f>H727*K727</f>
        <v>25800</v>
      </c>
      <c r="M727" s="120"/>
      <c r="N727" s="44">
        <v>1</v>
      </c>
      <c r="O727" s="44">
        <f>H727*N727</f>
        <v>25800</v>
      </c>
      <c r="P727" s="123"/>
      <c r="Q727" s="44">
        <v>1</v>
      </c>
      <c r="R727" s="44">
        <f>H727*Q727</f>
        <v>25800</v>
      </c>
      <c r="S727" s="123"/>
      <c r="T727" s="44">
        <v>1</v>
      </c>
      <c r="U727" s="44">
        <f>H727*T727</f>
        <v>25800</v>
      </c>
      <c r="V727" s="123"/>
      <c r="W727" s="44">
        <v>1</v>
      </c>
      <c r="X727" s="44">
        <f>W727*H727</f>
        <v>25800</v>
      </c>
      <c r="Y727" s="44">
        <f>SUM(R727,O727,L727,I727,U727,X727)</f>
        <v>154800</v>
      </c>
      <c r="Z727" s="44">
        <v>0</v>
      </c>
      <c r="AA727" s="44">
        <f>SUM(Y727:Z727)</f>
        <v>154800</v>
      </c>
    </row>
    <row r="728" spans="1:27" ht="25.2">
      <c r="A728" s="591" t="s">
        <v>1342</v>
      </c>
      <c r="B728" s="591" t="s">
        <v>1293</v>
      </c>
      <c r="C728" s="591" t="s">
        <v>747</v>
      </c>
      <c r="D728" s="8" t="s">
        <v>417</v>
      </c>
      <c r="F728" s="50" t="s">
        <v>151</v>
      </c>
      <c r="G728" s="44">
        <v>20</v>
      </c>
      <c r="H728" s="44">
        <v>600</v>
      </c>
      <c r="I728" s="44">
        <f>G728*H728</f>
        <v>12000</v>
      </c>
      <c r="J728" s="120"/>
      <c r="K728" s="44">
        <v>0</v>
      </c>
      <c r="L728" s="44">
        <f>K728*H728</f>
        <v>0</v>
      </c>
      <c r="M728" s="120"/>
      <c r="N728" s="44">
        <v>0</v>
      </c>
      <c r="O728" s="44">
        <f>N728*H728</f>
        <v>0</v>
      </c>
      <c r="P728" s="120"/>
      <c r="Q728" s="44">
        <v>0</v>
      </c>
      <c r="R728" s="44">
        <f>Q728*H728</f>
        <v>0</v>
      </c>
      <c r="S728" s="120"/>
      <c r="T728" s="44">
        <v>0</v>
      </c>
      <c r="U728" s="44">
        <f>T728*H728</f>
        <v>0</v>
      </c>
      <c r="V728" s="120"/>
      <c r="W728" s="44">
        <v>0</v>
      </c>
      <c r="X728" s="44">
        <f>W728*H728</f>
        <v>0</v>
      </c>
      <c r="Y728" s="44">
        <f>SUM(R728,O728,L728,I728,U728,X728)</f>
        <v>12000</v>
      </c>
      <c r="Z728" s="44">
        <v>0</v>
      </c>
      <c r="AA728" s="44">
        <f>Y728+Z728</f>
        <v>12000</v>
      </c>
    </row>
    <row r="729" spans="1:27">
      <c r="A729" s="591" t="s">
        <v>1356</v>
      </c>
      <c r="B729" s="45">
        <v>81000</v>
      </c>
      <c r="C729" s="591" t="s">
        <v>747</v>
      </c>
      <c r="D729" s="8" t="s">
        <v>418</v>
      </c>
      <c r="E729" s="120"/>
      <c r="F729" s="49" t="s">
        <v>151</v>
      </c>
      <c r="G729" s="44">
        <v>0</v>
      </c>
      <c r="H729" s="44">
        <v>300</v>
      </c>
      <c r="I729" s="44">
        <f>G729*H729</f>
        <v>0</v>
      </c>
      <c r="J729" s="120"/>
      <c r="K729" s="44">
        <v>45</v>
      </c>
      <c r="L729" s="44">
        <f>K729*H729</f>
        <v>13500</v>
      </c>
      <c r="M729" s="120"/>
      <c r="N729" s="44">
        <v>45</v>
      </c>
      <c r="O729" s="44">
        <f>N729*H729</f>
        <v>13500</v>
      </c>
      <c r="P729" s="120"/>
      <c r="Q729" s="44">
        <v>0</v>
      </c>
      <c r="R729" s="44">
        <f>Q729*H729</f>
        <v>0</v>
      </c>
      <c r="S729" s="120"/>
      <c r="T729" s="44">
        <v>0</v>
      </c>
      <c r="U729" s="44">
        <f>T729*H729</f>
        <v>0</v>
      </c>
      <c r="V729" s="120"/>
      <c r="W729" s="44">
        <v>0</v>
      </c>
      <c r="X729" s="44">
        <f t="shared" ref="X729:X731" si="447">W729*H729</f>
        <v>0</v>
      </c>
      <c r="Y729" s="44">
        <f t="shared" ref="Y729:Y731" si="448">SUM(R729,O729,L729,I729,U729,X729)</f>
        <v>27000</v>
      </c>
      <c r="Z729" s="44">
        <v>0</v>
      </c>
      <c r="AA729" s="44">
        <f>Y729+Z729</f>
        <v>27000</v>
      </c>
    </row>
    <row r="730" spans="1:27" ht="25.2">
      <c r="A730" s="591" t="s">
        <v>1358</v>
      </c>
      <c r="B730" s="591" t="s">
        <v>1322</v>
      </c>
      <c r="C730" s="591" t="s">
        <v>747</v>
      </c>
      <c r="D730" s="8" t="s">
        <v>419</v>
      </c>
      <c r="E730" s="120"/>
      <c r="F730" s="49" t="s">
        <v>151</v>
      </c>
      <c r="G730" s="44">
        <v>0</v>
      </c>
      <c r="H730" s="44">
        <v>120</v>
      </c>
      <c r="I730" s="44">
        <f>G730*H730</f>
        <v>0</v>
      </c>
      <c r="J730" s="120"/>
      <c r="K730" s="44">
        <v>0</v>
      </c>
      <c r="L730" s="44">
        <f>K730*H730</f>
        <v>0</v>
      </c>
      <c r="M730" s="120"/>
      <c r="N730" s="44">
        <v>0</v>
      </c>
      <c r="O730" s="44">
        <f>N730*H730</f>
        <v>0</v>
      </c>
      <c r="P730" s="120"/>
      <c r="Q730" s="44">
        <v>10</v>
      </c>
      <c r="R730" s="44">
        <f>Q730*H730</f>
        <v>1200</v>
      </c>
      <c r="S730" s="120"/>
      <c r="T730" s="44">
        <v>0</v>
      </c>
      <c r="U730" s="44">
        <f>T730*H730</f>
        <v>0</v>
      </c>
      <c r="V730" s="120"/>
      <c r="W730" s="44">
        <v>0</v>
      </c>
      <c r="X730" s="44">
        <f t="shared" si="447"/>
        <v>0</v>
      </c>
      <c r="Y730" s="44">
        <f t="shared" si="448"/>
        <v>1200</v>
      </c>
      <c r="Z730" s="44">
        <v>0</v>
      </c>
      <c r="AA730" s="44">
        <f>Y730+Z730</f>
        <v>1200</v>
      </c>
    </row>
    <row r="731" spans="1:27" ht="25.2">
      <c r="A731" s="591" t="s">
        <v>1343</v>
      </c>
      <c r="B731" s="591" t="s">
        <v>1322</v>
      </c>
      <c r="C731" s="591" t="s">
        <v>747</v>
      </c>
      <c r="D731" s="8" t="s">
        <v>420</v>
      </c>
      <c r="F731" s="49" t="s">
        <v>100</v>
      </c>
      <c r="G731" s="44">
        <v>0</v>
      </c>
      <c r="H731" s="44">
        <v>3000</v>
      </c>
      <c r="I731" s="44">
        <f>G731*H731</f>
        <v>0</v>
      </c>
      <c r="J731" s="123"/>
      <c r="K731" s="44">
        <v>0</v>
      </c>
      <c r="L731" s="44">
        <f>K731*H731</f>
        <v>0</v>
      </c>
      <c r="M731" s="123"/>
      <c r="N731" s="44">
        <v>6</v>
      </c>
      <c r="O731" s="44">
        <f>N731*H731</f>
        <v>18000</v>
      </c>
      <c r="P731" s="123"/>
      <c r="Q731" s="44">
        <v>0</v>
      </c>
      <c r="R731" s="44">
        <f>Q731*H731</f>
        <v>0</v>
      </c>
      <c r="S731" s="123"/>
      <c r="T731" s="44">
        <v>0</v>
      </c>
      <c r="U731" s="44">
        <f>T731*H731</f>
        <v>0</v>
      </c>
      <c r="V731" s="123"/>
      <c r="W731" s="44">
        <v>0</v>
      </c>
      <c r="X731" s="44">
        <f t="shared" si="447"/>
        <v>0</v>
      </c>
      <c r="Y731" s="44">
        <f t="shared" si="448"/>
        <v>18000</v>
      </c>
      <c r="Z731" s="44">
        <v>0</v>
      </c>
      <c r="AA731" s="44">
        <f>Y731+Z731</f>
        <v>18000</v>
      </c>
    </row>
    <row r="732" spans="1:27">
      <c r="A732" s="607"/>
      <c r="B732" s="607"/>
      <c r="C732" s="607"/>
      <c r="D732" s="41" t="s">
        <v>421</v>
      </c>
      <c r="E732" s="127"/>
      <c r="F732" s="46"/>
      <c r="G732" s="47"/>
      <c r="H732" s="47"/>
      <c r="I732" s="48">
        <f>SUM(I727:I731)</f>
        <v>37800</v>
      </c>
      <c r="J732" s="127"/>
      <c r="K732" s="48"/>
      <c r="L732" s="48">
        <f>SUM(L727:L731)</f>
        <v>39300</v>
      </c>
      <c r="M732" s="127"/>
      <c r="N732" s="48"/>
      <c r="O732" s="48">
        <f>SUM(O727:O731)</f>
        <v>57300</v>
      </c>
      <c r="P732" s="127"/>
      <c r="Q732" s="48"/>
      <c r="R732" s="48">
        <f>SUM(R727:R731)</f>
        <v>27000</v>
      </c>
      <c r="S732" s="127"/>
      <c r="T732" s="48"/>
      <c r="U732" s="48">
        <f>SUM(U727:U731)</f>
        <v>25800</v>
      </c>
      <c r="V732" s="127"/>
      <c r="W732" s="48"/>
      <c r="X732" s="48">
        <f>SUM(X727:X731)</f>
        <v>25800</v>
      </c>
      <c r="Y732" s="101">
        <f>SUM(Y727:Y731)</f>
        <v>213000</v>
      </c>
      <c r="Z732" s="48">
        <f>SUM(Z727:Z731)</f>
        <v>0</v>
      </c>
      <c r="AA732" s="48">
        <f>SUM(AA727:AA731)</f>
        <v>213000</v>
      </c>
    </row>
    <row r="733" spans="1:27">
      <c r="A733" s="608"/>
      <c r="B733" s="608"/>
      <c r="C733" s="608"/>
      <c r="D733" s="100"/>
      <c r="E733" s="154"/>
      <c r="F733" s="81"/>
      <c r="G733" s="63"/>
      <c r="H733" s="63"/>
      <c r="I733" s="63"/>
      <c r="J733" s="154"/>
      <c r="K733" s="63"/>
      <c r="L733" s="63"/>
      <c r="M733" s="154"/>
      <c r="N733" s="63"/>
      <c r="O733" s="63"/>
      <c r="P733" s="154"/>
      <c r="Q733" s="63"/>
      <c r="R733" s="63"/>
      <c r="S733" s="154"/>
      <c r="T733" s="63"/>
      <c r="U733" s="63"/>
      <c r="V733" s="154"/>
      <c r="W733" s="63"/>
      <c r="X733" s="63"/>
      <c r="Y733" s="63"/>
      <c r="Z733" s="63"/>
      <c r="AA733" s="63"/>
    </row>
    <row r="734" spans="1:27">
      <c r="A734" s="607"/>
      <c r="B734" s="607"/>
      <c r="C734" s="607"/>
      <c r="D734" s="41" t="s">
        <v>422</v>
      </c>
      <c r="E734" s="127"/>
      <c r="F734" s="46"/>
      <c r="G734" s="47"/>
      <c r="H734" s="47"/>
      <c r="I734" s="47"/>
      <c r="J734" s="127"/>
      <c r="K734" s="47"/>
      <c r="L734" s="47"/>
      <c r="M734" s="127"/>
      <c r="N734" s="47"/>
      <c r="O734" s="47"/>
      <c r="P734" s="127"/>
      <c r="Q734" s="47"/>
      <c r="R734" s="47"/>
      <c r="S734" s="127"/>
      <c r="T734" s="47"/>
      <c r="U734" s="47"/>
      <c r="V734" s="127"/>
      <c r="W734" s="47"/>
      <c r="X734" s="47"/>
      <c r="Y734" s="47"/>
      <c r="Z734" s="47"/>
      <c r="AA734" s="47"/>
    </row>
    <row r="735" spans="1:27" ht="25.2">
      <c r="A735" s="591" t="s">
        <v>1340</v>
      </c>
      <c r="B735" s="591" t="s">
        <v>1297</v>
      </c>
      <c r="C735" s="591" t="s">
        <v>747</v>
      </c>
      <c r="D735" s="8" t="s">
        <v>423</v>
      </c>
      <c r="E735" s="120"/>
      <c r="F735" s="50" t="s">
        <v>173</v>
      </c>
      <c r="G735" s="44">
        <v>0</v>
      </c>
      <c r="H735" s="44">
        <v>3000</v>
      </c>
      <c r="I735" s="44">
        <f>G735*H735</f>
        <v>0</v>
      </c>
      <c r="J735" s="120"/>
      <c r="K735" s="44">
        <v>0</v>
      </c>
      <c r="L735" s="44">
        <f>K735*H735</f>
        <v>0</v>
      </c>
      <c r="M735" s="120"/>
      <c r="N735" s="44">
        <v>0</v>
      </c>
      <c r="O735" s="44">
        <f>N735*H735</f>
        <v>0</v>
      </c>
      <c r="P735" s="120"/>
      <c r="Q735" s="44">
        <v>1</v>
      </c>
      <c r="R735" s="44">
        <f>Q735*H735</f>
        <v>3000</v>
      </c>
      <c r="S735" s="120"/>
      <c r="T735" s="44">
        <v>1</v>
      </c>
      <c r="U735" s="44">
        <f t="shared" ref="U735" si="449">T735*K735</f>
        <v>0</v>
      </c>
      <c r="V735" s="120"/>
      <c r="W735" s="44">
        <v>0</v>
      </c>
      <c r="X735" s="44">
        <f t="shared" ref="X735" si="450">W735*H735</f>
        <v>0</v>
      </c>
      <c r="Y735" s="44">
        <f t="shared" ref="Y735" si="451">SUM(R735,O735,L735,I735,U735,X735)</f>
        <v>3000</v>
      </c>
      <c r="Z735" s="44">
        <v>0</v>
      </c>
      <c r="AA735" s="44">
        <f>Y735+Z735</f>
        <v>3000</v>
      </c>
    </row>
    <row r="736" spans="1:27">
      <c r="A736" s="607"/>
      <c r="B736" s="607"/>
      <c r="C736" s="607"/>
      <c r="D736" s="41" t="s">
        <v>424</v>
      </c>
      <c r="E736" s="127"/>
      <c r="F736" s="46"/>
      <c r="G736" s="47"/>
      <c r="H736" s="48"/>
      <c r="I736" s="48">
        <f>SUM(I735:I735)</f>
        <v>0</v>
      </c>
      <c r="J736" s="130"/>
      <c r="K736" s="48"/>
      <c r="L736" s="48">
        <f>SUM(L735:L735)</f>
        <v>0</v>
      </c>
      <c r="M736" s="130"/>
      <c r="N736" s="48"/>
      <c r="O736" s="48">
        <f>SUM(O735:O735)</f>
        <v>0</v>
      </c>
      <c r="P736" s="130"/>
      <c r="Q736" s="48"/>
      <c r="R736" s="48">
        <f>SUM(R735:R735)</f>
        <v>3000</v>
      </c>
      <c r="S736" s="130"/>
      <c r="T736" s="48"/>
      <c r="U736" s="48">
        <f>SUM(U735:U735)</f>
        <v>0</v>
      </c>
      <c r="V736" s="130"/>
      <c r="W736" s="48"/>
      <c r="X736" s="48">
        <f>SUM(X735:X735)</f>
        <v>0</v>
      </c>
      <c r="Y736" s="101">
        <f>SUM(Y735:Y735)</f>
        <v>3000</v>
      </c>
      <c r="Z736" s="48">
        <f>SUM(Z735:Z735)</f>
        <v>0</v>
      </c>
      <c r="AA736" s="48">
        <f>SUM(AA735:AA735)</f>
        <v>3000</v>
      </c>
    </row>
    <row r="737" spans="1:27">
      <c r="A737" s="608"/>
      <c r="B737" s="608"/>
      <c r="C737" s="608"/>
      <c r="D737" s="100"/>
      <c r="E737" s="128"/>
      <c r="F737" s="81"/>
      <c r="G737" s="63"/>
      <c r="H737" s="63"/>
      <c r="I737" s="63"/>
      <c r="J737" s="128"/>
      <c r="K737" s="63"/>
      <c r="L737" s="63"/>
      <c r="M737" s="128"/>
      <c r="N737" s="63"/>
      <c r="O737" s="63"/>
      <c r="P737" s="128"/>
      <c r="Q737" s="63"/>
      <c r="R737" s="63"/>
      <c r="S737" s="128"/>
      <c r="T737" s="63"/>
      <c r="U737" s="63"/>
      <c r="V737" s="128"/>
      <c r="W737" s="63"/>
      <c r="X737" s="63"/>
      <c r="Y737" s="63"/>
      <c r="Z737" s="63"/>
      <c r="AA737" s="63"/>
    </row>
    <row r="738" spans="1:27">
      <c r="A738" s="607"/>
      <c r="B738" s="607"/>
      <c r="C738" s="607"/>
      <c r="D738" s="41" t="s">
        <v>425</v>
      </c>
      <c r="E738" s="127"/>
      <c r="F738" s="46"/>
      <c r="G738" s="47"/>
      <c r="H738" s="47"/>
      <c r="I738" s="47"/>
      <c r="J738" s="127"/>
      <c r="K738" s="47"/>
      <c r="L738" s="47"/>
      <c r="M738" s="127"/>
      <c r="N738" s="47"/>
      <c r="O738" s="47"/>
      <c r="P738" s="127"/>
      <c r="Q738" s="47"/>
      <c r="R738" s="47"/>
      <c r="S738" s="127"/>
      <c r="T738" s="47"/>
      <c r="U738" s="47"/>
      <c r="V738" s="127"/>
      <c r="W738" s="47"/>
      <c r="X738" s="47"/>
      <c r="Y738" s="47"/>
      <c r="Z738" s="47"/>
      <c r="AA738" s="47"/>
    </row>
    <row r="739" spans="1:27">
      <c r="A739" s="591" t="s">
        <v>1338</v>
      </c>
      <c r="B739" s="591" t="s">
        <v>1265</v>
      </c>
      <c r="C739" s="591" t="s">
        <v>747</v>
      </c>
      <c r="D739" s="8" t="s">
        <v>160</v>
      </c>
      <c r="F739" s="8" t="s">
        <v>100</v>
      </c>
      <c r="G739" s="44">
        <v>3</v>
      </c>
      <c r="H739" s="44">
        <v>60</v>
      </c>
      <c r="I739" s="44">
        <f t="shared" ref="I739:I747" si="452">G739*H739</f>
        <v>180</v>
      </c>
      <c r="J739" s="44"/>
      <c r="K739" s="44">
        <v>12</v>
      </c>
      <c r="L739" s="44">
        <f t="shared" ref="L739:L747" si="453">H739*K739*$E$6</f>
        <v>756</v>
      </c>
      <c r="M739" s="123"/>
      <c r="N739" s="44">
        <v>12</v>
      </c>
      <c r="O739" s="44">
        <f t="shared" ref="O739:O747" si="454">H739*N739*$E$6*$E$6</f>
        <v>793.80000000000007</v>
      </c>
      <c r="P739" s="123"/>
      <c r="Q739" s="44">
        <v>12</v>
      </c>
      <c r="R739" s="44">
        <f t="shared" ref="R739:R747" si="455">H739*Q739*$E$6*$E$6*$E$6</f>
        <v>833.49000000000012</v>
      </c>
      <c r="S739" s="123"/>
      <c r="T739" s="44">
        <v>12</v>
      </c>
      <c r="U739" s="44">
        <f>H739*T739*$E$6*$E$6*$E$6*$E$6</f>
        <v>875.1645000000002</v>
      </c>
      <c r="V739" s="123"/>
      <c r="W739" s="44">
        <v>9</v>
      </c>
      <c r="X739" s="44">
        <f t="shared" ref="X739:X743" si="456">W739*H739*$E$6*$E$6*$E$6*$E$6*$E$6</f>
        <v>689.19204375000015</v>
      </c>
      <c r="Y739" s="44">
        <f t="shared" ref="Y739:Y743" si="457">SUM(R739,O739,L739,I739,U739,X739)</f>
        <v>4127.6465437500001</v>
      </c>
      <c r="Z739" s="44" t="s">
        <v>149</v>
      </c>
      <c r="AA739" s="44">
        <f t="shared" ref="AA739:AA747" si="458">SUM(Y739:Z739)</f>
        <v>4127.6465437500001</v>
      </c>
    </row>
    <row r="740" spans="1:27">
      <c r="A740" s="591" t="s">
        <v>1339</v>
      </c>
      <c r="B740" s="591" t="s">
        <v>1265</v>
      </c>
      <c r="C740" s="591" t="s">
        <v>747</v>
      </c>
      <c r="D740" s="8" t="s">
        <v>426</v>
      </c>
      <c r="F740" s="8" t="s">
        <v>148</v>
      </c>
      <c r="G740" s="44">
        <v>2</v>
      </c>
      <c r="H740" s="44">
        <v>35</v>
      </c>
      <c r="I740" s="44">
        <f>G740*H740</f>
        <v>70</v>
      </c>
      <c r="J740" s="123"/>
      <c r="K740" s="44">
        <v>2</v>
      </c>
      <c r="L740" s="44">
        <f t="shared" si="453"/>
        <v>73.5</v>
      </c>
      <c r="M740" s="123"/>
      <c r="N740" s="44">
        <v>2</v>
      </c>
      <c r="O740" s="44">
        <f t="shared" si="454"/>
        <v>77.174999999999997</v>
      </c>
      <c r="P740" s="123"/>
      <c r="Q740" s="44">
        <v>2</v>
      </c>
      <c r="R740" s="44">
        <f t="shared" si="455"/>
        <v>81.033749999999998</v>
      </c>
      <c r="S740" s="123"/>
      <c r="T740" s="44">
        <v>2</v>
      </c>
      <c r="U740" s="44">
        <f t="shared" ref="U740:U741" si="459">T740*H740*$E$6*$E$6*$E$6*$E$6</f>
        <v>85.085437499999998</v>
      </c>
      <c r="V740" s="123"/>
      <c r="W740" s="44">
        <v>2</v>
      </c>
      <c r="X740" s="44">
        <f>W740*H740*$E$6*$E$6*$E$6*$E$6*$E$6</f>
        <v>89.339709374999998</v>
      </c>
      <c r="Y740" s="44">
        <f>SUM(R740,O740,L740,I740,U740,X740)</f>
        <v>476.133896875</v>
      </c>
      <c r="Z740" s="44" t="s">
        <v>149</v>
      </c>
      <c r="AA740" s="44">
        <f>SUM(Y740:Z740)</f>
        <v>476.133896875</v>
      </c>
    </row>
    <row r="741" spans="1:27" ht="25.2">
      <c r="A741" s="591" t="s">
        <v>1339</v>
      </c>
      <c r="B741" s="45" t="s">
        <v>794</v>
      </c>
      <c r="C741" s="591" t="s">
        <v>747</v>
      </c>
      <c r="D741" s="8" t="s">
        <v>427</v>
      </c>
      <c r="F741" s="8" t="s">
        <v>151</v>
      </c>
      <c r="G741" s="44">
        <f>2*G740</f>
        <v>4</v>
      </c>
      <c r="H741" s="44">
        <f xml:space="preserve"> 75 +  + (0.5*80)</f>
        <v>115</v>
      </c>
      <c r="I741" s="44">
        <f>G741*H741</f>
        <v>460</v>
      </c>
      <c r="J741" s="123"/>
      <c r="K741" s="44">
        <f>2*K740</f>
        <v>4</v>
      </c>
      <c r="L741" s="44">
        <f t="shared" si="453"/>
        <v>483</v>
      </c>
      <c r="M741" s="123"/>
      <c r="N741" s="44">
        <f>2*N740</f>
        <v>4</v>
      </c>
      <c r="O741" s="44">
        <f t="shared" si="454"/>
        <v>507.15000000000003</v>
      </c>
      <c r="P741" s="123"/>
      <c r="Q741" s="44">
        <f>2*Q740</f>
        <v>4</v>
      </c>
      <c r="R741" s="44">
        <f t="shared" si="455"/>
        <v>532.50750000000005</v>
      </c>
      <c r="S741" s="123"/>
      <c r="T741" s="44">
        <f>2*T740</f>
        <v>4</v>
      </c>
      <c r="U741" s="44">
        <f t="shared" si="459"/>
        <v>559.13287500000013</v>
      </c>
      <c r="V741" s="123"/>
      <c r="W741" s="44">
        <f>2*W740</f>
        <v>4</v>
      </c>
      <c r="X741" s="44">
        <f>W741*H741*$E$6*$E$6*$E$6*$E$6*$E$6</f>
        <v>587.08951875000014</v>
      </c>
      <c r="Y741" s="44">
        <f>SUM(R741,O741,L741,I741,U741,X741)</f>
        <v>3128.8798937500001</v>
      </c>
      <c r="Z741" s="44" t="s">
        <v>149</v>
      </c>
      <c r="AA741" s="44">
        <f>SUM(Y741:Z741)</f>
        <v>3128.8798937500001</v>
      </c>
    </row>
    <row r="742" spans="1:27">
      <c r="A742" s="591" t="s">
        <v>1347</v>
      </c>
      <c r="B742" s="591" t="s">
        <v>1265</v>
      </c>
      <c r="C742" s="591" t="s">
        <v>747</v>
      </c>
      <c r="D742" s="8" t="s">
        <v>428</v>
      </c>
      <c r="F742" s="8" t="s">
        <v>148</v>
      </c>
      <c r="G742" s="44">
        <v>0</v>
      </c>
      <c r="H742" s="44">
        <v>35</v>
      </c>
      <c r="I742" s="44">
        <f t="shared" si="452"/>
        <v>0</v>
      </c>
      <c r="J742" s="44"/>
      <c r="K742" s="44">
        <v>0</v>
      </c>
      <c r="L742" s="44">
        <f t="shared" si="453"/>
        <v>0</v>
      </c>
      <c r="M742" s="123"/>
      <c r="N742" s="44">
        <v>0</v>
      </c>
      <c r="O742" s="44">
        <f t="shared" si="454"/>
        <v>0</v>
      </c>
      <c r="P742" s="123"/>
      <c r="Q742" s="44">
        <v>0</v>
      </c>
      <c r="R742" s="44">
        <f t="shared" si="455"/>
        <v>0</v>
      </c>
      <c r="S742" s="123"/>
      <c r="T742" s="44">
        <v>0</v>
      </c>
      <c r="U742" s="44">
        <f>H742*T742*$E$6*$E$6*$E$6*$E$6</f>
        <v>0</v>
      </c>
      <c r="V742" s="123"/>
      <c r="W742" s="44">
        <v>9</v>
      </c>
      <c r="X742" s="44">
        <f t="shared" si="456"/>
        <v>402.0286921875001</v>
      </c>
      <c r="Y742" s="44">
        <f t="shared" si="457"/>
        <v>402.0286921875001</v>
      </c>
      <c r="Z742" s="44" t="s">
        <v>149</v>
      </c>
      <c r="AA742" s="44">
        <f t="shared" si="458"/>
        <v>402.0286921875001</v>
      </c>
    </row>
    <row r="743" spans="1:27" ht="25.2">
      <c r="A743" s="591" t="s">
        <v>1347</v>
      </c>
      <c r="B743" s="45" t="s">
        <v>794</v>
      </c>
      <c r="C743" s="591" t="s">
        <v>747</v>
      </c>
      <c r="D743" s="8" t="s">
        <v>429</v>
      </c>
      <c r="F743" s="8" t="s">
        <v>151</v>
      </c>
      <c r="G743" s="44">
        <f>G742*3</f>
        <v>0</v>
      </c>
      <c r="H743" s="44">
        <f xml:space="preserve"> 75 +  + (0.5*80)</f>
        <v>115</v>
      </c>
      <c r="I743" s="44">
        <f t="shared" si="452"/>
        <v>0</v>
      </c>
      <c r="J743" s="44"/>
      <c r="K743" s="44">
        <f>K742*3</f>
        <v>0</v>
      </c>
      <c r="L743" s="44">
        <f t="shared" si="453"/>
        <v>0</v>
      </c>
      <c r="M743" s="123"/>
      <c r="N743" s="44">
        <f>N742*3</f>
        <v>0</v>
      </c>
      <c r="O743" s="44">
        <f t="shared" si="454"/>
        <v>0</v>
      </c>
      <c r="P743" s="123"/>
      <c r="Q743" s="44">
        <f>Q742*3</f>
        <v>0</v>
      </c>
      <c r="R743" s="44">
        <f t="shared" si="455"/>
        <v>0</v>
      </c>
      <c r="S743" s="123"/>
      <c r="T743" s="44">
        <f>T742*3</f>
        <v>0</v>
      </c>
      <c r="U743" s="44">
        <f>H743*T743*$E$6*$E$6*$E$6*$E$6</f>
        <v>0</v>
      </c>
      <c r="V743" s="123"/>
      <c r="W743" s="44">
        <f>W742*3</f>
        <v>27</v>
      </c>
      <c r="X743" s="44">
        <f t="shared" si="456"/>
        <v>3962.8542515625008</v>
      </c>
      <c r="Y743" s="44">
        <f t="shared" si="457"/>
        <v>3962.8542515625008</v>
      </c>
      <c r="Z743" s="44" t="s">
        <v>149</v>
      </c>
      <c r="AA743" s="44">
        <f t="shared" si="458"/>
        <v>3962.8542515625008</v>
      </c>
    </row>
    <row r="744" spans="1:27" ht="25.2">
      <c r="A744" s="591" t="s">
        <v>1349</v>
      </c>
      <c r="B744" s="591" t="s">
        <v>1348</v>
      </c>
      <c r="C744" s="591" t="s">
        <v>747</v>
      </c>
      <c r="D744" s="8" t="s">
        <v>430</v>
      </c>
      <c r="F744" s="8" t="s">
        <v>148</v>
      </c>
      <c r="G744" s="44">
        <v>1</v>
      </c>
      <c r="H744" s="237">
        <v>800</v>
      </c>
      <c r="I744" s="44">
        <f t="shared" si="452"/>
        <v>800</v>
      </c>
      <c r="J744" s="123"/>
      <c r="K744" s="44">
        <v>0</v>
      </c>
      <c r="L744" s="44">
        <f t="shared" si="453"/>
        <v>0</v>
      </c>
      <c r="M744" s="123"/>
      <c r="N744" s="44">
        <v>0</v>
      </c>
      <c r="O744" s="44">
        <f t="shared" si="454"/>
        <v>0</v>
      </c>
      <c r="P744" s="123"/>
      <c r="Q744" s="44">
        <v>0</v>
      </c>
      <c r="R744" s="44">
        <f t="shared" si="455"/>
        <v>0</v>
      </c>
      <c r="S744" s="123"/>
      <c r="T744" s="44">
        <v>0</v>
      </c>
      <c r="U744" s="44">
        <f>T744*H744*$E$6*$E$6*$E$6*$E$6</f>
        <v>0</v>
      </c>
      <c r="V744" s="123"/>
      <c r="W744" s="44">
        <v>0</v>
      </c>
      <c r="X744" s="44">
        <f t="shared" ref="X744:X747" si="460">W744*H744*$E$6*$E$6*$E$6*$E$6*$E$6</f>
        <v>0</v>
      </c>
      <c r="Y744" s="44">
        <f t="shared" ref="Y744:Y747" si="461">SUM(R744,O744,L744,I744,U744,X744)</f>
        <v>800</v>
      </c>
      <c r="Z744" s="44" t="s">
        <v>149</v>
      </c>
      <c r="AA744" s="44">
        <f t="shared" si="458"/>
        <v>800</v>
      </c>
    </row>
    <row r="745" spans="1:27">
      <c r="A745" s="591" t="s">
        <v>1349</v>
      </c>
      <c r="B745" s="591" t="s">
        <v>1265</v>
      </c>
      <c r="C745" s="591" t="s">
        <v>747</v>
      </c>
      <c r="D745" s="8" t="s">
        <v>431</v>
      </c>
      <c r="F745" s="8" t="s">
        <v>151</v>
      </c>
      <c r="G745" s="44">
        <v>10</v>
      </c>
      <c r="H745" s="44">
        <v>50</v>
      </c>
      <c r="I745" s="44">
        <f t="shared" si="452"/>
        <v>500</v>
      </c>
      <c r="J745" s="44"/>
      <c r="K745" s="44">
        <v>0</v>
      </c>
      <c r="L745" s="44">
        <f t="shared" si="453"/>
        <v>0</v>
      </c>
      <c r="M745" s="123"/>
      <c r="N745" s="44">
        <v>0</v>
      </c>
      <c r="O745" s="44">
        <f t="shared" si="454"/>
        <v>0</v>
      </c>
      <c r="P745" s="123"/>
      <c r="Q745" s="44">
        <f>Q751*10</f>
        <v>0</v>
      </c>
      <c r="R745" s="44">
        <f t="shared" si="455"/>
        <v>0</v>
      </c>
      <c r="S745" s="123"/>
      <c r="T745" s="44">
        <f>T751*10</f>
        <v>0</v>
      </c>
      <c r="U745" s="44">
        <f>H745*T745*$E$6*$E$6*$E$6*$E$6</f>
        <v>0</v>
      </c>
      <c r="V745" s="123"/>
      <c r="W745" s="44">
        <f>W751*10</f>
        <v>0</v>
      </c>
      <c r="X745" s="44">
        <f t="shared" si="460"/>
        <v>0</v>
      </c>
      <c r="Y745" s="44">
        <f t="shared" si="461"/>
        <v>500</v>
      </c>
      <c r="Z745" s="44" t="s">
        <v>149</v>
      </c>
      <c r="AA745" s="44">
        <f t="shared" si="458"/>
        <v>500</v>
      </c>
    </row>
    <row r="746" spans="1:27" ht="25.2">
      <c r="A746" s="591" t="s">
        <v>1349</v>
      </c>
      <c r="B746" s="45" t="s">
        <v>794</v>
      </c>
      <c r="C746" s="591" t="s">
        <v>747</v>
      </c>
      <c r="D746" s="8" t="s">
        <v>432</v>
      </c>
      <c r="F746" s="8" t="s">
        <v>151</v>
      </c>
      <c r="G746" s="44">
        <f>G744*5</f>
        <v>5</v>
      </c>
      <c r="H746" s="237">
        <f xml:space="preserve"> 150 + (0.5*87)</f>
        <v>193.5</v>
      </c>
      <c r="I746" s="44">
        <f t="shared" si="452"/>
        <v>967.5</v>
      </c>
      <c r="J746" s="44"/>
      <c r="K746" s="44">
        <f>K744*5</f>
        <v>0</v>
      </c>
      <c r="L746" s="44">
        <f t="shared" si="453"/>
        <v>0</v>
      </c>
      <c r="M746" s="123"/>
      <c r="N746" s="44">
        <f>N744*5</f>
        <v>0</v>
      </c>
      <c r="O746" s="44">
        <f t="shared" si="454"/>
        <v>0</v>
      </c>
      <c r="P746" s="123"/>
      <c r="Q746" s="44">
        <f>Q744*5</f>
        <v>0</v>
      </c>
      <c r="R746" s="44">
        <f t="shared" si="455"/>
        <v>0</v>
      </c>
      <c r="S746" s="123"/>
      <c r="T746" s="44">
        <f>T744*5</f>
        <v>0</v>
      </c>
      <c r="U746" s="44">
        <f>H746*T746*$E$6*$E$6*$E$6*$E$6</f>
        <v>0</v>
      </c>
      <c r="V746" s="123"/>
      <c r="W746" s="44">
        <f>W744*5</f>
        <v>0</v>
      </c>
      <c r="X746" s="44">
        <f t="shared" si="460"/>
        <v>0</v>
      </c>
      <c r="Y746" s="44">
        <f t="shared" si="461"/>
        <v>967.5</v>
      </c>
      <c r="Z746" s="44" t="s">
        <v>149</v>
      </c>
      <c r="AA746" s="44">
        <f t="shared" si="458"/>
        <v>967.5</v>
      </c>
    </row>
    <row r="747" spans="1:27" ht="25.2">
      <c r="A747" s="591" t="s">
        <v>1349</v>
      </c>
      <c r="B747" s="45" t="s">
        <v>794</v>
      </c>
      <c r="C747" s="591" t="s">
        <v>747</v>
      </c>
      <c r="D747" s="8" t="s">
        <v>433</v>
      </c>
      <c r="F747" s="8" t="s">
        <v>151</v>
      </c>
      <c r="G747" s="44">
        <v>5</v>
      </c>
      <c r="H747" s="44">
        <f xml:space="preserve"> 70 + (0.5*80)</f>
        <v>110</v>
      </c>
      <c r="I747" s="44">
        <f t="shared" si="452"/>
        <v>550</v>
      </c>
      <c r="J747" s="44"/>
      <c r="K747" s="44">
        <f>K745*5</f>
        <v>0</v>
      </c>
      <c r="L747" s="44">
        <f t="shared" si="453"/>
        <v>0</v>
      </c>
      <c r="M747" s="123"/>
      <c r="N747" s="44">
        <f>N745*5</f>
        <v>0</v>
      </c>
      <c r="O747" s="44">
        <f t="shared" si="454"/>
        <v>0</v>
      </c>
      <c r="P747" s="123"/>
      <c r="Q747" s="44">
        <f>Q745*5</f>
        <v>0</v>
      </c>
      <c r="R747" s="44">
        <f t="shared" si="455"/>
        <v>0</v>
      </c>
      <c r="S747" s="123"/>
      <c r="T747" s="44">
        <f>T745*5</f>
        <v>0</v>
      </c>
      <c r="U747" s="44">
        <f>H747*T747*$E$6*$E$6*$E$6*$E$6</f>
        <v>0</v>
      </c>
      <c r="V747" s="123"/>
      <c r="W747" s="44">
        <f>W745*5</f>
        <v>0</v>
      </c>
      <c r="X747" s="44">
        <f t="shared" si="460"/>
        <v>0</v>
      </c>
      <c r="Y747" s="44">
        <f t="shared" si="461"/>
        <v>550</v>
      </c>
      <c r="Z747" s="44" t="s">
        <v>149</v>
      </c>
      <c r="AA747" s="44">
        <f t="shared" si="458"/>
        <v>550</v>
      </c>
    </row>
    <row r="748" spans="1:27">
      <c r="A748" s="607"/>
      <c r="B748" s="607"/>
      <c r="C748" s="607"/>
      <c r="D748" s="41" t="s">
        <v>434</v>
      </c>
      <c r="E748" s="127"/>
      <c r="F748" s="46"/>
      <c r="G748" s="47"/>
      <c r="H748" s="47"/>
      <c r="I748" s="48">
        <f>SUM(I739:I747)</f>
        <v>3527.5</v>
      </c>
      <c r="J748" s="127"/>
      <c r="K748" s="47"/>
      <c r="L748" s="48">
        <f>SUM(L739:L747)</f>
        <v>1312.5</v>
      </c>
      <c r="M748" s="127"/>
      <c r="N748" s="47"/>
      <c r="O748" s="48">
        <f>SUM(O739:O747)</f>
        <v>1378.125</v>
      </c>
      <c r="P748" s="127"/>
      <c r="Q748" s="47"/>
      <c r="R748" s="48">
        <f>SUM(R739:R747)</f>
        <v>1447.03125</v>
      </c>
      <c r="S748" s="127"/>
      <c r="T748" s="47"/>
      <c r="U748" s="48">
        <f>SUM(U739:U747)</f>
        <v>1519.3828125000005</v>
      </c>
      <c r="V748" s="127"/>
      <c r="W748" s="47"/>
      <c r="X748" s="48">
        <f>SUM(X739:X747)</f>
        <v>5730.5042156250011</v>
      </c>
      <c r="Y748" s="576">
        <f>SUM(Y739:Y747)</f>
        <v>14915.043278125</v>
      </c>
      <c r="Z748" s="48">
        <f>SUM(Z739:Z747)</f>
        <v>0</v>
      </c>
      <c r="AA748" s="48">
        <f>SUM(AA739:AA747)</f>
        <v>14915.043278125</v>
      </c>
    </row>
    <row r="749" spans="1:27">
      <c r="A749" s="608"/>
      <c r="B749" s="608"/>
      <c r="C749" s="608"/>
      <c r="D749" s="100"/>
      <c r="E749" s="128"/>
      <c r="F749" s="81"/>
      <c r="G749" s="63"/>
      <c r="H749" s="63"/>
      <c r="I749" s="63"/>
      <c r="J749" s="128"/>
      <c r="K749" s="63"/>
      <c r="L749" s="63"/>
      <c r="M749" s="128"/>
      <c r="N749" s="63"/>
      <c r="O749" s="63"/>
      <c r="P749" s="128"/>
      <c r="Q749" s="63"/>
      <c r="R749" s="63"/>
      <c r="S749" s="128"/>
      <c r="T749" s="63"/>
      <c r="U749" s="63"/>
      <c r="V749" s="128"/>
      <c r="W749" s="63"/>
      <c r="X749" s="63"/>
      <c r="Y749" s="63"/>
      <c r="Z749" s="63"/>
      <c r="AA749" s="63"/>
    </row>
    <row r="750" spans="1:27">
      <c r="A750" s="607"/>
      <c r="B750" s="607"/>
      <c r="C750" s="607"/>
      <c r="D750" s="41" t="s">
        <v>435</v>
      </c>
      <c r="E750" s="127"/>
      <c r="F750" s="46"/>
      <c r="G750" s="47"/>
      <c r="H750" s="47"/>
      <c r="I750" s="47"/>
      <c r="J750" s="127"/>
      <c r="K750" s="47"/>
      <c r="L750" s="47"/>
      <c r="M750" s="127"/>
      <c r="N750" s="47"/>
      <c r="O750" s="47"/>
      <c r="P750" s="127"/>
      <c r="Q750" s="47"/>
      <c r="R750" s="47"/>
      <c r="S750" s="127"/>
      <c r="T750" s="47"/>
      <c r="U750" s="47"/>
      <c r="V750" s="127"/>
      <c r="W750" s="47"/>
      <c r="X750" s="47"/>
      <c r="Y750" s="47"/>
      <c r="Z750" s="47"/>
      <c r="AA750" s="47"/>
    </row>
    <row r="751" spans="1:27">
      <c r="A751" s="591" t="s">
        <v>1344</v>
      </c>
      <c r="B751" s="591" t="s">
        <v>1346</v>
      </c>
      <c r="C751" s="591" t="s">
        <v>747</v>
      </c>
      <c r="D751" s="8" t="s">
        <v>436</v>
      </c>
      <c r="F751" s="8" t="s">
        <v>437</v>
      </c>
      <c r="G751" s="44">
        <v>0</v>
      </c>
      <c r="H751" s="44">
        <v>250</v>
      </c>
      <c r="I751" s="44">
        <f t="shared" ref="I751" si="462">G751*H751</f>
        <v>0</v>
      </c>
      <c r="J751" s="123"/>
      <c r="K751" s="44">
        <v>12</v>
      </c>
      <c r="L751" s="44">
        <f t="shared" ref="L751" si="463">H751*K751</f>
        <v>3000</v>
      </c>
      <c r="M751" s="123"/>
      <c r="N751" s="44">
        <v>12</v>
      </c>
      <c r="O751" s="44">
        <f t="shared" ref="O751" si="464">H751*N751</f>
        <v>3000</v>
      </c>
      <c r="P751" s="123"/>
      <c r="Q751" s="44">
        <v>0</v>
      </c>
      <c r="R751" s="44">
        <f t="shared" ref="R751" si="465">H751*Q751</f>
        <v>0</v>
      </c>
      <c r="S751" s="123"/>
      <c r="T751" s="44">
        <v>0</v>
      </c>
      <c r="U751" s="44">
        <f t="shared" ref="U751" si="466">H751*T751</f>
        <v>0</v>
      </c>
      <c r="V751" s="123"/>
      <c r="W751" s="44">
        <v>0</v>
      </c>
      <c r="X751" s="44">
        <f t="shared" ref="X751" si="467">W751*H751</f>
        <v>0</v>
      </c>
      <c r="Y751" s="44">
        <f t="shared" ref="Y751" si="468">SUM(R751,O751,L751,I751,U751,X751)</f>
        <v>6000</v>
      </c>
      <c r="Z751" s="44">
        <v>0</v>
      </c>
      <c r="AA751" s="44">
        <f t="shared" ref="AA751" si="469">SUM(Y751:Z751)</f>
        <v>6000</v>
      </c>
    </row>
    <row r="752" spans="1:27">
      <c r="A752" s="591" t="s">
        <v>1345</v>
      </c>
      <c r="B752" s="591" t="s">
        <v>819</v>
      </c>
      <c r="C752" s="591" t="s">
        <v>747</v>
      </c>
      <c r="D752" s="8" t="s">
        <v>438</v>
      </c>
      <c r="F752" s="8" t="s">
        <v>439</v>
      </c>
      <c r="G752" s="44">
        <v>2</v>
      </c>
      <c r="H752" s="44">
        <f>((50*5)+(50*8)+500)*2</f>
        <v>2300</v>
      </c>
      <c r="I752" s="44">
        <f t="shared" ref="I752" si="470">G752*H752</f>
        <v>4600</v>
      </c>
      <c r="J752" s="123"/>
      <c r="K752" s="44">
        <v>2</v>
      </c>
      <c r="L752" s="44">
        <f t="shared" ref="L752" si="471">H752*K752</f>
        <v>4600</v>
      </c>
      <c r="M752" s="123"/>
      <c r="N752" s="44">
        <v>2</v>
      </c>
      <c r="O752" s="44">
        <f t="shared" ref="O752" si="472">H752*N752</f>
        <v>4600</v>
      </c>
      <c r="P752" s="123"/>
      <c r="Q752" s="44">
        <v>2</v>
      </c>
      <c r="R752" s="44">
        <f t="shared" ref="R752" si="473">H752*Q752</f>
        <v>4600</v>
      </c>
      <c r="S752" s="123"/>
      <c r="T752" s="44">
        <v>2</v>
      </c>
      <c r="U752" s="44">
        <f t="shared" ref="U752" si="474">H752*T752</f>
        <v>4600</v>
      </c>
      <c r="V752" s="123"/>
      <c r="W752" s="44">
        <v>2</v>
      </c>
      <c r="X752" s="44">
        <f t="shared" ref="X752" si="475">W752*H752</f>
        <v>4600</v>
      </c>
      <c r="Y752" s="44">
        <f t="shared" ref="Y752" si="476">SUM(R752,O752,L752,I752,U752,X752)</f>
        <v>27600</v>
      </c>
      <c r="Z752" s="44">
        <v>0</v>
      </c>
      <c r="AA752" s="44">
        <f t="shared" ref="AA752" si="477">SUM(Y752:Z752)</f>
        <v>27600</v>
      </c>
    </row>
    <row r="753" spans="1:29">
      <c r="A753" s="607"/>
      <c r="B753" s="607"/>
      <c r="C753" s="607"/>
      <c r="D753" s="41" t="s">
        <v>440</v>
      </c>
      <c r="E753" s="127"/>
      <c r="F753" s="46"/>
      <c r="G753" s="47"/>
      <c r="H753" s="47"/>
      <c r="I753" s="48">
        <f>SUM(I751:I752)</f>
        <v>4600</v>
      </c>
      <c r="J753" s="127"/>
      <c r="K753" s="48"/>
      <c r="L753" s="48">
        <f>SUM(L751:L752)</f>
        <v>7600</v>
      </c>
      <c r="M753" s="127"/>
      <c r="N753" s="48"/>
      <c r="O753" s="48">
        <f>SUM(O751:O752)</f>
        <v>7600</v>
      </c>
      <c r="P753" s="127"/>
      <c r="Q753" s="48"/>
      <c r="R753" s="48">
        <f>SUM(R751:R752)</f>
        <v>4600</v>
      </c>
      <c r="S753" s="127"/>
      <c r="T753" s="48"/>
      <c r="U753" s="48">
        <f>SUM(U751:U752)</f>
        <v>4600</v>
      </c>
      <c r="V753" s="127"/>
      <c r="W753" s="48"/>
      <c r="X753" s="48">
        <f>SUM(X751:X752)</f>
        <v>4600</v>
      </c>
      <c r="Y753" s="101">
        <f>SUM(Y751:Y752)</f>
        <v>33600</v>
      </c>
      <c r="Z753" s="48">
        <f>SUM(Z751:Z752)</f>
        <v>0</v>
      </c>
      <c r="AA753" s="48">
        <f>SUM(AA751:AA752)</f>
        <v>33600</v>
      </c>
      <c r="AC753" s="566"/>
    </row>
    <row r="754" spans="1:29">
      <c r="A754" s="608"/>
      <c r="B754" s="608"/>
      <c r="C754" s="608"/>
      <c r="D754" s="100"/>
      <c r="E754" s="128"/>
      <c r="F754" s="81"/>
      <c r="G754" s="63"/>
      <c r="H754" s="63"/>
      <c r="I754" s="63"/>
      <c r="J754" s="128"/>
      <c r="K754" s="63"/>
      <c r="L754" s="63"/>
      <c r="M754" s="128"/>
      <c r="N754" s="63"/>
      <c r="O754" s="63"/>
      <c r="P754" s="128"/>
      <c r="Q754" s="63"/>
      <c r="R754" s="63"/>
      <c r="S754" s="128"/>
      <c r="T754" s="63"/>
      <c r="U754" s="63"/>
      <c r="V754" s="128"/>
      <c r="W754" s="63"/>
      <c r="X754" s="63"/>
      <c r="Y754" s="63"/>
      <c r="Z754" s="63"/>
      <c r="AA754" s="63"/>
      <c r="AC754" s="566"/>
    </row>
    <row r="755" spans="1:29" ht="12.9" thickBot="1">
      <c r="A755" s="596"/>
      <c r="B755" s="596"/>
      <c r="C755" s="596"/>
      <c r="D755" s="54" t="s">
        <v>441</v>
      </c>
      <c r="E755" s="121"/>
      <c r="F755" s="54"/>
      <c r="G755" s="69"/>
      <c r="H755" s="69"/>
      <c r="I755" s="65">
        <f>+I732+I748+I724+I720+I753+I736</f>
        <v>61457.735000000001</v>
      </c>
      <c r="J755" s="121"/>
      <c r="K755" s="65"/>
      <c r="L755" s="65">
        <f>+L732+L748+L724+L720+L753+L736</f>
        <v>72186.141999999993</v>
      </c>
      <c r="M755" s="121"/>
      <c r="N755" s="65"/>
      <c r="O755" s="65">
        <f>+O732+O748+O724+O720+O753+O736</f>
        <v>96599.333574999997</v>
      </c>
      <c r="P755" s="121"/>
      <c r="Q755" s="65"/>
      <c r="R755" s="65">
        <f>+R732+R748+R724+R720+R753+R736</f>
        <v>71745.963610000006</v>
      </c>
      <c r="S755" s="121"/>
      <c r="T755" s="65"/>
      <c r="U755" s="65">
        <f>+U732+U748+U724+U720+U753+U736</f>
        <v>68592.312485687507</v>
      </c>
      <c r="V755" s="121"/>
      <c r="W755" s="65"/>
      <c r="X755" s="65">
        <f>+X732+X748+X724+X720+X753+X736</f>
        <v>55273.413083115636</v>
      </c>
      <c r="Y755" s="65">
        <f>+Y732+Y748+Y724+Y720+Y753+Y736</f>
        <v>425854.8997538031</v>
      </c>
      <c r="Z755" s="65">
        <f>+Z732+Z748+Z724+Z720+Z753+Z736</f>
        <v>0</v>
      </c>
      <c r="AA755" s="65">
        <f>+AA732+AA748+AA724+AA720+AA753+AA736</f>
        <v>425854.8997538031</v>
      </c>
    </row>
    <row r="756" spans="1:29">
      <c r="A756" s="597"/>
      <c r="B756" s="597"/>
      <c r="C756" s="597"/>
      <c r="D756" s="81"/>
      <c r="E756" s="118"/>
      <c r="F756" s="81"/>
      <c r="G756" s="63"/>
      <c r="H756" s="63"/>
      <c r="I756" s="63"/>
      <c r="J756" s="118"/>
      <c r="K756" s="63"/>
      <c r="L756" s="63"/>
      <c r="M756" s="118"/>
      <c r="N756" s="63"/>
      <c r="O756" s="63"/>
      <c r="P756" s="118"/>
      <c r="Q756" s="63"/>
      <c r="R756" s="63"/>
      <c r="S756" s="118"/>
      <c r="T756" s="63"/>
      <c r="U756" s="63"/>
      <c r="V756" s="118"/>
      <c r="W756" s="63"/>
      <c r="X756" s="63"/>
      <c r="Y756" s="63"/>
      <c r="Z756" s="63"/>
      <c r="AA756" s="63"/>
    </row>
    <row r="757" spans="1:29">
      <c r="A757" s="605"/>
      <c r="B757" s="605"/>
      <c r="C757" s="605"/>
      <c r="D757" s="94" t="str">
        <f>'USDA Budget Summary'!A36</f>
        <v>Activity 10: Develop Public-Private Partnerships to Support School Feeding Sustainability</v>
      </c>
      <c r="E757" s="125"/>
      <c r="F757" s="38"/>
      <c r="G757" s="38"/>
      <c r="H757" s="39"/>
      <c r="I757" s="95"/>
      <c r="J757" s="125"/>
      <c r="K757" s="95"/>
      <c r="L757" s="95"/>
      <c r="M757" s="125"/>
      <c r="N757" s="95"/>
      <c r="O757" s="95"/>
      <c r="P757" s="125"/>
      <c r="Q757" s="95"/>
      <c r="R757" s="95"/>
      <c r="S757" s="125"/>
      <c r="T757" s="95"/>
      <c r="U757" s="95"/>
      <c r="V757" s="125"/>
      <c r="W757" s="95"/>
      <c r="X757" s="95"/>
      <c r="Y757" s="95"/>
      <c r="Z757" s="96"/>
      <c r="AA757" s="95"/>
    </row>
    <row r="758" spans="1:29">
      <c r="A758" s="606"/>
      <c r="B758" s="606"/>
      <c r="C758" s="606"/>
      <c r="D758" s="97" t="s">
        <v>227</v>
      </c>
      <c r="E758" s="126"/>
      <c r="F758" s="98"/>
      <c r="G758" s="99"/>
      <c r="H758" s="99"/>
      <c r="I758" s="99"/>
      <c r="J758" s="126"/>
      <c r="K758" s="99"/>
      <c r="L758" s="99"/>
      <c r="M758" s="126"/>
      <c r="N758" s="99"/>
      <c r="O758" s="99"/>
      <c r="P758" s="126"/>
      <c r="Q758" s="99"/>
      <c r="R758" s="99"/>
      <c r="S758" s="126"/>
      <c r="T758" s="99"/>
      <c r="U758" s="99"/>
      <c r="V758" s="126"/>
      <c r="W758" s="99"/>
      <c r="X758" s="99"/>
      <c r="Y758" s="99"/>
      <c r="Z758" s="99"/>
      <c r="AA758" s="99"/>
    </row>
    <row r="759" spans="1:29">
      <c r="A759" s="607"/>
      <c r="B759" s="607"/>
      <c r="C759" s="607"/>
      <c r="D759" s="41" t="s">
        <v>442</v>
      </c>
      <c r="E759" s="127"/>
      <c r="F759" s="46"/>
      <c r="G759" s="47"/>
      <c r="H759" s="47"/>
      <c r="I759" s="47"/>
      <c r="J759" s="127"/>
      <c r="K759" s="47"/>
      <c r="L759" s="47"/>
      <c r="M759" s="127"/>
      <c r="N759" s="47"/>
      <c r="O759" s="47"/>
      <c r="P759" s="127"/>
      <c r="Q759" s="47"/>
      <c r="R759" s="47"/>
      <c r="S759" s="127"/>
      <c r="T759" s="47"/>
      <c r="U759" s="47"/>
      <c r="V759" s="127"/>
      <c r="W759" s="47"/>
      <c r="X759" s="47"/>
      <c r="Y759" s="47"/>
      <c r="Z759" s="47"/>
      <c r="AA759" s="47"/>
    </row>
    <row r="760" spans="1:29" hidden="1">
      <c r="A760" s="595" t="s">
        <v>1148</v>
      </c>
      <c r="B760" s="595">
        <v>70000</v>
      </c>
      <c r="C760" s="595" t="s">
        <v>747</v>
      </c>
      <c r="D760" s="8" t="str">
        <f t="shared" ref="D760:D793" si="478">D12</f>
        <v xml:space="preserve">Key Personnel: Chief of Party - Roger Sanchez O’Neill </v>
      </c>
      <c r="E760" s="115">
        <f>'LOE Breakdown by Year'!N11</f>
        <v>0</v>
      </c>
      <c r="F760" s="50" t="s">
        <v>100</v>
      </c>
      <c r="G760" s="44">
        <f t="shared" ref="G760:H779" si="479">G12</f>
        <v>11</v>
      </c>
      <c r="H760" s="44">
        <f t="shared" si="479"/>
        <v>9583.3333333333339</v>
      </c>
      <c r="I760" s="44">
        <f>G760*H760*E760</f>
        <v>0</v>
      </c>
      <c r="J760" s="115">
        <f>'LOE Breakdown by Year'!N57</f>
        <v>0</v>
      </c>
      <c r="K760" s="44">
        <f t="shared" ref="K760:K793" si="480">K12</f>
        <v>12</v>
      </c>
      <c r="L760" s="44">
        <f>K760*H760*$E$7*$J760</f>
        <v>0</v>
      </c>
      <c r="M760" s="115">
        <f>'LOE Breakdown by Year'!N103</f>
        <v>0</v>
      </c>
      <c r="N760" s="44">
        <f t="shared" ref="N760:N793" si="481">N12</f>
        <v>12</v>
      </c>
      <c r="O760" s="44">
        <f>N760*H760*$M760*$E$7*$E$7</f>
        <v>0</v>
      </c>
      <c r="P760" s="115">
        <f>'LOE Breakdown by Year'!N149</f>
        <v>0</v>
      </c>
      <c r="Q760" s="44">
        <f t="shared" ref="Q760:Q793" si="482">Q12</f>
        <v>12</v>
      </c>
      <c r="R760" s="44">
        <f>Q760*H760*$P760*$E$7*$E$7*$E$7</f>
        <v>0</v>
      </c>
      <c r="S760" s="115">
        <f>'LOE Breakdown by Year'!N195</f>
        <v>0</v>
      </c>
      <c r="T760" s="44">
        <f t="shared" ref="T760:T793" si="483">T12</f>
        <v>12</v>
      </c>
      <c r="U760" s="44">
        <f>T760*H760*$S760*$E$7*$E$7*$E$7*$E$7</f>
        <v>0</v>
      </c>
      <c r="V760" s="115">
        <f>'LOE Breakdown by Year'!N241</f>
        <v>0</v>
      </c>
      <c r="W760" s="44">
        <f t="shared" ref="W760:W793" si="484">W12</f>
        <v>12</v>
      </c>
      <c r="X760" s="44">
        <f>W760*H760*$V760*$E$7*$E$7*$E$7*$E$7*$E$7</f>
        <v>0</v>
      </c>
      <c r="Y760" s="44">
        <f>SUM(R760,O760,L760,I760,U760,X760)</f>
        <v>0</v>
      </c>
      <c r="Z760" s="44">
        <v>0</v>
      </c>
      <c r="AA760" s="44">
        <f t="shared" ref="AA760" si="485">SUM(Y760:Z760)</f>
        <v>0</v>
      </c>
    </row>
    <row r="761" spans="1:29" hidden="1">
      <c r="A761" s="595" t="s">
        <v>1149</v>
      </c>
      <c r="B761" s="595">
        <v>70000</v>
      </c>
      <c r="C761" s="595" t="s">
        <v>747</v>
      </c>
      <c r="D761" s="8" t="str">
        <f t="shared" si="478"/>
        <v>Key Personnel: Deputy Chief of Party - David Medina Mayo</v>
      </c>
      <c r="E761" s="115">
        <f>'LOE Breakdown by Year'!N12</f>
        <v>0</v>
      </c>
      <c r="F761" s="50" t="s">
        <v>100</v>
      </c>
      <c r="G761" s="44">
        <f t="shared" si="479"/>
        <v>11</v>
      </c>
      <c r="H761" s="44">
        <f t="shared" si="479"/>
        <v>6500</v>
      </c>
      <c r="I761" s="44">
        <f t="shared" ref="I761:I793" si="486">G761*H761*E761</f>
        <v>0</v>
      </c>
      <c r="J761" s="115">
        <f>'LOE Breakdown by Year'!N58</f>
        <v>0</v>
      </c>
      <c r="K761" s="44">
        <f t="shared" si="480"/>
        <v>12</v>
      </c>
      <c r="L761" s="44">
        <f t="shared" ref="L761:L793" si="487">K761*H761*$E$7*$J761</f>
        <v>0</v>
      </c>
      <c r="M761" s="115">
        <f>'LOE Breakdown by Year'!N104</f>
        <v>0</v>
      </c>
      <c r="N761" s="44">
        <f t="shared" si="481"/>
        <v>12</v>
      </c>
      <c r="O761" s="44">
        <f t="shared" ref="O761:O793" si="488">N761*H761*$M761*$E$7*$E$7</f>
        <v>0</v>
      </c>
      <c r="P761" s="115">
        <f>'LOE Breakdown by Year'!N150</f>
        <v>0</v>
      </c>
      <c r="Q761" s="44">
        <f t="shared" si="482"/>
        <v>12</v>
      </c>
      <c r="R761" s="44">
        <f t="shared" ref="R761:R793" si="489">Q761*H761*$P761*$E$7*$E$7*$E$7</f>
        <v>0</v>
      </c>
      <c r="S761" s="115">
        <f>'LOE Breakdown by Year'!N196</f>
        <v>0</v>
      </c>
      <c r="T761" s="44">
        <f t="shared" si="483"/>
        <v>12</v>
      </c>
      <c r="U761" s="44">
        <f t="shared" ref="U761:U793" si="490">T761*H761*$S761*$E$7*$E$7*$E$7*$E$7</f>
        <v>0</v>
      </c>
      <c r="V761" s="115">
        <f>'LOE Breakdown by Year'!N242</f>
        <v>0</v>
      </c>
      <c r="W761" s="44">
        <f t="shared" si="484"/>
        <v>12</v>
      </c>
      <c r="X761" s="44">
        <f t="shared" ref="X761:X793" si="491">W761*H761*$V761*$E$7*$E$7*$E$7*$E$7*$E$7</f>
        <v>0</v>
      </c>
      <c r="Y761" s="44">
        <f t="shared" ref="Y761:Y793" si="492">SUM(R761,O761,L761,I761,U761,X761)</f>
        <v>0</v>
      </c>
      <c r="Z761" s="44">
        <v>0</v>
      </c>
      <c r="AA761" s="44">
        <f t="shared" ref="AA761:AA793" si="493">SUM(Y761:Z761)</f>
        <v>0</v>
      </c>
    </row>
    <row r="762" spans="1:29">
      <c r="A762" s="595" t="s">
        <v>1150</v>
      </c>
      <c r="B762" s="595">
        <v>70000</v>
      </c>
      <c r="C762" s="595" t="s">
        <v>747</v>
      </c>
      <c r="D762" s="8" t="str">
        <f t="shared" si="478"/>
        <v>Policy &amp; Sustainability Specialist</v>
      </c>
      <c r="E762" s="115">
        <f>'LOE Breakdown by Year'!N13</f>
        <v>0.3</v>
      </c>
      <c r="F762" s="50" t="s">
        <v>100</v>
      </c>
      <c r="G762" s="44">
        <f t="shared" si="479"/>
        <v>0</v>
      </c>
      <c r="H762" s="44">
        <f t="shared" si="479"/>
        <v>1500</v>
      </c>
      <c r="I762" s="44">
        <f t="shared" si="486"/>
        <v>0</v>
      </c>
      <c r="J762" s="115">
        <f>'LOE Breakdown by Year'!N59</f>
        <v>0.3</v>
      </c>
      <c r="K762" s="44">
        <f t="shared" si="480"/>
        <v>0</v>
      </c>
      <c r="L762" s="44">
        <f t="shared" si="487"/>
        <v>0</v>
      </c>
      <c r="M762" s="115">
        <f>'LOE Breakdown by Year'!N105</f>
        <v>0.3</v>
      </c>
      <c r="N762" s="44">
        <f t="shared" si="481"/>
        <v>7</v>
      </c>
      <c r="O762" s="44">
        <f t="shared" si="488"/>
        <v>3472.875</v>
      </c>
      <c r="P762" s="115">
        <f>'LOE Breakdown by Year'!N151</f>
        <v>0.3</v>
      </c>
      <c r="Q762" s="44">
        <f t="shared" si="482"/>
        <v>12</v>
      </c>
      <c r="R762" s="44">
        <f t="shared" si="489"/>
        <v>6251.1750000000002</v>
      </c>
      <c r="S762" s="115">
        <f>'LOE Breakdown by Year'!N197</f>
        <v>0.3</v>
      </c>
      <c r="T762" s="44">
        <f t="shared" si="483"/>
        <v>12</v>
      </c>
      <c r="U762" s="44">
        <f t="shared" si="490"/>
        <v>6563.7337500000003</v>
      </c>
      <c r="V762" s="115">
        <f>'LOE Breakdown by Year'!N243</f>
        <v>0.3</v>
      </c>
      <c r="W762" s="44">
        <f t="shared" si="484"/>
        <v>6</v>
      </c>
      <c r="X762" s="44">
        <f t="shared" si="491"/>
        <v>3445.9602187500004</v>
      </c>
      <c r="Y762" s="44">
        <f t="shared" si="492"/>
        <v>19733.743968750001</v>
      </c>
      <c r="Z762" s="44">
        <v>0</v>
      </c>
      <c r="AA762" s="44">
        <f t="shared" si="493"/>
        <v>19733.743968750001</v>
      </c>
    </row>
    <row r="763" spans="1:29">
      <c r="A763" s="595" t="s">
        <v>1151</v>
      </c>
      <c r="B763" s="595">
        <v>70000</v>
      </c>
      <c r="C763" s="595" t="s">
        <v>747</v>
      </c>
      <c r="D763" s="8" t="str">
        <f t="shared" si="478"/>
        <v xml:space="preserve">Education Director </v>
      </c>
      <c r="E763" s="115">
        <f>'LOE Breakdown by Year'!N14</f>
        <v>0.1</v>
      </c>
      <c r="F763" s="50" t="s">
        <v>100</v>
      </c>
      <c r="G763" s="44">
        <f t="shared" si="479"/>
        <v>9</v>
      </c>
      <c r="H763" s="44">
        <f t="shared" si="479"/>
        <v>4583.333333333333</v>
      </c>
      <c r="I763" s="44">
        <f t="shared" si="486"/>
        <v>4125</v>
      </c>
      <c r="J763" s="115">
        <f>'LOE Breakdown by Year'!N60</f>
        <v>0.1</v>
      </c>
      <c r="K763" s="44">
        <f t="shared" si="480"/>
        <v>12</v>
      </c>
      <c r="L763" s="44">
        <f t="shared" si="487"/>
        <v>5775</v>
      </c>
      <c r="M763" s="115">
        <f>'LOE Breakdown by Year'!N106</f>
        <v>0.1</v>
      </c>
      <c r="N763" s="44">
        <f t="shared" si="481"/>
        <v>12</v>
      </c>
      <c r="O763" s="44">
        <f t="shared" si="488"/>
        <v>6063.75</v>
      </c>
      <c r="P763" s="115">
        <f>'LOE Breakdown by Year'!N152</f>
        <v>0.1</v>
      </c>
      <c r="Q763" s="44">
        <f t="shared" si="482"/>
        <v>12</v>
      </c>
      <c r="R763" s="44">
        <f t="shared" si="489"/>
        <v>6366.9375</v>
      </c>
      <c r="S763" s="115">
        <f>'LOE Breakdown by Year'!N198</f>
        <v>0.1</v>
      </c>
      <c r="T763" s="44">
        <f t="shared" si="483"/>
        <v>12</v>
      </c>
      <c r="U763" s="44">
        <f t="shared" si="490"/>
        <v>6685.2843750000002</v>
      </c>
      <c r="V763" s="115">
        <f>'LOE Breakdown by Year'!N244</f>
        <v>0.1</v>
      </c>
      <c r="W763" s="44">
        <f t="shared" si="484"/>
        <v>8</v>
      </c>
      <c r="X763" s="44">
        <f t="shared" si="491"/>
        <v>4679.6990624999999</v>
      </c>
      <c r="Y763" s="44">
        <f t="shared" si="492"/>
        <v>33695.670937499999</v>
      </c>
      <c r="Z763" s="44">
        <v>0</v>
      </c>
      <c r="AA763" s="44">
        <f t="shared" si="493"/>
        <v>33695.670937499999</v>
      </c>
    </row>
    <row r="764" spans="1:29">
      <c r="A764" s="595" t="s">
        <v>1152</v>
      </c>
      <c r="B764" s="595">
        <v>70000</v>
      </c>
      <c r="C764" s="595" t="s">
        <v>747</v>
      </c>
      <c r="D764" s="8" t="str">
        <f t="shared" si="478"/>
        <v>Education Specialist</v>
      </c>
      <c r="E764" s="115">
        <f>'LOE Breakdown by Year'!N15</f>
        <v>0.1</v>
      </c>
      <c r="F764" s="50" t="s">
        <v>100</v>
      </c>
      <c r="G764" s="44">
        <f t="shared" si="479"/>
        <v>8</v>
      </c>
      <c r="H764" s="44">
        <f t="shared" si="479"/>
        <v>2500</v>
      </c>
      <c r="I764" s="44">
        <f t="shared" si="486"/>
        <v>2000</v>
      </c>
      <c r="J764" s="115">
        <f>'LOE Breakdown by Year'!N61</f>
        <v>0.1</v>
      </c>
      <c r="K764" s="44">
        <f t="shared" si="480"/>
        <v>12</v>
      </c>
      <c r="L764" s="44">
        <f t="shared" si="487"/>
        <v>3150</v>
      </c>
      <c r="M764" s="115">
        <f>'LOE Breakdown by Year'!N107</f>
        <v>0.1</v>
      </c>
      <c r="N764" s="44">
        <f t="shared" si="481"/>
        <v>12</v>
      </c>
      <c r="O764" s="44">
        <f t="shared" si="488"/>
        <v>3307.5</v>
      </c>
      <c r="P764" s="115">
        <f>'LOE Breakdown by Year'!N153</f>
        <v>0.1</v>
      </c>
      <c r="Q764" s="44">
        <f t="shared" si="482"/>
        <v>12</v>
      </c>
      <c r="R764" s="44">
        <f t="shared" si="489"/>
        <v>3472.875</v>
      </c>
      <c r="S764" s="115">
        <f>'LOE Breakdown by Year'!N199</f>
        <v>0.1</v>
      </c>
      <c r="T764" s="44">
        <f t="shared" si="483"/>
        <v>12</v>
      </c>
      <c r="U764" s="44">
        <f t="shared" si="490"/>
        <v>3646.5187500000002</v>
      </c>
      <c r="V764" s="115">
        <f>'LOE Breakdown by Year'!N245</f>
        <v>0.1</v>
      </c>
      <c r="W764" s="44">
        <f t="shared" si="484"/>
        <v>3</v>
      </c>
      <c r="X764" s="44">
        <f t="shared" si="491"/>
        <v>957.2111718750001</v>
      </c>
      <c r="Y764" s="44">
        <f t="shared" si="492"/>
        <v>16534.104921874998</v>
      </c>
      <c r="Z764" s="44">
        <v>0</v>
      </c>
      <c r="AA764" s="44">
        <f t="shared" si="493"/>
        <v>16534.104921874998</v>
      </c>
    </row>
    <row r="765" spans="1:29">
      <c r="A765" s="595" t="s">
        <v>1153</v>
      </c>
      <c r="B765" s="595">
        <v>70000</v>
      </c>
      <c r="C765" s="595" t="s">
        <v>747</v>
      </c>
      <c r="D765" s="8" t="str">
        <f t="shared" si="478"/>
        <v>Education Officer</v>
      </c>
      <c r="E765" s="115">
        <f>'LOE Breakdown by Year'!N16</f>
        <v>0.1</v>
      </c>
      <c r="F765" s="50" t="s">
        <v>100</v>
      </c>
      <c r="G765" s="44">
        <f t="shared" si="479"/>
        <v>6</v>
      </c>
      <c r="H765" s="44">
        <f t="shared" si="479"/>
        <v>1000</v>
      </c>
      <c r="I765" s="44">
        <f t="shared" si="486"/>
        <v>600</v>
      </c>
      <c r="J765" s="115">
        <f>'LOE Breakdown by Year'!N62</f>
        <v>0.1</v>
      </c>
      <c r="K765" s="44">
        <f t="shared" si="480"/>
        <v>12</v>
      </c>
      <c r="L765" s="44">
        <f t="shared" si="487"/>
        <v>1260</v>
      </c>
      <c r="M765" s="115">
        <f>'LOE Breakdown by Year'!N108</f>
        <v>0.1</v>
      </c>
      <c r="N765" s="44">
        <f t="shared" si="481"/>
        <v>12</v>
      </c>
      <c r="O765" s="44">
        <f t="shared" si="488"/>
        <v>1323</v>
      </c>
      <c r="P765" s="115">
        <f>'LOE Breakdown by Year'!N154</f>
        <v>0.1</v>
      </c>
      <c r="Q765" s="44">
        <f t="shared" si="482"/>
        <v>12</v>
      </c>
      <c r="R765" s="44">
        <f t="shared" si="489"/>
        <v>1389.15</v>
      </c>
      <c r="S765" s="115">
        <f>'LOE Breakdown by Year'!N200</f>
        <v>0.1</v>
      </c>
      <c r="T765" s="44">
        <f t="shared" si="483"/>
        <v>12</v>
      </c>
      <c r="U765" s="44">
        <f t="shared" si="490"/>
        <v>1458.6075000000001</v>
      </c>
      <c r="V765" s="115">
        <f>'LOE Breakdown by Year'!N246</f>
        <v>0.1</v>
      </c>
      <c r="W765" s="44">
        <f t="shared" si="484"/>
        <v>3</v>
      </c>
      <c r="X765" s="44">
        <f t="shared" si="491"/>
        <v>382.88446875000005</v>
      </c>
      <c r="Y765" s="44">
        <f t="shared" si="492"/>
        <v>6413.6419687500002</v>
      </c>
      <c r="Z765" s="44">
        <v>0</v>
      </c>
      <c r="AA765" s="44">
        <f t="shared" si="493"/>
        <v>6413.6419687500002</v>
      </c>
    </row>
    <row r="766" spans="1:29">
      <c r="A766" s="595" t="s">
        <v>1154</v>
      </c>
      <c r="B766" s="595">
        <v>70000</v>
      </c>
      <c r="C766" s="595" t="s">
        <v>747</v>
      </c>
      <c r="D766" s="8" t="str">
        <f t="shared" si="478"/>
        <v>Nutrition and Health Specialist</v>
      </c>
      <c r="E766" s="115">
        <f>'LOE Breakdown by Year'!N17</f>
        <v>0.1</v>
      </c>
      <c r="F766" s="50" t="s">
        <v>100</v>
      </c>
      <c r="G766" s="44">
        <f t="shared" si="479"/>
        <v>9</v>
      </c>
      <c r="H766" s="44">
        <f t="shared" si="479"/>
        <v>1500</v>
      </c>
      <c r="I766" s="44">
        <f t="shared" si="486"/>
        <v>1350</v>
      </c>
      <c r="J766" s="115">
        <f>'LOE Breakdown by Year'!N63</f>
        <v>0.1</v>
      </c>
      <c r="K766" s="44">
        <f t="shared" si="480"/>
        <v>12</v>
      </c>
      <c r="L766" s="44">
        <f t="shared" si="487"/>
        <v>1890</v>
      </c>
      <c r="M766" s="115">
        <f>'LOE Breakdown by Year'!N109</f>
        <v>0.1</v>
      </c>
      <c r="N766" s="44">
        <f t="shared" si="481"/>
        <v>12</v>
      </c>
      <c r="O766" s="44">
        <f t="shared" si="488"/>
        <v>1984.5</v>
      </c>
      <c r="P766" s="115">
        <f>'LOE Breakdown by Year'!N155</f>
        <v>0.1</v>
      </c>
      <c r="Q766" s="44">
        <f t="shared" si="482"/>
        <v>12</v>
      </c>
      <c r="R766" s="44">
        <f t="shared" si="489"/>
        <v>2083.7249999999999</v>
      </c>
      <c r="S766" s="115">
        <f>'LOE Breakdown by Year'!N201</f>
        <v>0.1</v>
      </c>
      <c r="T766" s="44">
        <f t="shared" si="483"/>
        <v>12</v>
      </c>
      <c r="U766" s="44">
        <f t="shared" si="490"/>
        <v>2187.9112500000001</v>
      </c>
      <c r="V766" s="115">
        <f>'LOE Breakdown by Year'!N247</f>
        <v>0.1</v>
      </c>
      <c r="W766" s="44">
        <f t="shared" si="484"/>
        <v>6</v>
      </c>
      <c r="X766" s="44">
        <f t="shared" si="491"/>
        <v>1148.6534062500002</v>
      </c>
      <c r="Y766" s="44">
        <f t="shared" si="492"/>
        <v>10644.789656249999</v>
      </c>
      <c r="Z766" s="44">
        <v>0</v>
      </c>
      <c r="AA766" s="44">
        <f t="shared" si="493"/>
        <v>10644.789656249999</v>
      </c>
    </row>
    <row r="767" spans="1:29" hidden="1">
      <c r="A767" s="595" t="s">
        <v>1155</v>
      </c>
      <c r="B767" s="595">
        <v>70000</v>
      </c>
      <c r="C767" s="595" t="s">
        <v>747</v>
      </c>
      <c r="D767" s="8" t="str">
        <f t="shared" si="478"/>
        <v>Nutrition Officer - (2 Individuals)</v>
      </c>
      <c r="E767" s="115">
        <f>'LOE Breakdown by Year'!N18</f>
        <v>0</v>
      </c>
      <c r="F767" s="50" t="s">
        <v>100</v>
      </c>
      <c r="G767" s="44">
        <f t="shared" si="479"/>
        <v>6</v>
      </c>
      <c r="H767" s="44">
        <f t="shared" si="479"/>
        <v>1000</v>
      </c>
      <c r="I767" s="44">
        <f t="shared" si="486"/>
        <v>0</v>
      </c>
      <c r="J767" s="115">
        <f>'LOE Breakdown by Year'!N64</f>
        <v>0</v>
      </c>
      <c r="K767" s="44">
        <f t="shared" si="480"/>
        <v>24</v>
      </c>
      <c r="L767" s="44">
        <f t="shared" si="487"/>
        <v>0</v>
      </c>
      <c r="M767" s="115">
        <f>'LOE Breakdown by Year'!N110</f>
        <v>0</v>
      </c>
      <c r="N767" s="44">
        <f t="shared" si="481"/>
        <v>24</v>
      </c>
      <c r="O767" s="44">
        <f t="shared" si="488"/>
        <v>0</v>
      </c>
      <c r="P767" s="115">
        <f>'LOE Breakdown by Year'!N156</f>
        <v>0</v>
      </c>
      <c r="Q767" s="44">
        <f t="shared" si="482"/>
        <v>24</v>
      </c>
      <c r="R767" s="44">
        <f t="shared" si="489"/>
        <v>0</v>
      </c>
      <c r="S767" s="115">
        <f>'LOE Breakdown by Year'!N202</f>
        <v>0</v>
      </c>
      <c r="T767" s="44">
        <f t="shared" si="483"/>
        <v>24</v>
      </c>
      <c r="U767" s="44">
        <f t="shared" si="490"/>
        <v>0</v>
      </c>
      <c r="V767" s="115">
        <f>'LOE Breakdown by Year'!N248</f>
        <v>0</v>
      </c>
      <c r="W767" s="44">
        <f t="shared" si="484"/>
        <v>6</v>
      </c>
      <c r="X767" s="44">
        <f t="shared" si="491"/>
        <v>0</v>
      </c>
      <c r="Y767" s="44">
        <f t="shared" si="492"/>
        <v>0</v>
      </c>
      <c r="Z767" s="44">
        <v>0</v>
      </c>
      <c r="AA767" s="44">
        <f t="shared" si="493"/>
        <v>0</v>
      </c>
    </row>
    <row r="768" spans="1:29">
      <c r="A768" s="595" t="s">
        <v>1156</v>
      </c>
      <c r="B768" s="595">
        <v>70000</v>
      </c>
      <c r="C768" s="595" t="s">
        <v>747</v>
      </c>
      <c r="D768" s="8" t="str">
        <f t="shared" si="478"/>
        <v>School Feeding Specialist</v>
      </c>
      <c r="E768" s="115">
        <f>'LOE Breakdown by Year'!N19</f>
        <v>0.05</v>
      </c>
      <c r="F768" s="50" t="s">
        <v>100</v>
      </c>
      <c r="G768" s="44">
        <f t="shared" si="479"/>
        <v>9</v>
      </c>
      <c r="H768" s="44">
        <f t="shared" si="479"/>
        <v>1500</v>
      </c>
      <c r="I768" s="44">
        <f t="shared" si="486"/>
        <v>675</v>
      </c>
      <c r="J768" s="115">
        <f>'LOE Breakdown by Year'!N65</f>
        <v>0.05</v>
      </c>
      <c r="K768" s="44">
        <f t="shared" si="480"/>
        <v>12</v>
      </c>
      <c r="L768" s="44">
        <f t="shared" si="487"/>
        <v>945</v>
      </c>
      <c r="M768" s="115">
        <f>'LOE Breakdown by Year'!N111</f>
        <v>0.05</v>
      </c>
      <c r="N768" s="44">
        <f t="shared" si="481"/>
        <v>12</v>
      </c>
      <c r="O768" s="44">
        <f t="shared" si="488"/>
        <v>992.25</v>
      </c>
      <c r="P768" s="115">
        <f>'LOE Breakdown by Year'!N157</f>
        <v>0.05</v>
      </c>
      <c r="Q768" s="44">
        <f t="shared" si="482"/>
        <v>12</v>
      </c>
      <c r="R768" s="44">
        <f t="shared" si="489"/>
        <v>1041.8625</v>
      </c>
      <c r="S768" s="115">
        <f>'LOE Breakdown by Year'!N203</f>
        <v>0.05</v>
      </c>
      <c r="T768" s="44">
        <f t="shared" si="483"/>
        <v>6</v>
      </c>
      <c r="U768" s="44">
        <f t="shared" si="490"/>
        <v>546.97781250000003</v>
      </c>
      <c r="V768" s="115">
        <f>'LOE Breakdown by Year'!N249</f>
        <v>0.05</v>
      </c>
      <c r="W768" s="44">
        <f t="shared" si="484"/>
        <v>6</v>
      </c>
      <c r="X768" s="44">
        <f t="shared" si="491"/>
        <v>574.32670312500011</v>
      </c>
      <c r="Y768" s="44">
        <f t="shared" si="492"/>
        <v>4775.4170156250002</v>
      </c>
      <c r="Z768" s="44">
        <v>0</v>
      </c>
      <c r="AA768" s="44">
        <f t="shared" si="493"/>
        <v>4775.4170156250002</v>
      </c>
    </row>
    <row r="769" spans="1:27" hidden="1">
      <c r="A769" s="595" t="s">
        <v>1157</v>
      </c>
      <c r="B769" s="595">
        <v>70000</v>
      </c>
      <c r="C769" s="595" t="s">
        <v>747</v>
      </c>
      <c r="D769" s="8" t="str">
        <f t="shared" si="478"/>
        <v>Food Aid Monitors - (2 Individuals)</v>
      </c>
      <c r="E769" s="115">
        <f>'LOE Breakdown by Year'!N20</f>
        <v>0</v>
      </c>
      <c r="F769" s="50" t="s">
        <v>100</v>
      </c>
      <c r="G769" s="44">
        <f t="shared" si="479"/>
        <v>6</v>
      </c>
      <c r="H769" s="44">
        <f t="shared" si="479"/>
        <v>1000</v>
      </c>
      <c r="I769" s="44">
        <f t="shared" si="486"/>
        <v>0</v>
      </c>
      <c r="J769" s="115">
        <f>'LOE Breakdown by Year'!N66</f>
        <v>0</v>
      </c>
      <c r="K769" s="44">
        <f t="shared" si="480"/>
        <v>24</v>
      </c>
      <c r="L769" s="44">
        <f t="shared" si="487"/>
        <v>0</v>
      </c>
      <c r="M769" s="115">
        <f>'LOE Breakdown by Year'!N112</f>
        <v>0</v>
      </c>
      <c r="N769" s="44">
        <f t="shared" si="481"/>
        <v>24</v>
      </c>
      <c r="O769" s="44">
        <f t="shared" si="488"/>
        <v>0</v>
      </c>
      <c r="P769" s="115">
        <f>'LOE Breakdown by Year'!N158</f>
        <v>0</v>
      </c>
      <c r="Q769" s="44">
        <f t="shared" si="482"/>
        <v>24</v>
      </c>
      <c r="R769" s="44">
        <f t="shared" si="489"/>
        <v>0</v>
      </c>
      <c r="S769" s="115">
        <f>'LOE Breakdown by Year'!N204</f>
        <v>0</v>
      </c>
      <c r="T769" s="44">
        <f t="shared" si="483"/>
        <v>24</v>
      </c>
      <c r="U769" s="44">
        <f t="shared" si="490"/>
        <v>0</v>
      </c>
      <c r="V769" s="115">
        <f>'LOE Breakdown by Year'!N250</f>
        <v>0</v>
      </c>
      <c r="W769" s="44">
        <f t="shared" si="484"/>
        <v>12</v>
      </c>
      <c r="X769" s="44">
        <f t="shared" si="491"/>
        <v>0</v>
      </c>
      <c r="Y769" s="44">
        <f t="shared" si="492"/>
        <v>0</v>
      </c>
      <c r="Z769" s="44">
        <v>0</v>
      </c>
      <c r="AA769" s="44">
        <f t="shared" si="493"/>
        <v>0</v>
      </c>
    </row>
    <row r="770" spans="1:27" hidden="1">
      <c r="A770" s="595" t="s">
        <v>1158</v>
      </c>
      <c r="B770" s="595">
        <v>70000</v>
      </c>
      <c r="C770" s="595" t="s">
        <v>747</v>
      </c>
      <c r="D770" s="8" t="str">
        <f t="shared" si="478"/>
        <v>WASH Officer</v>
      </c>
      <c r="E770" s="115">
        <f>'LOE Breakdown by Year'!N21</f>
        <v>0</v>
      </c>
      <c r="F770" s="50" t="s">
        <v>100</v>
      </c>
      <c r="G770" s="44">
        <f t="shared" si="479"/>
        <v>6</v>
      </c>
      <c r="H770" s="44">
        <f t="shared" si="479"/>
        <v>1000</v>
      </c>
      <c r="I770" s="44">
        <f t="shared" si="486"/>
        <v>0</v>
      </c>
      <c r="J770" s="115">
        <f>'LOE Breakdown by Year'!N67</f>
        <v>0</v>
      </c>
      <c r="K770" s="44">
        <f t="shared" si="480"/>
        <v>12</v>
      </c>
      <c r="L770" s="44">
        <f t="shared" si="487"/>
        <v>0</v>
      </c>
      <c r="M770" s="115">
        <f>'LOE Breakdown by Year'!N113</f>
        <v>0</v>
      </c>
      <c r="N770" s="44">
        <f t="shared" si="481"/>
        <v>12</v>
      </c>
      <c r="O770" s="44">
        <f t="shared" si="488"/>
        <v>0</v>
      </c>
      <c r="P770" s="115">
        <f>'LOE Breakdown by Year'!N159</f>
        <v>0</v>
      </c>
      <c r="Q770" s="44">
        <f t="shared" si="482"/>
        <v>12</v>
      </c>
      <c r="R770" s="44">
        <f t="shared" si="489"/>
        <v>0</v>
      </c>
      <c r="S770" s="115">
        <f>'LOE Breakdown by Year'!N205</f>
        <v>0</v>
      </c>
      <c r="T770" s="44">
        <f t="shared" si="483"/>
        <v>12</v>
      </c>
      <c r="U770" s="44">
        <f t="shared" si="490"/>
        <v>0</v>
      </c>
      <c r="V770" s="115">
        <f>'LOE Breakdown by Year'!N251</f>
        <v>0</v>
      </c>
      <c r="W770" s="44">
        <f t="shared" si="484"/>
        <v>3</v>
      </c>
      <c r="X770" s="44">
        <f t="shared" si="491"/>
        <v>0</v>
      </c>
      <c r="Y770" s="44">
        <f t="shared" si="492"/>
        <v>0</v>
      </c>
      <c r="Z770" s="44">
        <v>0</v>
      </c>
      <c r="AA770" s="44">
        <f t="shared" si="493"/>
        <v>0</v>
      </c>
    </row>
    <row r="771" spans="1:27">
      <c r="A771" s="595" t="s">
        <v>1159</v>
      </c>
      <c r="B771" s="595">
        <v>70000</v>
      </c>
      <c r="C771" s="595" t="s">
        <v>747</v>
      </c>
      <c r="D771" s="8" t="str">
        <f t="shared" si="478"/>
        <v>Communications Specialist</v>
      </c>
      <c r="E771" s="115">
        <f>'LOE Breakdown by Year'!N22</f>
        <v>0.15</v>
      </c>
      <c r="F771" s="50" t="s">
        <v>100</v>
      </c>
      <c r="G771" s="44">
        <f t="shared" si="479"/>
        <v>8</v>
      </c>
      <c r="H771" s="44">
        <f t="shared" si="479"/>
        <v>1500</v>
      </c>
      <c r="I771" s="44">
        <f t="shared" si="486"/>
        <v>1800</v>
      </c>
      <c r="J771" s="115">
        <f>'LOE Breakdown by Year'!N68</f>
        <v>0.15</v>
      </c>
      <c r="K771" s="44">
        <f t="shared" si="480"/>
        <v>12</v>
      </c>
      <c r="L771" s="44">
        <f t="shared" si="487"/>
        <v>2835</v>
      </c>
      <c r="M771" s="115">
        <f>'LOE Breakdown by Year'!N114</f>
        <v>0.15</v>
      </c>
      <c r="N771" s="44">
        <f t="shared" si="481"/>
        <v>12</v>
      </c>
      <c r="O771" s="44">
        <f t="shared" si="488"/>
        <v>2976.75</v>
      </c>
      <c r="P771" s="115">
        <f>'LOE Breakdown by Year'!N160</f>
        <v>0.15</v>
      </c>
      <c r="Q771" s="44">
        <f t="shared" si="482"/>
        <v>12</v>
      </c>
      <c r="R771" s="44">
        <f t="shared" si="489"/>
        <v>3125.5875000000001</v>
      </c>
      <c r="S771" s="115">
        <f>'LOE Breakdown by Year'!N206</f>
        <v>0.15</v>
      </c>
      <c r="T771" s="44">
        <f t="shared" si="483"/>
        <v>12</v>
      </c>
      <c r="U771" s="44">
        <f t="shared" si="490"/>
        <v>3281.8668750000002</v>
      </c>
      <c r="V771" s="115">
        <f>'LOE Breakdown by Year'!N252</f>
        <v>0.15</v>
      </c>
      <c r="W771" s="44">
        <f t="shared" si="484"/>
        <v>8</v>
      </c>
      <c r="X771" s="44">
        <f t="shared" si="491"/>
        <v>2297.3068125000004</v>
      </c>
      <c r="Y771" s="44">
        <f t="shared" si="492"/>
        <v>16316.5111875</v>
      </c>
      <c r="Z771" s="44">
        <v>0</v>
      </c>
      <c r="AA771" s="44">
        <f t="shared" si="493"/>
        <v>16316.5111875</v>
      </c>
    </row>
    <row r="772" spans="1:27">
      <c r="A772" s="595" t="s">
        <v>1160</v>
      </c>
      <c r="B772" s="595">
        <v>70000</v>
      </c>
      <c r="C772" s="595" t="s">
        <v>747</v>
      </c>
      <c r="D772" s="8" t="str">
        <f t="shared" si="478"/>
        <v>Communications Officer</v>
      </c>
      <c r="E772" s="115">
        <f>'LOE Breakdown by Year'!N23</f>
        <v>0.15</v>
      </c>
      <c r="F772" s="50" t="s">
        <v>100</v>
      </c>
      <c r="G772" s="44">
        <f t="shared" si="479"/>
        <v>0</v>
      </c>
      <c r="H772" s="44">
        <f t="shared" si="479"/>
        <v>1000</v>
      </c>
      <c r="I772" s="44">
        <f t="shared" si="486"/>
        <v>0</v>
      </c>
      <c r="J772" s="115">
        <f>'LOE Breakdown by Year'!N69</f>
        <v>0.15</v>
      </c>
      <c r="K772" s="44">
        <f t="shared" si="480"/>
        <v>12</v>
      </c>
      <c r="L772" s="44">
        <f t="shared" si="487"/>
        <v>1890</v>
      </c>
      <c r="M772" s="115">
        <f>'LOE Breakdown by Year'!N115</f>
        <v>0.15</v>
      </c>
      <c r="N772" s="44">
        <f t="shared" si="481"/>
        <v>12</v>
      </c>
      <c r="O772" s="44">
        <f t="shared" si="488"/>
        <v>1984.5</v>
      </c>
      <c r="P772" s="115">
        <f>'LOE Breakdown by Year'!N161</f>
        <v>0.15</v>
      </c>
      <c r="Q772" s="44">
        <f t="shared" si="482"/>
        <v>12</v>
      </c>
      <c r="R772" s="44">
        <f t="shared" si="489"/>
        <v>2083.7249999999999</v>
      </c>
      <c r="S772" s="115">
        <f>'LOE Breakdown by Year'!N207</f>
        <v>0.15</v>
      </c>
      <c r="T772" s="44">
        <f t="shared" si="483"/>
        <v>12</v>
      </c>
      <c r="U772" s="44">
        <f t="shared" si="490"/>
        <v>2187.9112500000001</v>
      </c>
      <c r="V772" s="115">
        <f>'LOE Breakdown by Year'!N253</f>
        <v>0.15</v>
      </c>
      <c r="W772" s="44">
        <f t="shared" si="484"/>
        <v>0</v>
      </c>
      <c r="X772" s="44">
        <f t="shared" si="491"/>
        <v>0</v>
      </c>
      <c r="Y772" s="44">
        <f t="shared" si="492"/>
        <v>8146.1362500000005</v>
      </c>
      <c r="Z772" s="44">
        <v>0</v>
      </c>
      <c r="AA772" s="44">
        <f t="shared" si="493"/>
        <v>8146.1362500000005</v>
      </c>
    </row>
    <row r="773" spans="1:27">
      <c r="A773" s="595" t="s">
        <v>1161</v>
      </c>
      <c r="B773" s="595">
        <v>70000</v>
      </c>
      <c r="C773" s="595" t="s">
        <v>747</v>
      </c>
      <c r="D773" s="8" t="str">
        <f t="shared" si="478"/>
        <v>Education &amp; Community Engagement Specialist</v>
      </c>
      <c r="E773" s="115">
        <f>'LOE Breakdown by Year'!N24</f>
        <v>0.05</v>
      </c>
      <c r="F773" s="50" t="s">
        <v>100</v>
      </c>
      <c r="G773" s="44">
        <f t="shared" si="479"/>
        <v>6</v>
      </c>
      <c r="H773" s="44">
        <f t="shared" si="479"/>
        <v>1500</v>
      </c>
      <c r="I773" s="44">
        <f t="shared" si="486"/>
        <v>450</v>
      </c>
      <c r="J773" s="115">
        <f>'LOE Breakdown by Year'!N70</f>
        <v>0.05</v>
      </c>
      <c r="K773" s="44">
        <f t="shared" si="480"/>
        <v>12</v>
      </c>
      <c r="L773" s="44">
        <f t="shared" si="487"/>
        <v>945</v>
      </c>
      <c r="M773" s="115">
        <f>'LOE Breakdown by Year'!N116</f>
        <v>0.05</v>
      </c>
      <c r="N773" s="44">
        <f t="shared" si="481"/>
        <v>12</v>
      </c>
      <c r="O773" s="44">
        <f t="shared" si="488"/>
        <v>992.25</v>
      </c>
      <c r="P773" s="115">
        <f>'LOE Breakdown by Year'!N162</f>
        <v>0.05</v>
      </c>
      <c r="Q773" s="44">
        <f t="shared" si="482"/>
        <v>12</v>
      </c>
      <c r="R773" s="44">
        <f t="shared" si="489"/>
        <v>1041.8625</v>
      </c>
      <c r="S773" s="115">
        <f>'LOE Breakdown by Year'!N208</f>
        <v>0.05</v>
      </c>
      <c r="T773" s="44">
        <f t="shared" si="483"/>
        <v>12</v>
      </c>
      <c r="U773" s="44">
        <f t="shared" si="490"/>
        <v>1093.9556250000001</v>
      </c>
      <c r="V773" s="115">
        <f>'LOE Breakdown by Year'!N254</f>
        <v>0.05</v>
      </c>
      <c r="W773" s="44">
        <f t="shared" si="484"/>
        <v>8</v>
      </c>
      <c r="X773" s="44">
        <f t="shared" si="491"/>
        <v>765.76893750000011</v>
      </c>
      <c r="Y773" s="44">
        <f t="shared" si="492"/>
        <v>5288.8370624999998</v>
      </c>
      <c r="Z773" s="44">
        <v>0</v>
      </c>
      <c r="AA773" s="44">
        <f t="shared" si="493"/>
        <v>5288.8370624999998</v>
      </c>
    </row>
    <row r="774" spans="1:27">
      <c r="A774" s="595" t="s">
        <v>1162</v>
      </c>
      <c r="B774" s="595">
        <v>70000</v>
      </c>
      <c r="C774" s="595" t="s">
        <v>747</v>
      </c>
      <c r="D774" s="8" t="str">
        <f t="shared" si="478"/>
        <v>Education &amp; Community Engagement Officer</v>
      </c>
      <c r="E774" s="115">
        <f>'LOE Breakdown by Year'!N25</f>
        <v>0.05</v>
      </c>
      <c r="F774" s="50" t="s">
        <v>100</v>
      </c>
      <c r="G774" s="44">
        <f t="shared" si="479"/>
        <v>3</v>
      </c>
      <c r="H774" s="44">
        <f t="shared" si="479"/>
        <v>1000</v>
      </c>
      <c r="I774" s="44">
        <f t="shared" si="486"/>
        <v>150</v>
      </c>
      <c r="J774" s="115">
        <f>'LOE Breakdown by Year'!N71</f>
        <v>0.05</v>
      </c>
      <c r="K774" s="44">
        <f t="shared" si="480"/>
        <v>12</v>
      </c>
      <c r="L774" s="44">
        <f t="shared" si="487"/>
        <v>630</v>
      </c>
      <c r="M774" s="115">
        <f>'LOE Breakdown by Year'!N117</f>
        <v>0.05</v>
      </c>
      <c r="N774" s="44">
        <f t="shared" si="481"/>
        <v>12</v>
      </c>
      <c r="O774" s="44">
        <f t="shared" si="488"/>
        <v>661.5</v>
      </c>
      <c r="P774" s="115">
        <f>'LOE Breakdown by Year'!N163</f>
        <v>0.05</v>
      </c>
      <c r="Q774" s="44">
        <f t="shared" si="482"/>
        <v>12</v>
      </c>
      <c r="R774" s="44">
        <f t="shared" si="489"/>
        <v>694.57500000000005</v>
      </c>
      <c r="S774" s="115">
        <f>'LOE Breakdown by Year'!N209</f>
        <v>0.05</v>
      </c>
      <c r="T774" s="44">
        <f t="shared" si="483"/>
        <v>12</v>
      </c>
      <c r="U774" s="44">
        <f t="shared" si="490"/>
        <v>729.30375000000004</v>
      </c>
      <c r="V774" s="115">
        <f>'LOE Breakdown by Year'!N255</f>
        <v>0.05</v>
      </c>
      <c r="W774" s="44">
        <f t="shared" si="484"/>
        <v>0</v>
      </c>
      <c r="X774" s="44">
        <f t="shared" si="491"/>
        <v>0</v>
      </c>
      <c r="Y774" s="44">
        <f t="shared" si="492"/>
        <v>2865.3787499999999</v>
      </c>
      <c r="Z774" s="44">
        <v>0</v>
      </c>
      <c r="AA774" s="44">
        <f t="shared" si="493"/>
        <v>2865.3787499999999</v>
      </c>
    </row>
    <row r="775" spans="1:27">
      <c r="A775" s="595" t="s">
        <v>1163</v>
      </c>
      <c r="B775" s="595">
        <v>70000</v>
      </c>
      <c r="C775" s="595" t="s">
        <v>747</v>
      </c>
      <c r="D775" s="8" t="str">
        <f t="shared" si="478"/>
        <v>Private Sector Specialist</v>
      </c>
      <c r="E775" s="115">
        <f>'LOE Breakdown by Year'!N26</f>
        <v>0.7</v>
      </c>
      <c r="F775" s="50" t="s">
        <v>100</v>
      </c>
      <c r="G775" s="44">
        <f t="shared" si="479"/>
        <v>9</v>
      </c>
      <c r="H775" s="44">
        <f t="shared" si="479"/>
        <v>2000</v>
      </c>
      <c r="I775" s="44">
        <f t="shared" si="486"/>
        <v>12600</v>
      </c>
      <c r="J775" s="115">
        <f>'LOE Breakdown by Year'!N72</f>
        <v>0.7</v>
      </c>
      <c r="K775" s="44">
        <f t="shared" si="480"/>
        <v>12</v>
      </c>
      <c r="L775" s="44">
        <f t="shared" si="487"/>
        <v>17640</v>
      </c>
      <c r="M775" s="115">
        <f>'LOE Breakdown by Year'!N118</f>
        <v>0.7</v>
      </c>
      <c r="N775" s="44">
        <f t="shared" si="481"/>
        <v>12</v>
      </c>
      <c r="O775" s="44">
        <f t="shared" si="488"/>
        <v>18522</v>
      </c>
      <c r="P775" s="115">
        <f>'LOE Breakdown by Year'!N164</f>
        <v>0.7</v>
      </c>
      <c r="Q775" s="44">
        <f t="shared" si="482"/>
        <v>12</v>
      </c>
      <c r="R775" s="44">
        <f t="shared" si="489"/>
        <v>19448.100000000002</v>
      </c>
      <c r="S775" s="115">
        <f>'LOE Breakdown by Year'!N210</f>
        <v>0.7</v>
      </c>
      <c r="T775" s="44">
        <f t="shared" si="483"/>
        <v>12</v>
      </c>
      <c r="U775" s="44">
        <f t="shared" si="490"/>
        <v>20420.505000000005</v>
      </c>
      <c r="V775" s="115">
        <f>'LOE Breakdown by Year'!N256</f>
        <v>0.7</v>
      </c>
      <c r="W775" s="44">
        <f t="shared" si="484"/>
        <v>6</v>
      </c>
      <c r="X775" s="44">
        <f t="shared" si="491"/>
        <v>10720.765125000004</v>
      </c>
      <c r="Y775" s="44">
        <f t="shared" si="492"/>
        <v>99351.370125000016</v>
      </c>
      <c r="Z775" s="44">
        <v>0</v>
      </c>
      <c r="AA775" s="44">
        <f t="shared" si="493"/>
        <v>99351.370125000016</v>
      </c>
    </row>
    <row r="776" spans="1:27" hidden="1">
      <c r="A776" s="595" t="s">
        <v>1164</v>
      </c>
      <c r="B776" s="595">
        <v>70000</v>
      </c>
      <c r="C776" s="595" t="s">
        <v>747</v>
      </c>
      <c r="D776" s="8" t="str">
        <f t="shared" si="478"/>
        <v xml:space="preserve">Key Personnel: M&amp;E Director </v>
      </c>
      <c r="E776" s="115">
        <f>'LOE Breakdown by Year'!N27</f>
        <v>0</v>
      </c>
      <c r="F776" s="50" t="s">
        <v>100</v>
      </c>
      <c r="G776" s="44">
        <f t="shared" si="479"/>
        <v>11</v>
      </c>
      <c r="H776" s="44">
        <f t="shared" si="479"/>
        <v>4583.333333333333</v>
      </c>
      <c r="I776" s="44">
        <f t="shared" si="486"/>
        <v>0</v>
      </c>
      <c r="J776" s="115">
        <f>'LOE Breakdown by Year'!N73</f>
        <v>0</v>
      </c>
      <c r="K776" s="44">
        <f t="shared" si="480"/>
        <v>12</v>
      </c>
      <c r="L776" s="44">
        <f t="shared" si="487"/>
        <v>0</v>
      </c>
      <c r="M776" s="115">
        <f>'LOE Breakdown by Year'!N119</f>
        <v>0</v>
      </c>
      <c r="N776" s="44">
        <f t="shared" si="481"/>
        <v>12</v>
      </c>
      <c r="O776" s="44">
        <f t="shared" si="488"/>
        <v>0</v>
      </c>
      <c r="P776" s="115">
        <f>'LOE Breakdown by Year'!N165</f>
        <v>0</v>
      </c>
      <c r="Q776" s="44">
        <f t="shared" si="482"/>
        <v>12</v>
      </c>
      <c r="R776" s="44">
        <f t="shared" si="489"/>
        <v>0</v>
      </c>
      <c r="S776" s="115">
        <f>'LOE Breakdown by Year'!N211</f>
        <v>0</v>
      </c>
      <c r="T776" s="44">
        <f t="shared" si="483"/>
        <v>12</v>
      </c>
      <c r="U776" s="44">
        <f t="shared" si="490"/>
        <v>0</v>
      </c>
      <c r="V776" s="115">
        <f>'LOE Breakdown by Year'!N257</f>
        <v>0</v>
      </c>
      <c r="W776" s="44">
        <f t="shared" si="484"/>
        <v>12</v>
      </c>
      <c r="X776" s="44">
        <f t="shared" si="491"/>
        <v>0</v>
      </c>
      <c r="Y776" s="44">
        <f t="shared" si="492"/>
        <v>0</v>
      </c>
      <c r="Z776" s="44">
        <v>0</v>
      </c>
      <c r="AA776" s="44">
        <f t="shared" si="493"/>
        <v>0</v>
      </c>
    </row>
    <row r="777" spans="1:27" hidden="1">
      <c r="A777" s="595" t="s">
        <v>1165</v>
      </c>
      <c r="B777" s="595">
        <v>70000</v>
      </c>
      <c r="C777" s="595" t="s">
        <v>747</v>
      </c>
      <c r="D777" s="8" t="str">
        <f t="shared" si="478"/>
        <v>M&amp;E Specialist</v>
      </c>
      <c r="E777" s="115">
        <f>'LOE Breakdown by Year'!N28</f>
        <v>0</v>
      </c>
      <c r="F777" s="50" t="s">
        <v>100</v>
      </c>
      <c r="G777" s="44">
        <f t="shared" si="479"/>
        <v>6</v>
      </c>
      <c r="H777" s="44">
        <f t="shared" si="479"/>
        <v>2000</v>
      </c>
      <c r="I777" s="44">
        <f t="shared" si="486"/>
        <v>0</v>
      </c>
      <c r="J777" s="115">
        <f>'LOE Breakdown by Year'!N74</f>
        <v>0</v>
      </c>
      <c r="K777" s="44">
        <f t="shared" si="480"/>
        <v>12</v>
      </c>
      <c r="L777" s="44">
        <f t="shared" si="487"/>
        <v>0</v>
      </c>
      <c r="M777" s="115">
        <f>'LOE Breakdown by Year'!N120</f>
        <v>0</v>
      </c>
      <c r="N777" s="44">
        <f t="shared" si="481"/>
        <v>12</v>
      </c>
      <c r="O777" s="44">
        <f t="shared" si="488"/>
        <v>0</v>
      </c>
      <c r="P777" s="115">
        <f>'LOE Breakdown by Year'!N166</f>
        <v>0</v>
      </c>
      <c r="Q777" s="44">
        <f t="shared" si="482"/>
        <v>12</v>
      </c>
      <c r="R777" s="44">
        <f t="shared" si="489"/>
        <v>0</v>
      </c>
      <c r="S777" s="115">
        <f>'LOE Breakdown by Year'!N212</f>
        <v>0</v>
      </c>
      <c r="T777" s="44">
        <f t="shared" si="483"/>
        <v>12</v>
      </c>
      <c r="U777" s="44">
        <f t="shared" si="490"/>
        <v>0</v>
      </c>
      <c r="V777" s="115">
        <f>'LOE Breakdown by Year'!N258</f>
        <v>0</v>
      </c>
      <c r="W777" s="44">
        <f t="shared" si="484"/>
        <v>11</v>
      </c>
      <c r="X777" s="44">
        <f t="shared" si="491"/>
        <v>0</v>
      </c>
      <c r="Y777" s="44">
        <f t="shared" si="492"/>
        <v>0</v>
      </c>
      <c r="Z777" s="44">
        <v>0</v>
      </c>
      <c r="AA777" s="44">
        <f t="shared" si="493"/>
        <v>0</v>
      </c>
    </row>
    <row r="778" spans="1:27" hidden="1">
      <c r="A778" s="595" t="s">
        <v>1166</v>
      </c>
      <c r="B778" s="595">
        <v>70000</v>
      </c>
      <c r="C778" s="595" t="s">
        <v>747</v>
      </c>
      <c r="D778" s="8" t="str">
        <f t="shared" si="478"/>
        <v>M&amp;E Officer</v>
      </c>
      <c r="E778" s="115">
        <f>'LOE Breakdown by Year'!N29</f>
        <v>0</v>
      </c>
      <c r="F778" s="50" t="s">
        <v>100</v>
      </c>
      <c r="G778" s="44">
        <f t="shared" si="479"/>
        <v>2</v>
      </c>
      <c r="H778" s="44">
        <f t="shared" si="479"/>
        <v>1250</v>
      </c>
      <c r="I778" s="44">
        <f t="shared" si="486"/>
        <v>0</v>
      </c>
      <c r="J778" s="115">
        <f>'LOE Breakdown by Year'!N75</f>
        <v>0</v>
      </c>
      <c r="K778" s="44">
        <f t="shared" si="480"/>
        <v>12</v>
      </c>
      <c r="L778" s="44">
        <f t="shared" si="487"/>
        <v>0</v>
      </c>
      <c r="M778" s="115">
        <f>'LOE Breakdown by Year'!N121</f>
        <v>0</v>
      </c>
      <c r="N778" s="44">
        <f t="shared" si="481"/>
        <v>12</v>
      </c>
      <c r="O778" s="44">
        <f t="shared" si="488"/>
        <v>0</v>
      </c>
      <c r="P778" s="115">
        <f>'LOE Breakdown by Year'!N167</f>
        <v>0</v>
      </c>
      <c r="Q778" s="44">
        <f t="shared" si="482"/>
        <v>12</v>
      </c>
      <c r="R778" s="44">
        <f t="shared" si="489"/>
        <v>0</v>
      </c>
      <c r="S778" s="115">
        <f>'LOE Breakdown by Year'!N213</f>
        <v>0</v>
      </c>
      <c r="T778" s="44">
        <f t="shared" si="483"/>
        <v>12</v>
      </c>
      <c r="U778" s="44">
        <f t="shared" si="490"/>
        <v>0</v>
      </c>
      <c r="V778" s="115">
        <f>'LOE Breakdown by Year'!N259</f>
        <v>0</v>
      </c>
      <c r="W778" s="44">
        <f t="shared" si="484"/>
        <v>3</v>
      </c>
      <c r="X778" s="44">
        <f t="shared" si="491"/>
        <v>0</v>
      </c>
      <c r="Y778" s="44">
        <f t="shared" si="492"/>
        <v>0</v>
      </c>
      <c r="Z778" s="44">
        <v>0</v>
      </c>
      <c r="AA778" s="44">
        <f t="shared" si="493"/>
        <v>0</v>
      </c>
    </row>
    <row r="779" spans="1:27" hidden="1">
      <c r="A779" s="595" t="s">
        <v>1167</v>
      </c>
      <c r="B779" s="595">
        <v>70000</v>
      </c>
      <c r="C779" s="595" t="s">
        <v>747</v>
      </c>
      <c r="D779" s="8" t="str">
        <f t="shared" si="478"/>
        <v>Supply Chain Manager</v>
      </c>
      <c r="E779" s="115">
        <f>'LOE Breakdown by Year'!N30</f>
        <v>0</v>
      </c>
      <c r="F779" s="50" t="s">
        <v>100</v>
      </c>
      <c r="G779" s="44">
        <f t="shared" si="479"/>
        <v>11</v>
      </c>
      <c r="H779" s="44">
        <f t="shared" si="479"/>
        <v>5000</v>
      </c>
      <c r="I779" s="44">
        <f t="shared" si="486"/>
        <v>0</v>
      </c>
      <c r="J779" s="115">
        <f>'LOE Breakdown by Year'!N76</f>
        <v>0</v>
      </c>
      <c r="K779" s="44">
        <f t="shared" si="480"/>
        <v>12</v>
      </c>
      <c r="L779" s="44">
        <f t="shared" si="487"/>
        <v>0</v>
      </c>
      <c r="M779" s="115">
        <f>'LOE Breakdown by Year'!N122</f>
        <v>0</v>
      </c>
      <c r="N779" s="44">
        <f t="shared" si="481"/>
        <v>12</v>
      </c>
      <c r="O779" s="44">
        <f t="shared" si="488"/>
        <v>0</v>
      </c>
      <c r="P779" s="115">
        <f>'LOE Breakdown by Year'!N168</f>
        <v>0</v>
      </c>
      <c r="Q779" s="44">
        <f t="shared" si="482"/>
        <v>12</v>
      </c>
      <c r="R779" s="44">
        <f t="shared" si="489"/>
        <v>0</v>
      </c>
      <c r="S779" s="115">
        <f>'LOE Breakdown by Year'!N214</f>
        <v>0</v>
      </c>
      <c r="T779" s="44">
        <f t="shared" si="483"/>
        <v>12</v>
      </c>
      <c r="U779" s="44">
        <f t="shared" si="490"/>
        <v>0</v>
      </c>
      <c r="V779" s="115">
        <f>'LOE Breakdown by Year'!N260</f>
        <v>0</v>
      </c>
      <c r="W779" s="44">
        <f t="shared" si="484"/>
        <v>8</v>
      </c>
      <c r="X779" s="44">
        <f t="shared" si="491"/>
        <v>0</v>
      </c>
      <c r="Y779" s="44">
        <f t="shared" si="492"/>
        <v>0</v>
      </c>
      <c r="Z779" s="44">
        <v>0</v>
      </c>
      <c r="AA779" s="44">
        <f t="shared" si="493"/>
        <v>0</v>
      </c>
    </row>
    <row r="780" spans="1:27" hidden="1">
      <c r="A780" s="595" t="s">
        <v>1168</v>
      </c>
      <c r="B780" s="595">
        <v>70000</v>
      </c>
      <c r="C780" s="595" t="s">
        <v>747</v>
      </c>
      <c r="D780" s="8" t="str">
        <f t="shared" si="478"/>
        <v>In-Country Logistics Specialist</v>
      </c>
      <c r="E780" s="115">
        <f>'LOE Breakdown by Year'!N31</f>
        <v>0</v>
      </c>
      <c r="F780" s="50" t="s">
        <v>100</v>
      </c>
      <c r="G780" s="44">
        <f t="shared" ref="G780:H793" si="494">G32</f>
        <v>9</v>
      </c>
      <c r="H780" s="44">
        <f t="shared" si="494"/>
        <v>2000</v>
      </c>
      <c r="I780" s="44">
        <f t="shared" si="486"/>
        <v>0</v>
      </c>
      <c r="J780" s="115">
        <f>'LOE Breakdown by Year'!N77</f>
        <v>0</v>
      </c>
      <c r="K780" s="44">
        <f t="shared" si="480"/>
        <v>12</v>
      </c>
      <c r="L780" s="44">
        <f t="shared" si="487"/>
        <v>0</v>
      </c>
      <c r="M780" s="115">
        <f>'LOE Breakdown by Year'!N123</f>
        <v>0</v>
      </c>
      <c r="N780" s="44">
        <f t="shared" si="481"/>
        <v>12</v>
      </c>
      <c r="O780" s="44">
        <f t="shared" si="488"/>
        <v>0</v>
      </c>
      <c r="P780" s="115">
        <f>'LOE Breakdown by Year'!N169</f>
        <v>0</v>
      </c>
      <c r="Q780" s="44">
        <f t="shared" si="482"/>
        <v>12</v>
      </c>
      <c r="R780" s="44">
        <f t="shared" si="489"/>
        <v>0</v>
      </c>
      <c r="S780" s="115">
        <f>'LOE Breakdown by Year'!N215</f>
        <v>0</v>
      </c>
      <c r="T780" s="44">
        <f t="shared" si="483"/>
        <v>12</v>
      </c>
      <c r="U780" s="44">
        <f t="shared" si="490"/>
        <v>0</v>
      </c>
      <c r="V780" s="115">
        <f>'LOE Breakdown by Year'!N261</f>
        <v>0</v>
      </c>
      <c r="W780" s="44">
        <f t="shared" si="484"/>
        <v>8</v>
      </c>
      <c r="X780" s="44">
        <f t="shared" si="491"/>
        <v>0</v>
      </c>
      <c r="Y780" s="44">
        <f t="shared" si="492"/>
        <v>0</v>
      </c>
      <c r="Z780" s="44">
        <v>0</v>
      </c>
      <c r="AA780" s="44">
        <f t="shared" si="493"/>
        <v>0</v>
      </c>
    </row>
    <row r="781" spans="1:27" hidden="1">
      <c r="A781" s="595" t="s">
        <v>1169</v>
      </c>
      <c r="B781" s="595">
        <v>70000</v>
      </c>
      <c r="C781" s="595" t="s">
        <v>747</v>
      </c>
      <c r="D781" s="8" t="str">
        <f t="shared" si="478"/>
        <v>US Commodity Logistics Specialist</v>
      </c>
      <c r="E781" s="115">
        <f>'LOE Breakdown by Year'!N32</f>
        <v>0</v>
      </c>
      <c r="F781" s="50" t="s">
        <v>100</v>
      </c>
      <c r="G781" s="44">
        <f t="shared" si="494"/>
        <v>9</v>
      </c>
      <c r="H781" s="44">
        <f t="shared" si="494"/>
        <v>2000</v>
      </c>
      <c r="I781" s="44">
        <f t="shared" si="486"/>
        <v>0</v>
      </c>
      <c r="J781" s="115">
        <f>'LOE Breakdown by Year'!N78</f>
        <v>0</v>
      </c>
      <c r="K781" s="44">
        <f t="shared" si="480"/>
        <v>12</v>
      </c>
      <c r="L781" s="44">
        <f t="shared" si="487"/>
        <v>0</v>
      </c>
      <c r="M781" s="115">
        <f>'LOE Breakdown by Year'!N124</f>
        <v>0</v>
      </c>
      <c r="N781" s="44">
        <f t="shared" si="481"/>
        <v>12</v>
      </c>
      <c r="O781" s="44">
        <f t="shared" si="488"/>
        <v>0</v>
      </c>
      <c r="P781" s="115">
        <f>'LOE Breakdown by Year'!N170</f>
        <v>0</v>
      </c>
      <c r="Q781" s="44">
        <f t="shared" si="482"/>
        <v>12</v>
      </c>
      <c r="R781" s="44">
        <f t="shared" si="489"/>
        <v>0</v>
      </c>
      <c r="S781" s="115">
        <f>'LOE Breakdown by Year'!N216</f>
        <v>0</v>
      </c>
      <c r="T781" s="44">
        <f t="shared" si="483"/>
        <v>12</v>
      </c>
      <c r="U781" s="44">
        <f t="shared" si="490"/>
        <v>0</v>
      </c>
      <c r="V781" s="115">
        <f>'LOE Breakdown by Year'!N262</f>
        <v>0</v>
      </c>
      <c r="W781" s="44">
        <f t="shared" si="484"/>
        <v>8</v>
      </c>
      <c r="X781" s="44">
        <f t="shared" si="491"/>
        <v>0</v>
      </c>
      <c r="Y781" s="44">
        <f t="shared" si="492"/>
        <v>0</v>
      </c>
      <c r="Z781" s="44">
        <v>0</v>
      </c>
      <c r="AA781" s="44">
        <f t="shared" si="493"/>
        <v>0</v>
      </c>
    </row>
    <row r="782" spans="1:27" hidden="1">
      <c r="A782" s="595" t="s">
        <v>1170</v>
      </c>
      <c r="B782" s="595">
        <v>70000</v>
      </c>
      <c r="C782" s="595" t="s">
        <v>747</v>
      </c>
      <c r="D782" s="8" t="str">
        <f t="shared" si="478"/>
        <v>Warehouse Manager</v>
      </c>
      <c r="E782" s="115">
        <f>'LOE Breakdown by Year'!N33</f>
        <v>0</v>
      </c>
      <c r="F782" s="50" t="s">
        <v>100</v>
      </c>
      <c r="G782" s="44">
        <f t="shared" si="494"/>
        <v>8</v>
      </c>
      <c r="H782" s="44">
        <f t="shared" si="494"/>
        <v>1250</v>
      </c>
      <c r="I782" s="44">
        <f t="shared" si="486"/>
        <v>0</v>
      </c>
      <c r="J782" s="115">
        <f>'LOE Breakdown by Year'!N79</f>
        <v>0</v>
      </c>
      <c r="K782" s="44">
        <f t="shared" si="480"/>
        <v>12</v>
      </c>
      <c r="L782" s="44">
        <f t="shared" si="487"/>
        <v>0</v>
      </c>
      <c r="M782" s="115">
        <f>'LOE Breakdown by Year'!N125</f>
        <v>0</v>
      </c>
      <c r="N782" s="44">
        <f t="shared" si="481"/>
        <v>12</v>
      </c>
      <c r="O782" s="44">
        <f t="shared" si="488"/>
        <v>0</v>
      </c>
      <c r="P782" s="115">
        <f>'LOE Breakdown by Year'!N171</f>
        <v>0</v>
      </c>
      <c r="Q782" s="44">
        <f t="shared" si="482"/>
        <v>12</v>
      </c>
      <c r="R782" s="44">
        <f t="shared" si="489"/>
        <v>0</v>
      </c>
      <c r="S782" s="115">
        <f>'LOE Breakdown by Year'!N217</f>
        <v>0</v>
      </c>
      <c r="T782" s="44">
        <f t="shared" si="483"/>
        <v>12</v>
      </c>
      <c r="U782" s="44">
        <f t="shared" si="490"/>
        <v>0</v>
      </c>
      <c r="V782" s="115">
        <f>'LOE Breakdown by Year'!N263</f>
        <v>0</v>
      </c>
      <c r="W782" s="44">
        <f t="shared" si="484"/>
        <v>8</v>
      </c>
      <c r="X782" s="44">
        <f t="shared" si="491"/>
        <v>0</v>
      </c>
      <c r="Y782" s="44">
        <f t="shared" si="492"/>
        <v>0</v>
      </c>
      <c r="Z782" s="44">
        <v>0</v>
      </c>
      <c r="AA782" s="44">
        <f t="shared" si="493"/>
        <v>0</v>
      </c>
    </row>
    <row r="783" spans="1:27" hidden="1">
      <c r="A783" s="595" t="s">
        <v>1171</v>
      </c>
      <c r="B783" s="595">
        <v>70000</v>
      </c>
      <c r="C783" s="595" t="s">
        <v>747</v>
      </c>
      <c r="D783" s="8" t="str">
        <f t="shared" si="478"/>
        <v>Warehouse Officer - (2 Individuals)</v>
      </c>
      <c r="E783" s="115">
        <f>'LOE Breakdown by Year'!N34</f>
        <v>0</v>
      </c>
      <c r="F783" s="50" t="s">
        <v>100</v>
      </c>
      <c r="G783" s="44">
        <f t="shared" si="494"/>
        <v>8</v>
      </c>
      <c r="H783" s="44">
        <f t="shared" si="494"/>
        <v>1000</v>
      </c>
      <c r="I783" s="44">
        <f t="shared" si="486"/>
        <v>0</v>
      </c>
      <c r="J783" s="115">
        <f>'LOE Breakdown by Year'!N80</f>
        <v>0</v>
      </c>
      <c r="K783" s="44">
        <f t="shared" si="480"/>
        <v>24</v>
      </c>
      <c r="L783" s="44">
        <f t="shared" si="487"/>
        <v>0</v>
      </c>
      <c r="M783" s="115">
        <f>'LOE Breakdown by Year'!N126</f>
        <v>0</v>
      </c>
      <c r="N783" s="44">
        <f t="shared" si="481"/>
        <v>24</v>
      </c>
      <c r="O783" s="44">
        <f t="shared" si="488"/>
        <v>0</v>
      </c>
      <c r="P783" s="115">
        <f>'LOE Breakdown by Year'!N172</f>
        <v>0</v>
      </c>
      <c r="Q783" s="44">
        <f t="shared" si="482"/>
        <v>24</v>
      </c>
      <c r="R783" s="44">
        <f t="shared" si="489"/>
        <v>0</v>
      </c>
      <c r="S783" s="115">
        <f>'LOE Breakdown by Year'!N218</f>
        <v>0</v>
      </c>
      <c r="T783" s="44">
        <f t="shared" si="483"/>
        <v>24</v>
      </c>
      <c r="U783" s="44">
        <f t="shared" si="490"/>
        <v>0</v>
      </c>
      <c r="V783" s="115">
        <f>'LOE Breakdown by Year'!N264</f>
        <v>0</v>
      </c>
      <c r="W783" s="44">
        <f t="shared" si="484"/>
        <v>8</v>
      </c>
      <c r="X783" s="44">
        <f t="shared" si="491"/>
        <v>0</v>
      </c>
      <c r="Y783" s="44">
        <f t="shared" si="492"/>
        <v>0</v>
      </c>
      <c r="Z783" s="44">
        <v>0</v>
      </c>
      <c r="AA783" s="44">
        <f t="shared" si="493"/>
        <v>0</v>
      </c>
    </row>
    <row r="784" spans="1:27" hidden="1">
      <c r="A784" s="595" t="s">
        <v>1172</v>
      </c>
      <c r="B784" s="595">
        <v>70000</v>
      </c>
      <c r="C784" s="595" t="s">
        <v>747</v>
      </c>
      <c r="D784" s="8" t="str">
        <f t="shared" si="478"/>
        <v xml:space="preserve">LRP Technical Specialist </v>
      </c>
      <c r="E784" s="115">
        <f>'LOE Breakdown by Year'!N35</f>
        <v>0</v>
      </c>
      <c r="F784" s="50" t="s">
        <v>100</v>
      </c>
      <c r="G784" s="44">
        <f t="shared" si="494"/>
        <v>8</v>
      </c>
      <c r="H784" s="44">
        <f t="shared" si="494"/>
        <v>1500</v>
      </c>
      <c r="I784" s="44">
        <f t="shared" si="486"/>
        <v>0</v>
      </c>
      <c r="J784" s="115">
        <f>'LOE Breakdown by Year'!N81</f>
        <v>0</v>
      </c>
      <c r="K784" s="44">
        <f t="shared" si="480"/>
        <v>12</v>
      </c>
      <c r="L784" s="44">
        <f t="shared" si="487"/>
        <v>0</v>
      </c>
      <c r="M784" s="115">
        <f>'LOE Breakdown by Year'!N127</f>
        <v>0</v>
      </c>
      <c r="N784" s="44">
        <f t="shared" si="481"/>
        <v>12</v>
      </c>
      <c r="O784" s="44">
        <f t="shared" si="488"/>
        <v>0</v>
      </c>
      <c r="P784" s="115">
        <f>'LOE Breakdown by Year'!N173</f>
        <v>0</v>
      </c>
      <c r="Q784" s="44">
        <f t="shared" si="482"/>
        <v>12</v>
      </c>
      <c r="R784" s="44">
        <f t="shared" si="489"/>
        <v>0</v>
      </c>
      <c r="S784" s="115">
        <f>'LOE Breakdown by Year'!N219</f>
        <v>0</v>
      </c>
      <c r="T784" s="44">
        <f t="shared" si="483"/>
        <v>12</v>
      </c>
      <c r="U784" s="44">
        <f t="shared" si="490"/>
        <v>0</v>
      </c>
      <c r="V784" s="115">
        <f>'LOE Breakdown by Year'!N265</f>
        <v>0</v>
      </c>
      <c r="W784" s="44">
        <f t="shared" si="484"/>
        <v>0</v>
      </c>
      <c r="X784" s="44">
        <f t="shared" si="491"/>
        <v>0</v>
      </c>
      <c r="Y784" s="44">
        <f t="shared" si="492"/>
        <v>0</v>
      </c>
      <c r="Z784" s="44">
        <v>0</v>
      </c>
      <c r="AA784" s="44">
        <f t="shared" si="493"/>
        <v>0</v>
      </c>
    </row>
    <row r="785" spans="1:27" hidden="1">
      <c r="A785" s="595" t="s">
        <v>1173</v>
      </c>
      <c r="B785" s="595">
        <v>70000</v>
      </c>
      <c r="C785" s="595" t="s">
        <v>747</v>
      </c>
      <c r="D785" s="8" t="str">
        <f t="shared" si="478"/>
        <v>Finance &amp; Administration Director</v>
      </c>
      <c r="E785" s="115">
        <f>'LOE Breakdown by Year'!N36</f>
        <v>0</v>
      </c>
      <c r="F785" s="50" t="s">
        <v>100</v>
      </c>
      <c r="G785" s="44">
        <f t="shared" si="494"/>
        <v>9</v>
      </c>
      <c r="H785" s="44">
        <f t="shared" si="494"/>
        <v>5000</v>
      </c>
      <c r="I785" s="44">
        <f t="shared" si="486"/>
        <v>0</v>
      </c>
      <c r="J785" s="115">
        <f>'LOE Breakdown by Year'!N82</f>
        <v>0</v>
      </c>
      <c r="K785" s="44">
        <f t="shared" si="480"/>
        <v>12</v>
      </c>
      <c r="L785" s="44">
        <f t="shared" si="487"/>
        <v>0</v>
      </c>
      <c r="M785" s="115">
        <f>'LOE Breakdown by Year'!N128</f>
        <v>0</v>
      </c>
      <c r="N785" s="44">
        <f t="shared" si="481"/>
        <v>12</v>
      </c>
      <c r="O785" s="44">
        <f t="shared" si="488"/>
        <v>0</v>
      </c>
      <c r="P785" s="115">
        <f>'LOE Breakdown by Year'!N174</f>
        <v>0</v>
      </c>
      <c r="Q785" s="44">
        <f t="shared" si="482"/>
        <v>12</v>
      </c>
      <c r="R785" s="44">
        <f t="shared" si="489"/>
        <v>0</v>
      </c>
      <c r="S785" s="115">
        <f>'LOE Breakdown by Year'!N220</f>
        <v>0</v>
      </c>
      <c r="T785" s="44">
        <f t="shared" si="483"/>
        <v>12</v>
      </c>
      <c r="U785" s="44">
        <f t="shared" si="490"/>
        <v>0</v>
      </c>
      <c r="V785" s="115">
        <f>'LOE Breakdown by Year'!N266</f>
        <v>0</v>
      </c>
      <c r="W785" s="44">
        <f t="shared" si="484"/>
        <v>12</v>
      </c>
      <c r="X785" s="44">
        <f t="shared" si="491"/>
        <v>0</v>
      </c>
      <c r="Y785" s="44">
        <f t="shared" si="492"/>
        <v>0</v>
      </c>
      <c r="Z785" s="44">
        <v>0</v>
      </c>
      <c r="AA785" s="44">
        <f t="shared" si="493"/>
        <v>0</v>
      </c>
    </row>
    <row r="786" spans="1:27" hidden="1">
      <c r="A786" s="595" t="s">
        <v>1174</v>
      </c>
      <c r="B786" s="595">
        <v>70000</v>
      </c>
      <c r="C786" s="595" t="s">
        <v>747</v>
      </c>
      <c r="D786" s="8" t="str">
        <f t="shared" si="478"/>
        <v>Contracts &amp; Compliance Manager</v>
      </c>
      <c r="E786" s="115">
        <f>'LOE Breakdown by Year'!N37</f>
        <v>0</v>
      </c>
      <c r="F786" s="50" t="s">
        <v>100</v>
      </c>
      <c r="G786" s="44">
        <f t="shared" si="494"/>
        <v>9</v>
      </c>
      <c r="H786" s="44">
        <f t="shared" si="494"/>
        <v>2633.3333333333335</v>
      </c>
      <c r="I786" s="44">
        <f t="shared" si="486"/>
        <v>0</v>
      </c>
      <c r="J786" s="115">
        <f>'LOE Breakdown by Year'!N83</f>
        <v>0</v>
      </c>
      <c r="K786" s="44">
        <f t="shared" si="480"/>
        <v>12</v>
      </c>
      <c r="L786" s="44">
        <f t="shared" si="487"/>
        <v>0</v>
      </c>
      <c r="M786" s="115">
        <f>'LOE Breakdown by Year'!N129</f>
        <v>0</v>
      </c>
      <c r="N786" s="44">
        <f t="shared" si="481"/>
        <v>12</v>
      </c>
      <c r="O786" s="44">
        <f t="shared" si="488"/>
        <v>0</v>
      </c>
      <c r="P786" s="115">
        <f>'LOE Breakdown by Year'!N175</f>
        <v>0</v>
      </c>
      <c r="Q786" s="44">
        <f t="shared" si="482"/>
        <v>12</v>
      </c>
      <c r="R786" s="44">
        <f t="shared" si="489"/>
        <v>0</v>
      </c>
      <c r="S786" s="115">
        <f>'LOE Breakdown by Year'!N221</f>
        <v>0</v>
      </c>
      <c r="T786" s="44">
        <f t="shared" si="483"/>
        <v>12</v>
      </c>
      <c r="U786" s="44">
        <f t="shared" si="490"/>
        <v>0</v>
      </c>
      <c r="V786" s="115">
        <f>'LOE Breakdown by Year'!N267</f>
        <v>0</v>
      </c>
      <c r="W786" s="44">
        <f t="shared" si="484"/>
        <v>11</v>
      </c>
      <c r="X786" s="44">
        <f t="shared" si="491"/>
        <v>0</v>
      </c>
      <c r="Y786" s="44">
        <f t="shared" si="492"/>
        <v>0</v>
      </c>
      <c r="Z786" s="44">
        <v>0</v>
      </c>
      <c r="AA786" s="44">
        <f t="shared" si="493"/>
        <v>0</v>
      </c>
    </row>
    <row r="787" spans="1:27" hidden="1">
      <c r="A787" s="595" t="s">
        <v>1175</v>
      </c>
      <c r="B787" s="595">
        <v>70000</v>
      </c>
      <c r="C787" s="595" t="s">
        <v>747</v>
      </c>
      <c r="D787" s="8" t="str">
        <f t="shared" si="478"/>
        <v>Grants &amp; Procurement Specialist</v>
      </c>
      <c r="E787" s="115">
        <f>'LOE Breakdown by Year'!N38</f>
        <v>0</v>
      </c>
      <c r="F787" s="50" t="s">
        <v>100</v>
      </c>
      <c r="G787" s="44">
        <f t="shared" si="494"/>
        <v>6</v>
      </c>
      <c r="H787" s="44">
        <f t="shared" si="494"/>
        <v>1500</v>
      </c>
      <c r="I787" s="44">
        <f t="shared" si="486"/>
        <v>0</v>
      </c>
      <c r="J787" s="115">
        <f>'LOE Breakdown by Year'!N84</f>
        <v>0</v>
      </c>
      <c r="K787" s="44">
        <f t="shared" si="480"/>
        <v>12</v>
      </c>
      <c r="L787" s="44">
        <f t="shared" si="487"/>
        <v>0</v>
      </c>
      <c r="M787" s="115">
        <f>'LOE Breakdown by Year'!N130</f>
        <v>0</v>
      </c>
      <c r="N787" s="44">
        <f t="shared" si="481"/>
        <v>12</v>
      </c>
      <c r="O787" s="44">
        <f t="shared" si="488"/>
        <v>0</v>
      </c>
      <c r="P787" s="115">
        <f>'LOE Breakdown by Year'!N176</f>
        <v>0</v>
      </c>
      <c r="Q787" s="44">
        <f t="shared" si="482"/>
        <v>12</v>
      </c>
      <c r="R787" s="44">
        <f t="shared" si="489"/>
        <v>0</v>
      </c>
      <c r="S787" s="115">
        <f>'LOE Breakdown by Year'!N222</f>
        <v>0</v>
      </c>
      <c r="T787" s="44">
        <f t="shared" si="483"/>
        <v>12</v>
      </c>
      <c r="U787" s="44">
        <f t="shared" si="490"/>
        <v>0</v>
      </c>
      <c r="V787" s="115">
        <f>'LOE Breakdown by Year'!N268</f>
        <v>0</v>
      </c>
      <c r="W787" s="44">
        <f t="shared" si="484"/>
        <v>6</v>
      </c>
      <c r="X787" s="44">
        <f t="shared" si="491"/>
        <v>0</v>
      </c>
      <c r="Y787" s="44">
        <f t="shared" si="492"/>
        <v>0</v>
      </c>
      <c r="Z787" s="44">
        <v>0</v>
      </c>
      <c r="AA787" s="44">
        <f t="shared" si="493"/>
        <v>0</v>
      </c>
    </row>
    <row r="788" spans="1:27" hidden="1">
      <c r="A788" s="595" t="s">
        <v>1176</v>
      </c>
      <c r="B788" s="595">
        <v>70000</v>
      </c>
      <c r="C788" s="595" t="s">
        <v>747</v>
      </c>
      <c r="D788" s="8" t="str">
        <f t="shared" si="478"/>
        <v>Grants &amp; Procurement Officer</v>
      </c>
      <c r="E788" s="115">
        <f>'LOE Breakdown by Year'!N39</f>
        <v>0</v>
      </c>
      <c r="F788" s="50" t="s">
        <v>100</v>
      </c>
      <c r="G788" s="44">
        <f t="shared" si="494"/>
        <v>2</v>
      </c>
      <c r="H788" s="44">
        <f t="shared" si="494"/>
        <v>1000</v>
      </c>
      <c r="I788" s="44">
        <f t="shared" si="486"/>
        <v>0</v>
      </c>
      <c r="J788" s="115">
        <f>'LOE Breakdown by Year'!N85</f>
        <v>0</v>
      </c>
      <c r="K788" s="44">
        <f t="shared" si="480"/>
        <v>12</v>
      </c>
      <c r="L788" s="44">
        <f t="shared" si="487"/>
        <v>0</v>
      </c>
      <c r="M788" s="115">
        <f>'LOE Breakdown by Year'!N131</f>
        <v>0</v>
      </c>
      <c r="N788" s="44">
        <f t="shared" si="481"/>
        <v>12</v>
      </c>
      <c r="O788" s="44">
        <f t="shared" si="488"/>
        <v>0</v>
      </c>
      <c r="P788" s="115">
        <f>'LOE Breakdown by Year'!N177</f>
        <v>0</v>
      </c>
      <c r="Q788" s="44">
        <f t="shared" si="482"/>
        <v>12</v>
      </c>
      <c r="R788" s="44">
        <f t="shared" si="489"/>
        <v>0</v>
      </c>
      <c r="S788" s="115">
        <f>'LOE Breakdown by Year'!N223</f>
        <v>0</v>
      </c>
      <c r="T788" s="44">
        <f t="shared" si="483"/>
        <v>12</v>
      </c>
      <c r="U788" s="44">
        <f t="shared" si="490"/>
        <v>0</v>
      </c>
      <c r="V788" s="115">
        <f>'LOE Breakdown by Year'!N269</f>
        <v>0</v>
      </c>
      <c r="W788" s="44">
        <f t="shared" si="484"/>
        <v>3</v>
      </c>
      <c r="X788" s="44">
        <f t="shared" si="491"/>
        <v>0</v>
      </c>
      <c r="Y788" s="44">
        <f t="shared" si="492"/>
        <v>0</v>
      </c>
      <c r="Z788" s="44">
        <v>0</v>
      </c>
      <c r="AA788" s="44">
        <f t="shared" si="493"/>
        <v>0</v>
      </c>
    </row>
    <row r="789" spans="1:27" hidden="1">
      <c r="A789" s="595" t="s">
        <v>1177</v>
      </c>
      <c r="B789" s="595">
        <v>70000</v>
      </c>
      <c r="C789" s="595" t="s">
        <v>747</v>
      </c>
      <c r="D789" s="8" t="str">
        <f t="shared" si="478"/>
        <v>Finance Officer</v>
      </c>
      <c r="E789" s="115">
        <f>'LOE Breakdown by Year'!N40</f>
        <v>0</v>
      </c>
      <c r="F789" s="50" t="s">
        <v>100</v>
      </c>
      <c r="G789" s="44">
        <f t="shared" si="494"/>
        <v>9</v>
      </c>
      <c r="H789" s="44">
        <f t="shared" si="494"/>
        <v>1250</v>
      </c>
      <c r="I789" s="44">
        <f t="shared" si="486"/>
        <v>0</v>
      </c>
      <c r="J789" s="115">
        <f>'LOE Breakdown by Year'!N86</f>
        <v>0</v>
      </c>
      <c r="K789" s="44">
        <f t="shared" si="480"/>
        <v>12</v>
      </c>
      <c r="L789" s="44">
        <f t="shared" si="487"/>
        <v>0</v>
      </c>
      <c r="M789" s="115">
        <f>'LOE Breakdown by Year'!N132</f>
        <v>0</v>
      </c>
      <c r="N789" s="44">
        <f t="shared" si="481"/>
        <v>12</v>
      </c>
      <c r="O789" s="44">
        <f t="shared" si="488"/>
        <v>0</v>
      </c>
      <c r="P789" s="115">
        <f>'LOE Breakdown by Year'!N178</f>
        <v>0</v>
      </c>
      <c r="Q789" s="44">
        <f t="shared" si="482"/>
        <v>12</v>
      </c>
      <c r="R789" s="44">
        <f t="shared" si="489"/>
        <v>0</v>
      </c>
      <c r="S789" s="115">
        <f>'LOE Breakdown by Year'!N224</f>
        <v>0</v>
      </c>
      <c r="T789" s="44">
        <f t="shared" si="483"/>
        <v>12</v>
      </c>
      <c r="U789" s="44">
        <f t="shared" si="490"/>
        <v>0</v>
      </c>
      <c r="V789" s="115">
        <f>'LOE Breakdown by Year'!N270</f>
        <v>0</v>
      </c>
      <c r="W789" s="44">
        <f t="shared" si="484"/>
        <v>11</v>
      </c>
      <c r="X789" s="44">
        <f t="shared" si="491"/>
        <v>0</v>
      </c>
      <c r="Y789" s="44">
        <f t="shared" si="492"/>
        <v>0</v>
      </c>
      <c r="Z789" s="44">
        <v>0</v>
      </c>
      <c r="AA789" s="44">
        <f t="shared" si="493"/>
        <v>0</v>
      </c>
    </row>
    <row r="790" spans="1:27" hidden="1">
      <c r="A790" s="595" t="s">
        <v>1178</v>
      </c>
      <c r="B790" s="595">
        <v>70000</v>
      </c>
      <c r="C790" s="595" t="s">
        <v>747</v>
      </c>
      <c r="D790" s="8" t="str">
        <f t="shared" si="478"/>
        <v>Accountant</v>
      </c>
      <c r="E790" s="115">
        <f>'LOE Breakdown by Year'!N41</f>
        <v>0</v>
      </c>
      <c r="F790" s="50" t="s">
        <v>100</v>
      </c>
      <c r="G790" s="44">
        <f t="shared" si="494"/>
        <v>3</v>
      </c>
      <c r="H790" s="44">
        <f t="shared" si="494"/>
        <v>1000</v>
      </c>
      <c r="I790" s="44">
        <f t="shared" si="486"/>
        <v>0</v>
      </c>
      <c r="J790" s="115">
        <f>'LOE Breakdown by Year'!N87</f>
        <v>0</v>
      </c>
      <c r="K790" s="44">
        <f t="shared" si="480"/>
        <v>12</v>
      </c>
      <c r="L790" s="44">
        <f t="shared" si="487"/>
        <v>0</v>
      </c>
      <c r="M790" s="115">
        <f>'LOE Breakdown by Year'!N133</f>
        <v>0</v>
      </c>
      <c r="N790" s="44">
        <f t="shared" si="481"/>
        <v>12</v>
      </c>
      <c r="O790" s="44">
        <f t="shared" si="488"/>
        <v>0</v>
      </c>
      <c r="P790" s="115">
        <f>'LOE Breakdown by Year'!N179</f>
        <v>0</v>
      </c>
      <c r="Q790" s="44">
        <f t="shared" si="482"/>
        <v>12</v>
      </c>
      <c r="R790" s="44">
        <f t="shared" si="489"/>
        <v>0</v>
      </c>
      <c r="S790" s="115">
        <f>'LOE Breakdown by Year'!N225</f>
        <v>0</v>
      </c>
      <c r="T790" s="44">
        <f t="shared" si="483"/>
        <v>12</v>
      </c>
      <c r="U790" s="44">
        <f t="shared" si="490"/>
        <v>0</v>
      </c>
      <c r="V790" s="115">
        <f>'LOE Breakdown by Year'!N271</f>
        <v>0</v>
      </c>
      <c r="W790" s="44">
        <f t="shared" si="484"/>
        <v>9</v>
      </c>
      <c r="X790" s="44">
        <f t="shared" si="491"/>
        <v>0</v>
      </c>
      <c r="Y790" s="44">
        <f t="shared" si="492"/>
        <v>0</v>
      </c>
      <c r="Z790" s="44">
        <v>0</v>
      </c>
      <c r="AA790" s="44">
        <f t="shared" si="493"/>
        <v>0</v>
      </c>
    </row>
    <row r="791" spans="1:27" hidden="1">
      <c r="A791" s="595" t="s">
        <v>1179</v>
      </c>
      <c r="B791" s="595">
        <v>70000</v>
      </c>
      <c r="C791" s="595" t="s">
        <v>747</v>
      </c>
      <c r="D791" s="8" t="str">
        <f t="shared" si="478"/>
        <v>Operation &amp; HR Manager</v>
      </c>
      <c r="E791" s="115">
        <f>'LOE Breakdown by Year'!N42</f>
        <v>0</v>
      </c>
      <c r="F791" s="50" t="s">
        <v>100</v>
      </c>
      <c r="G791" s="44">
        <f t="shared" si="494"/>
        <v>9</v>
      </c>
      <c r="H791" s="44">
        <f t="shared" si="494"/>
        <v>1800</v>
      </c>
      <c r="I791" s="44">
        <f t="shared" si="486"/>
        <v>0</v>
      </c>
      <c r="J791" s="115">
        <f>'LOE Breakdown by Year'!N88</f>
        <v>0</v>
      </c>
      <c r="K791" s="44">
        <f t="shared" si="480"/>
        <v>12</v>
      </c>
      <c r="L791" s="44">
        <f t="shared" si="487"/>
        <v>0</v>
      </c>
      <c r="M791" s="115">
        <f>'LOE Breakdown by Year'!N134</f>
        <v>0</v>
      </c>
      <c r="N791" s="44">
        <f t="shared" si="481"/>
        <v>12</v>
      </c>
      <c r="O791" s="44">
        <f t="shared" si="488"/>
        <v>0</v>
      </c>
      <c r="P791" s="115">
        <f>'LOE Breakdown by Year'!N180</f>
        <v>0</v>
      </c>
      <c r="Q791" s="44">
        <f t="shared" si="482"/>
        <v>12</v>
      </c>
      <c r="R791" s="44">
        <f t="shared" si="489"/>
        <v>0</v>
      </c>
      <c r="S791" s="115">
        <f>'LOE Breakdown by Year'!N226</f>
        <v>0</v>
      </c>
      <c r="T791" s="44">
        <f t="shared" si="483"/>
        <v>12</v>
      </c>
      <c r="U791" s="44">
        <f t="shared" si="490"/>
        <v>0</v>
      </c>
      <c r="V791" s="115">
        <f>'LOE Breakdown by Year'!N272</f>
        <v>0</v>
      </c>
      <c r="W791" s="44">
        <f t="shared" si="484"/>
        <v>11</v>
      </c>
      <c r="X791" s="44">
        <f t="shared" si="491"/>
        <v>0</v>
      </c>
      <c r="Y791" s="44">
        <f t="shared" si="492"/>
        <v>0</v>
      </c>
      <c r="Z791" s="44">
        <v>0</v>
      </c>
      <c r="AA791" s="44">
        <f t="shared" si="493"/>
        <v>0</v>
      </c>
    </row>
    <row r="792" spans="1:27" hidden="1">
      <c r="A792" s="595" t="s">
        <v>1180</v>
      </c>
      <c r="B792" s="595">
        <v>70000</v>
      </c>
      <c r="C792" s="595" t="s">
        <v>747</v>
      </c>
      <c r="D792" s="8" t="str">
        <f t="shared" si="478"/>
        <v>Administrative Assistant - (2 Individuals)</v>
      </c>
      <c r="E792" s="115">
        <f>'LOE Breakdown by Year'!N43</f>
        <v>0</v>
      </c>
      <c r="F792" s="50" t="s">
        <v>100</v>
      </c>
      <c r="G792" s="44">
        <f t="shared" si="494"/>
        <v>6</v>
      </c>
      <c r="H792" s="44">
        <f t="shared" si="494"/>
        <v>750</v>
      </c>
      <c r="I792" s="44">
        <f t="shared" si="486"/>
        <v>0</v>
      </c>
      <c r="J792" s="115">
        <f>'LOE Breakdown by Year'!N89</f>
        <v>0</v>
      </c>
      <c r="K792" s="44">
        <f t="shared" si="480"/>
        <v>24</v>
      </c>
      <c r="L792" s="44">
        <f t="shared" si="487"/>
        <v>0</v>
      </c>
      <c r="M792" s="115">
        <f>'LOE Breakdown by Year'!N135</f>
        <v>0</v>
      </c>
      <c r="N792" s="44">
        <f t="shared" si="481"/>
        <v>24</v>
      </c>
      <c r="O792" s="44">
        <f t="shared" si="488"/>
        <v>0</v>
      </c>
      <c r="P792" s="115">
        <f>'LOE Breakdown by Year'!N181</f>
        <v>0</v>
      </c>
      <c r="Q792" s="44">
        <f t="shared" si="482"/>
        <v>24</v>
      </c>
      <c r="R792" s="44">
        <f t="shared" si="489"/>
        <v>0</v>
      </c>
      <c r="S792" s="115">
        <f>'LOE Breakdown by Year'!N227</f>
        <v>0</v>
      </c>
      <c r="T792" s="44">
        <f t="shared" si="483"/>
        <v>24</v>
      </c>
      <c r="U792" s="44">
        <f t="shared" si="490"/>
        <v>0</v>
      </c>
      <c r="V792" s="115">
        <f>'LOE Breakdown by Year'!N273</f>
        <v>0</v>
      </c>
      <c r="W792" s="44">
        <f t="shared" si="484"/>
        <v>10</v>
      </c>
      <c r="X792" s="44">
        <f t="shared" si="491"/>
        <v>0</v>
      </c>
      <c r="Y792" s="44">
        <f t="shared" si="492"/>
        <v>0</v>
      </c>
      <c r="Z792" s="44">
        <v>0</v>
      </c>
      <c r="AA792" s="44">
        <f t="shared" si="493"/>
        <v>0</v>
      </c>
    </row>
    <row r="793" spans="1:27" hidden="1">
      <c r="A793" s="595" t="s">
        <v>1181</v>
      </c>
      <c r="B793" s="595">
        <v>70000</v>
      </c>
      <c r="C793" s="595" t="s">
        <v>747</v>
      </c>
      <c r="D793" s="8" t="str">
        <f t="shared" si="478"/>
        <v>Driver - (2 Individuals)</v>
      </c>
      <c r="E793" s="115">
        <f>'LOE Breakdown by Year'!N44</f>
        <v>0</v>
      </c>
      <c r="F793" s="50" t="s">
        <v>100</v>
      </c>
      <c r="G793" s="44">
        <f t="shared" si="494"/>
        <v>6</v>
      </c>
      <c r="H793" s="44">
        <f t="shared" si="494"/>
        <v>500</v>
      </c>
      <c r="I793" s="44">
        <f t="shared" si="486"/>
        <v>0</v>
      </c>
      <c r="J793" s="115">
        <f>'LOE Breakdown by Year'!N90</f>
        <v>0</v>
      </c>
      <c r="K793" s="44">
        <f t="shared" si="480"/>
        <v>24</v>
      </c>
      <c r="L793" s="44">
        <f t="shared" si="487"/>
        <v>0</v>
      </c>
      <c r="M793" s="115">
        <f>'LOE Breakdown by Year'!N136</f>
        <v>0</v>
      </c>
      <c r="N793" s="44">
        <f t="shared" si="481"/>
        <v>24</v>
      </c>
      <c r="O793" s="44">
        <f t="shared" si="488"/>
        <v>0</v>
      </c>
      <c r="P793" s="115">
        <f>'LOE Breakdown by Year'!N182</f>
        <v>0</v>
      </c>
      <c r="Q793" s="44">
        <f t="shared" si="482"/>
        <v>24</v>
      </c>
      <c r="R793" s="44">
        <f t="shared" si="489"/>
        <v>0</v>
      </c>
      <c r="S793" s="115">
        <f>'LOE Breakdown by Year'!N228</f>
        <v>0</v>
      </c>
      <c r="T793" s="44">
        <f t="shared" si="483"/>
        <v>24</v>
      </c>
      <c r="U793" s="44">
        <f t="shared" si="490"/>
        <v>0</v>
      </c>
      <c r="V793" s="115">
        <f>'LOE Breakdown by Year'!N274</f>
        <v>0</v>
      </c>
      <c r="W793" s="44">
        <f t="shared" si="484"/>
        <v>18</v>
      </c>
      <c r="X793" s="44">
        <f t="shared" si="491"/>
        <v>0</v>
      </c>
      <c r="Y793" s="44">
        <f t="shared" si="492"/>
        <v>0</v>
      </c>
      <c r="Z793" s="44">
        <v>0</v>
      </c>
      <c r="AA793" s="44">
        <f t="shared" si="493"/>
        <v>0</v>
      </c>
    </row>
    <row r="794" spans="1:27">
      <c r="A794" s="607"/>
      <c r="B794" s="607"/>
      <c r="C794" s="607"/>
      <c r="D794" s="41" t="s">
        <v>443</v>
      </c>
      <c r="E794" s="127"/>
      <c r="F794" s="46"/>
      <c r="G794" s="47"/>
      <c r="H794" s="47"/>
      <c r="I794" s="48">
        <f>SUM(I760:I793)</f>
        <v>23750</v>
      </c>
      <c r="J794" s="127"/>
      <c r="K794" s="48"/>
      <c r="L794" s="48">
        <f>SUM(L760:L793)</f>
        <v>36960</v>
      </c>
      <c r="M794" s="127"/>
      <c r="N794" s="48"/>
      <c r="O794" s="48">
        <f>SUM(O760:O793)</f>
        <v>42280.875</v>
      </c>
      <c r="P794" s="127"/>
      <c r="Q794" s="48"/>
      <c r="R794" s="48">
        <f>SUM(R760:R793)</f>
        <v>46999.574999999997</v>
      </c>
      <c r="S794" s="127"/>
      <c r="T794" s="48"/>
      <c r="U794" s="48">
        <f>SUM(U760:U793)</f>
        <v>48802.575937500005</v>
      </c>
      <c r="V794" s="127"/>
      <c r="W794" s="48"/>
      <c r="X794" s="48">
        <f>SUM(X760:X793)</f>
        <v>24972.575906250007</v>
      </c>
      <c r="Y794" s="48">
        <f>SUM(Y760:Y793)</f>
        <v>223765.60184374999</v>
      </c>
      <c r="Z794" s="48">
        <f>SUM(Z760:Z793)</f>
        <v>0</v>
      </c>
      <c r="AA794" s="48">
        <f>SUM(AA760:AA793)</f>
        <v>223765.60184374999</v>
      </c>
    </row>
    <row r="795" spans="1:27">
      <c r="A795" s="608"/>
      <c r="B795" s="608"/>
      <c r="C795" s="608"/>
      <c r="D795" s="100"/>
      <c r="E795" s="128"/>
      <c r="F795" s="81"/>
      <c r="G795" s="63"/>
      <c r="H795" s="63"/>
      <c r="I795" s="63"/>
      <c r="J795" s="128"/>
      <c r="K795" s="63"/>
      <c r="L795" s="63"/>
      <c r="M795" s="128"/>
      <c r="N795" s="63"/>
      <c r="O795" s="63"/>
      <c r="P795" s="128"/>
      <c r="Q795" s="63"/>
      <c r="R795" s="63"/>
      <c r="S795" s="128"/>
      <c r="T795" s="63"/>
      <c r="U795" s="63"/>
      <c r="V795" s="128"/>
      <c r="W795" s="63"/>
      <c r="X795" s="63"/>
      <c r="Y795" s="63"/>
      <c r="Z795" s="63"/>
      <c r="AA795" s="63"/>
    </row>
    <row r="796" spans="1:27">
      <c r="A796" s="607"/>
      <c r="B796" s="607"/>
      <c r="C796" s="607"/>
      <c r="D796" s="41" t="s">
        <v>444</v>
      </c>
      <c r="E796" s="127"/>
      <c r="F796" s="46"/>
      <c r="G796" s="47"/>
      <c r="H796" s="47"/>
      <c r="I796" s="48"/>
      <c r="J796" s="127"/>
      <c r="K796" s="48"/>
      <c r="L796" s="48"/>
      <c r="M796" s="127"/>
      <c r="N796" s="48"/>
      <c r="O796" s="48"/>
      <c r="P796" s="127"/>
      <c r="Q796" s="48"/>
      <c r="R796" s="48"/>
      <c r="S796" s="127"/>
      <c r="T796" s="48"/>
      <c r="U796" s="48"/>
      <c r="V796" s="127"/>
      <c r="W796" s="48"/>
      <c r="X796" s="48"/>
      <c r="Y796" s="48"/>
      <c r="Z796" s="48"/>
      <c r="AA796" s="48"/>
    </row>
    <row r="797" spans="1:27">
      <c r="A797" s="591" t="s">
        <v>872</v>
      </c>
      <c r="B797" s="591" t="s">
        <v>791</v>
      </c>
      <c r="C797" s="591" t="s">
        <v>747</v>
      </c>
      <c r="D797" s="8" t="str">
        <f>D56</f>
        <v>Fringe Benefits CCN - Honduras</v>
      </c>
      <c r="E797" s="116"/>
      <c r="F797" s="82" t="str">
        <f>F56</f>
        <v>%</v>
      </c>
      <c r="G797" s="44">
        <f>G56</f>
        <v>0</v>
      </c>
      <c r="H797" s="60">
        <f>H56</f>
        <v>0.48259999999999997</v>
      </c>
      <c r="I797" s="44">
        <f>(SUM(I760:I793))*$H$797</f>
        <v>11461.75</v>
      </c>
      <c r="J797" s="116"/>
      <c r="K797" s="44">
        <f>K56</f>
        <v>0</v>
      </c>
      <c r="L797" s="44">
        <f>(SUM(L760:L793))*$H$797</f>
        <v>17836.896000000001</v>
      </c>
      <c r="M797" s="116"/>
      <c r="N797" s="44">
        <f>N56</f>
        <v>0</v>
      </c>
      <c r="O797" s="44">
        <f>(SUM(O760:O793))*$H$797</f>
        <v>20404.750274999999</v>
      </c>
      <c r="P797" s="116"/>
      <c r="Q797" s="44">
        <f>Q56</f>
        <v>0</v>
      </c>
      <c r="R797" s="44">
        <f>(SUM(R760:R793))*$H$797</f>
        <v>22681.994894999996</v>
      </c>
      <c r="S797" s="116"/>
      <c r="T797" s="44">
        <f>T56</f>
        <v>0</v>
      </c>
      <c r="U797" s="44">
        <f>(SUM(U760:U793))*$H$797</f>
        <v>23552.123147437502</v>
      </c>
      <c r="V797" s="116"/>
      <c r="W797" s="44">
        <f>W56</f>
        <v>0</v>
      </c>
      <c r="X797" s="44">
        <f>(SUM(X760:X793))*$H$797</f>
        <v>12051.765132356253</v>
      </c>
      <c r="Y797" s="44">
        <f t="shared" ref="Y797" si="495">SUM(R797,O797,L797,I797,U797,X797)</f>
        <v>107989.27944979374</v>
      </c>
      <c r="Z797" s="63">
        <v>0</v>
      </c>
      <c r="AA797" s="44">
        <f>SUM(Y797:Z797)</f>
        <v>107989.27944979374</v>
      </c>
    </row>
    <row r="798" spans="1:27">
      <c r="A798" s="607"/>
      <c r="B798" s="607"/>
      <c r="C798" s="607"/>
      <c r="D798" s="41" t="s">
        <v>445</v>
      </c>
      <c r="E798" s="127"/>
      <c r="F798" s="46"/>
      <c r="G798" s="47"/>
      <c r="H798" s="47"/>
      <c r="I798" s="48">
        <f>SUM(I797:I797)</f>
        <v>11461.75</v>
      </c>
      <c r="J798" s="127"/>
      <c r="K798" s="48"/>
      <c r="L798" s="48">
        <f>SUM(L797:L797)</f>
        <v>17836.896000000001</v>
      </c>
      <c r="M798" s="127"/>
      <c r="N798" s="48"/>
      <c r="O798" s="48">
        <f>SUM(O797:O797)</f>
        <v>20404.750274999999</v>
      </c>
      <c r="P798" s="127"/>
      <c r="Q798" s="48"/>
      <c r="R798" s="48">
        <f>SUM(R797:R797)</f>
        <v>22681.994894999996</v>
      </c>
      <c r="S798" s="127"/>
      <c r="T798" s="48"/>
      <c r="U798" s="48">
        <f>SUM(U797:U797)</f>
        <v>23552.123147437502</v>
      </c>
      <c r="V798" s="127"/>
      <c r="W798" s="48"/>
      <c r="X798" s="48">
        <f>SUM(X797:X797)</f>
        <v>12051.765132356253</v>
      </c>
      <c r="Y798" s="48">
        <f>SUM(Y797:Y797)</f>
        <v>107989.27944979374</v>
      </c>
      <c r="Z798" s="48">
        <f>SUM(Z797:Z797)</f>
        <v>0</v>
      </c>
      <c r="AA798" s="48">
        <f>SUM(AA797:AA797)</f>
        <v>107989.27944979374</v>
      </c>
    </row>
    <row r="799" spans="1:27">
      <c r="A799" s="608"/>
      <c r="B799" s="608"/>
      <c r="C799" s="608"/>
      <c r="D799" s="100"/>
      <c r="E799" s="128"/>
      <c r="F799" s="81"/>
      <c r="G799" s="63"/>
      <c r="H799" s="63"/>
      <c r="I799" s="63"/>
      <c r="J799" s="128"/>
      <c r="K799" s="63"/>
      <c r="L799" s="63"/>
      <c r="M799" s="128"/>
      <c r="N799" s="63"/>
      <c r="O799" s="63"/>
      <c r="P799" s="128"/>
      <c r="Q799" s="63"/>
      <c r="R799" s="63"/>
      <c r="S799" s="128"/>
      <c r="T799" s="63"/>
      <c r="U799" s="63"/>
      <c r="V799" s="128"/>
      <c r="W799" s="63"/>
      <c r="X799" s="63"/>
      <c r="Y799" s="63"/>
      <c r="Z799" s="63"/>
      <c r="AA799" s="63"/>
    </row>
    <row r="800" spans="1:27">
      <c r="A800" s="607"/>
      <c r="B800" s="607"/>
      <c r="C800" s="607"/>
      <c r="D800" s="41" t="s">
        <v>446</v>
      </c>
      <c r="E800" s="127"/>
      <c r="F800" s="46"/>
      <c r="G800" s="47"/>
      <c r="H800" s="47"/>
      <c r="I800" s="47"/>
      <c r="J800" s="127"/>
      <c r="K800" s="47"/>
      <c r="L800" s="47"/>
      <c r="M800" s="127"/>
      <c r="N800" s="47"/>
      <c r="O800" s="47"/>
      <c r="P800" s="127"/>
      <c r="Q800" s="47"/>
      <c r="R800" s="47"/>
      <c r="S800" s="127"/>
      <c r="T800" s="47"/>
      <c r="U800" s="47"/>
      <c r="V800" s="127"/>
      <c r="W800" s="47"/>
      <c r="X800" s="47"/>
      <c r="Y800" s="47"/>
      <c r="Z800" s="47"/>
      <c r="AA800" s="47"/>
    </row>
    <row r="801" spans="1:27" ht="25.2">
      <c r="A801" s="591" t="s">
        <v>1362</v>
      </c>
      <c r="B801" s="591" t="s">
        <v>1293</v>
      </c>
      <c r="C801" s="591" t="s">
        <v>747</v>
      </c>
      <c r="D801" s="8" t="s">
        <v>447</v>
      </c>
      <c r="F801" s="49" t="s">
        <v>100</v>
      </c>
      <c r="G801" s="44">
        <v>4</v>
      </c>
      <c r="H801" s="44">
        <v>3000</v>
      </c>
      <c r="I801" s="44">
        <f>G801*H801</f>
        <v>12000</v>
      </c>
      <c r="J801" s="120"/>
      <c r="K801" s="44">
        <v>4</v>
      </c>
      <c r="L801" s="44">
        <f>K801*H801</f>
        <v>12000</v>
      </c>
      <c r="M801" s="120"/>
      <c r="N801" s="44">
        <v>0</v>
      </c>
      <c r="O801" s="44">
        <f>N801*H801</f>
        <v>0</v>
      </c>
      <c r="P801" s="120"/>
      <c r="Q801" s="44">
        <v>0</v>
      </c>
      <c r="R801" s="44">
        <f>Q801*H801</f>
        <v>0</v>
      </c>
      <c r="S801" s="120"/>
      <c r="T801" s="44">
        <v>0</v>
      </c>
      <c r="U801" s="44">
        <f>T801*H801</f>
        <v>0</v>
      </c>
      <c r="V801" s="120"/>
      <c r="W801" s="44">
        <v>0</v>
      </c>
      <c r="X801" s="44">
        <f t="shared" ref="X801" si="496">W801*H801</f>
        <v>0</v>
      </c>
      <c r="Y801" s="44">
        <f t="shared" ref="Y801" si="497">SUM(R801,O801,L801,I801,U801,X801)</f>
        <v>24000</v>
      </c>
      <c r="Z801" s="44">
        <v>0</v>
      </c>
      <c r="AA801" s="44">
        <f>Y801+Z801</f>
        <v>24000</v>
      </c>
    </row>
    <row r="802" spans="1:27">
      <c r="A802" s="591" t="s">
        <v>1357</v>
      </c>
      <c r="B802" s="591" t="s">
        <v>1293</v>
      </c>
      <c r="C802" s="591" t="s">
        <v>747</v>
      </c>
      <c r="D802" s="8" t="s">
        <v>448</v>
      </c>
      <c r="E802" s="120"/>
      <c r="F802" s="49" t="s">
        <v>151</v>
      </c>
      <c r="G802" s="44">
        <v>0</v>
      </c>
      <c r="H802" s="44">
        <v>300</v>
      </c>
      <c r="I802" s="44">
        <f>G802*H802</f>
        <v>0</v>
      </c>
      <c r="J802" s="120"/>
      <c r="K802" s="44">
        <v>8</v>
      </c>
      <c r="L802" s="44">
        <f>K802*H802</f>
        <v>2400</v>
      </c>
      <c r="M802" s="120"/>
      <c r="N802" s="44">
        <v>0</v>
      </c>
      <c r="O802" s="44">
        <f>N802*H802</f>
        <v>0</v>
      </c>
      <c r="P802" s="120"/>
      <c r="Q802" s="44">
        <v>0</v>
      </c>
      <c r="R802" s="44">
        <f>Q802*H802</f>
        <v>0</v>
      </c>
      <c r="S802" s="120"/>
      <c r="T802" s="44">
        <v>0</v>
      </c>
      <c r="U802" s="44">
        <f>T802*H802</f>
        <v>0</v>
      </c>
      <c r="V802" s="120"/>
      <c r="W802" s="44">
        <v>0</v>
      </c>
      <c r="X802" s="44">
        <f t="shared" ref="X802:X805" si="498">W802*H802</f>
        <v>0</v>
      </c>
      <c r="Y802" s="44">
        <f t="shared" ref="Y802:Y805" si="499">SUM(R802,O802,L802,I802,U802,X802)</f>
        <v>2400</v>
      </c>
      <c r="Z802" s="44">
        <v>0</v>
      </c>
      <c r="AA802" s="44">
        <f>Y802+Z802</f>
        <v>2400</v>
      </c>
    </row>
    <row r="803" spans="1:27">
      <c r="A803" s="591" t="s">
        <v>1361</v>
      </c>
      <c r="B803" s="591" t="s">
        <v>1293</v>
      </c>
      <c r="C803" s="591" t="s">
        <v>747</v>
      </c>
      <c r="D803" s="8" t="s">
        <v>449</v>
      </c>
      <c r="F803" s="49" t="s">
        <v>100</v>
      </c>
      <c r="G803" s="44">
        <v>3</v>
      </c>
      <c r="H803" s="44">
        <v>3000</v>
      </c>
      <c r="I803" s="44">
        <f>G803*H803</f>
        <v>9000</v>
      </c>
      <c r="J803" s="120"/>
      <c r="K803" s="44">
        <v>0</v>
      </c>
      <c r="L803" s="44">
        <f>K803*H803</f>
        <v>0</v>
      </c>
      <c r="M803" s="120"/>
      <c r="N803" s="44">
        <v>0</v>
      </c>
      <c r="O803" s="44">
        <f>N803*H803</f>
        <v>0</v>
      </c>
      <c r="P803" s="120"/>
      <c r="Q803" s="44">
        <v>0</v>
      </c>
      <c r="R803" s="44">
        <f>Q803*H803</f>
        <v>0</v>
      </c>
      <c r="S803" s="120"/>
      <c r="T803" s="44">
        <v>0</v>
      </c>
      <c r="U803" s="44">
        <f>T803*H803</f>
        <v>0</v>
      </c>
      <c r="V803" s="120"/>
      <c r="W803" s="44">
        <v>0</v>
      </c>
      <c r="X803" s="44">
        <f t="shared" si="498"/>
        <v>0</v>
      </c>
      <c r="Y803" s="44">
        <f t="shared" si="499"/>
        <v>9000</v>
      </c>
      <c r="Z803" s="44">
        <v>0</v>
      </c>
      <c r="AA803" s="44">
        <f>Y803+Z803</f>
        <v>9000</v>
      </c>
    </row>
    <row r="804" spans="1:27" ht="25.2">
      <c r="A804" s="591" t="s">
        <v>1359</v>
      </c>
      <c r="B804" s="591" t="s">
        <v>1322</v>
      </c>
      <c r="C804" s="591" t="s">
        <v>747</v>
      </c>
      <c r="D804" s="8" t="s">
        <v>450</v>
      </c>
      <c r="E804" s="120"/>
      <c r="F804" s="49" t="s">
        <v>151</v>
      </c>
      <c r="G804" s="44">
        <v>15</v>
      </c>
      <c r="H804" s="44">
        <v>120</v>
      </c>
      <c r="I804" s="44">
        <f>G804*H804</f>
        <v>1800</v>
      </c>
      <c r="J804" s="120"/>
      <c r="K804" s="44">
        <v>0</v>
      </c>
      <c r="L804" s="44">
        <f>K804*H804</f>
        <v>0</v>
      </c>
      <c r="M804" s="120"/>
      <c r="N804" s="44">
        <v>0</v>
      </c>
      <c r="O804" s="44">
        <f>N804*H804</f>
        <v>0</v>
      </c>
      <c r="P804" s="120"/>
      <c r="Q804" s="44">
        <v>0</v>
      </c>
      <c r="R804" s="44">
        <f>Q804*H804</f>
        <v>0</v>
      </c>
      <c r="S804" s="120"/>
      <c r="T804" s="44">
        <v>0</v>
      </c>
      <c r="U804" s="44">
        <f>T804*H804</f>
        <v>0</v>
      </c>
      <c r="V804" s="120"/>
      <c r="W804" s="44">
        <v>0</v>
      </c>
      <c r="X804" s="44">
        <f t="shared" si="498"/>
        <v>0</v>
      </c>
      <c r="Y804" s="44">
        <f t="shared" si="499"/>
        <v>1800</v>
      </c>
      <c r="Z804" s="44">
        <v>0</v>
      </c>
      <c r="AA804" s="44">
        <f>Y804+Z804</f>
        <v>1800</v>
      </c>
    </row>
    <row r="805" spans="1:27" ht="25.2">
      <c r="A805" s="591" t="s">
        <v>1360</v>
      </c>
      <c r="B805" s="591" t="s">
        <v>1322</v>
      </c>
      <c r="C805" s="591" t="s">
        <v>747</v>
      </c>
      <c r="D805" s="8" t="s">
        <v>451</v>
      </c>
      <c r="E805" s="120"/>
      <c r="F805" s="49" t="s">
        <v>100</v>
      </c>
      <c r="G805" s="44">
        <v>0</v>
      </c>
      <c r="H805" s="44">
        <v>6500</v>
      </c>
      <c r="I805" s="44">
        <f>G805*H805</f>
        <v>0</v>
      </c>
      <c r="J805" s="120"/>
      <c r="K805" s="44">
        <v>0</v>
      </c>
      <c r="L805" s="44">
        <f>K805*H805</f>
        <v>0</v>
      </c>
      <c r="M805" s="120"/>
      <c r="N805" s="44">
        <v>4</v>
      </c>
      <c r="O805" s="44">
        <f>N805*H805</f>
        <v>26000</v>
      </c>
      <c r="P805" s="120"/>
      <c r="Q805" s="44">
        <v>4</v>
      </c>
      <c r="R805" s="44">
        <f>Q805*H805</f>
        <v>26000</v>
      </c>
      <c r="S805" s="120"/>
      <c r="T805" s="44">
        <v>4</v>
      </c>
      <c r="U805" s="44">
        <f>T805*H805</f>
        <v>26000</v>
      </c>
      <c r="V805" s="120"/>
      <c r="W805" s="44">
        <v>0</v>
      </c>
      <c r="X805" s="44">
        <f t="shared" si="498"/>
        <v>0</v>
      </c>
      <c r="Y805" s="44">
        <f t="shared" si="499"/>
        <v>78000</v>
      </c>
      <c r="Z805" s="44">
        <v>0</v>
      </c>
      <c r="AA805" s="44">
        <f>Y805+Z805</f>
        <v>78000</v>
      </c>
    </row>
    <row r="806" spans="1:27">
      <c r="A806" s="607"/>
      <c r="B806" s="607"/>
      <c r="C806" s="607"/>
      <c r="D806" s="41" t="s">
        <v>452</v>
      </c>
      <c r="E806" s="127"/>
      <c r="F806" s="46"/>
      <c r="G806" s="47"/>
      <c r="H806" s="47"/>
      <c r="I806" s="48">
        <f>SUM(I801:I805)</f>
        <v>22800</v>
      </c>
      <c r="J806" s="127"/>
      <c r="K806" s="48"/>
      <c r="L806" s="48">
        <f>SUM(L801:L805)</f>
        <v>14400</v>
      </c>
      <c r="M806" s="127"/>
      <c r="N806" s="48"/>
      <c r="O806" s="48">
        <f>SUM(O801:O805)</f>
        <v>26000</v>
      </c>
      <c r="P806" s="127"/>
      <c r="Q806" s="48"/>
      <c r="R806" s="48">
        <f>SUM(R801:R805)</f>
        <v>26000</v>
      </c>
      <c r="S806" s="127"/>
      <c r="T806" s="48"/>
      <c r="U806" s="48">
        <f>SUM(U801:U805)</f>
        <v>26000</v>
      </c>
      <c r="V806" s="127"/>
      <c r="W806" s="48"/>
      <c r="X806" s="48">
        <f>SUM(X801:X805)</f>
        <v>0</v>
      </c>
      <c r="Y806" s="101">
        <f>SUM(Y801:Y805)</f>
        <v>115200</v>
      </c>
      <c r="Z806" s="48">
        <f>SUM(Z801:Z805)</f>
        <v>0</v>
      </c>
      <c r="AA806" s="48">
        <f>SUM(AA801:AA805)</f>
        <v>115200</v>
      </c>
    </row>
    <row r="807" spans="1:27">
      <c r="A807" s="608"/>
      <c r="B807" s="608"/>
      <c r="C807" s="608"/>
      <c r="D807" s="100"/>
      <c r="E807" s="128"/>
      <c r="F807" s="81"/>
      <c r="G807" s="63"/>
      <c r="H807" s="63"/>
      <c r="I807" s="63"/>
      <c r="J807" s="128"/>
      <c r="K807" s="63"/>
      <c r="L807" s="63"/>
      <c r="M807" s="128"/>
      <c r="N807" s="63"/>
      <c r="O807" s="63"/>
      <c r="P807" s="128"/>
      <c r="Q807" s="63"/>
      <c r="R807" s="63"/>
      <c r="S807" s="128"/>
      <c r="T807" s="63"/>
      <c r="U807" s="63"/>
      <c r="V807" s="128"/>
      <c r="W807" s="63"/>
      <c r="X807" s="63"/>
      <c r="Y807" s="63"/>
      <c r="Z807" s="63"/>
      <c r="AA807" s="63"/>
    </row>
    <row r="808" spans="1:27">
      <c r="A808" s="607"/>
      <c r="B808" s="607"/>
      <c r="C808" s="607"/>
      <c r="D808" s="41" t="s">
        <v>453</v>
      </c>
      <c r="E808" s="127"/>
      <c r="F808" s="46"/>
      <c r="G808" s="47"/>
      <c r="H808" s="47"/>
      <c r="I808" s="47"/>
      <c r="J808" s="127"/>
      <c r="K808" s="47"/>
      <c r="L808" s="47"/>
      <c r="M808" s="127"/>
      <c r="N808" s="47"/>
      <c r="O808" s="47"/>
      <c r="P808" s="127"/>
      <c r="Q808" s="47"/>
      <c r="R808" s="47"/>
      <c r="S808" s="127"/>
      <c r="T808" s="47"/>
      <c r="U808" s="47"/>
      <c r="V808" s="127"/>
      <c r="W808" s="47"/>
      <c r="X808" s="47"/>
      <c r="Y808" s="47"/>
      <c r="Z808" s="47"/>
      <c r="AA808" s="47"/>
    </row>
    <row r="809" spans="1:27">
      <c r="A809" s="591" t="s">
        <v>1350</v>
      </c>
      <c r="B809" s="591" t="s">
        <v>1265</v>
      </c>
      <c r="C809" s="591" t="s">
        <v>747</v>
      </c>
      <c r="D809" s="8" t="s">
        <v>160</v>
      </c>
      <c r="F809" s="8" t="s">
        <v>100</v>
      </c>
      <c r="G809" s="44">
        <v>3</v>
      </c>
      <c r="H809" s="44">
        <v>60</v>
      </c>
      <c r="I809" s="44">
        <f>G809*H809</f>
        <v>180</v>
      </c>
      <c r="J809" s="44"/>
      <c r="K809" s="44">
        <v>12</v>
      </c>
      <c r="L809" s="44">
        <f>H809*K809*$E$6</f>
        <v>756</v>
      </c>
      <c r="M809" s="123"/>
      <c r="N809" s="44">
        <v>12</v>
      </c>
      <c r="O809" s="44">
        <f>H809*N809*$E$6*$E$6</f>
        <v>793.80000000000007</v>
      </c>
      <c r="P809" s="123"/>
      <c r="Q809" s="44">
        <v>12</v>
      </c>
      <c r="R809" s="44">
        <f>H809*Q809*$E$6*$E$6*$E$6</f>
        <v>833.49000000000012</v>
      </c>
      <c r="S809" s="123"/>
      <c r="T809" s="44">
        <v>12</v>
      </c>
      <c r="U809" s="44">
        <f>H809*T809*$E$6*$E$6*$E$6*$E$6</f>
        <v>875.1645000000002</v>
      </c>
      <c r="V809" s="123"/>
      <c r="W809" s="44">
        <v>9</v>
      </c>
      <c r="X809" s="44">
        <f t="shared" ref="X809" si="500">W809*H809*$E$6*$E$6*$E$6*$E$6*$E$6</f>
        <v>689.19204375000015</v>
      </c>
      <c r="Y809" s="44">
        <f t="shared" ref="Y809" si="501">SUM(R809,O809,L809,I809,U809,X809)</f>
        <v>4127.6465437500001</v>
      </c>
      <c r="Z809" s="44" t="s">
        <v>149</v>
      </c>
      <c r="AA809" s="44">
        <f>SUM(Y809:Z809)</f>
        <v>4127.6465437500001</v>
      </c>
    </row>
    <row r="810" spans="1:27">
      <c r="A810" s="591" t="s">
        <v>1351</v>
      </c>
      <c r="B810" s="591" t="s">
        <v>1265</v>
      </c>
      <c r="C810" s="591" t="s">
        <v>747</v>
      </c>
      <c r="D810" s="8" t="s">
        <v>454</v>
      </c>
      <c r="F810" s="8" t="s">
        <v>148</v>
      </c>
      <c r="G810" s="44">
        <v>2</v>
      </c>
      <c r="H810" s="44">
        <v>35</v>
      </c>
      <c r="I810" s="44">
        <f>G810*H810</f>
        <v>70</v>
      </c>
      <c r="J810" s="123"/>
      <c r="K810" s="44">
        <v>2</v>
      </c>
      <c r="L810" s="44">
        <f t="shared" ref="L810:L811" si="502">H810*K810*$E$6</f>
        <v>73.5</v>
      </c>
      <c r="M810" s="123"/>
      <c r="N810" s="44">
        <v>2</v>
      </c>
      <c r="O810" s="44">
        <f t="shared" ref="O810:O811" si="503">H810*N810*$E$6*$E$6</f>
        <v>77.174999999999997</v>
      </c>
      <c r="P810" s="123"/>
      <c r="Q810" s="44">
        <v>2</v>
      </c>
      <c r="R810" s="44">
        <f t="shared" ref="R810:R811" si="504">H810*Q810*$E$6*$E$6*$E$6</f>
        <v>81.033749999999998</v>
      </c>
      <c r="S810" s="123"/>
      <c r="T810" s="44">
        <v>2</v>
      </c>
      <c r="U810" s="44">
        <f t="shared" ref="U810:U811" si="505">T810*H810*$E$6*$E$6*$E$6*$E$6</f>
        <v>85.085437499999998</v>
      </c>
      <c r="V810" s="123"/>
      <c r="W810" s="44">
        <v>2</v>
      </c>
      <c r="X810" s="44">
        <f>W810*H810*$E$6*$E$6*$E$6*$E$6*$E$6</f>
        <v>89.339709374999998</v>
      </c>
      <c r="Y810" s="44">
        <f>SUM(R810,O810,L810,I810,U810,X810)</f>
        <v>476.133896875</v>
      </c>
      <c r="Z810" s="44" t="s">
        <v>149</v>
      </c>
      <c r="AA810" s="44">
        <f>SUM(Y810:Z810)</f>
        <v>476.133896875</v>
      </c>
    </row>
    <row r="811" spans="1:27" ht="25.2">
      <c r="A811" s="591" t="s">
        <v>1351</v>
      </c>
      <c r="B811" s="45" t="s">
        <v>794</v>
      </c>
      <c r="C811" s="591" t="s">
        <v>747</v>
      </c>
      <c r="D811" s="8" t="s">
        <v>455</v>
      </c>
      <c r="F811" s="8" t="s">
        <v>151</v>
      </c>
      <c r="G811" s="44">
        <f>2*G810</f>
        <v>4</v>
      </c>
      <c r="H811" s="44">
        <f xml:space="preserve"> 75 +  + (0.5*80)</f>
        <v>115</v>
      </c>
      <c r="I811" s="44">
        <f>G811*H811</f>
        <v>460</v>
      </c>
      <c r="J811" s="123"/>
      <c r="K811" s="44">
        <f>2*K810</f>
        <v>4</v>
      </c>
      <c r="L811" s="44">
        <f t="shared" si="502"/>
        <v>483</v>
      </c>
      <c r="M811" s="123"/>
      <c r="N811" s="44">
        <f>2*N810</f>
        <v>4</v>
      </c>
      <c r="O811" s="44">
        <f t="shared" si="503"/>
        <v>507.15000000000003</v>
      </c>
      <c r="P811" s="123"/>
      <c r="Q811" s="44">
        <f>2*Q810</f>
        <v>4</v>
      </c>
      <c r="R811" s="44">
        <f t="shared" si="504"/>
        <v>532.50750000000005</v>
      </c>
      <c r="S811" s="123"/>
      <c r="T811" s="44">
        <f>2*T810</f>
        <v>4</v>
      </c>
      <c r="U811" s="44">
        <f t="shared" si="505"/>
        <v>559.13287500000013</v>
      </c>
      <c r="V811" s="123"/>
      <c r="W811" s="44">
        <f>2*W810</f>
        <v>4</v>
      </c>
      <c r="X811" s="44">
        <f>W811*H811*$E$6*$E$6*$E$6*$E$6*$E$6</f>
        <v>587.08951875000014</v>
      </c>
      <c r="Y811" s="44">
        <f>SUM(R811,O811,L811,I811,U811,X811)</f>
        <v>3128.8798937500001</v>
      </c>
      <c r="Z811" s="44" t="s">
        <v>149</v>
      </c>
      <c r="AA811" s="44">
        <f>SUM(Y811:Z811)</f>
        <v>3128.8798937500001</v>
      </c>
    </row>
    <row r="812" spans="1:27" ht="25.2">
      <c r="A812" s="591" t="s">
        <v>1352</v>
      </c>
      <c r="B812" s="591" t="s">
        <v>1265</v>
      </c>
      <c r="C812" s="591" t="s">
        <v>747</v>
      </c>
      <c r="D812" s="8" t="s">
        <v>456</v>
      </c>
      <c r="E812" s="120"/>
      <c r="F812" s="8" t="s">
        <v>148</v>
      </c>
      <c r="G812" s="44">
        <f>+G818</f>
        <v>0</v>
      </c>
      <c r="H812" s="44">
        <v>55</v>
      </c>
      <c r="I812" s="44">
        <f>G812*H812</f>
        <v>0</v>
      </c>
      <c r="J812" s="44"/>
      <c r="K812" s="44">
        <f>+K818</f>
        <v>0</v>
      </c>
      <c r="L812" s="44">
        <f>H812*K812*$E$6</f>
        <v>0</v>
      </c>
      <c r="M812" s="120"/>
      <c r="N812" s="44">
        <f>+N818</f>
        <v>2</v>
      </c>
      <c r="O812" s="44">
        <f>H812*N812*$E$6*$E$6</f>
        <v>121.27500000000001</v>
      </c>
      <c r="P812" s="123"/>
      <c r="Q812" s="44">
        <f>+Q818</f>
        <v>0</v>
      </c>
      <c r="R812" s="44">
        <f>H812*Q812*$E$6*$E$6*$E$6</f>
        <v>0</v>
      </c>
      <c r="S812" s="123"/>
      <c r="T812" s="44">
        <f>+T818</f>
        <v>0</v>
      </c>
      <c r="U812" s="44">
        <f>H812*T812*$E$6*$E$6*$E$6*$E$6</f>
        <v>0</v>
      </c>
      <c r="V812" s="123"/>
      <c r="W812" s="44">
        <f>+W818</f>
        <v>0</v>
      </c>
      <c r="X812" s="44">
        <f t="shared" ref="X812:X813" si="506">W812*H812*$E$6*$E$6*$E$6*$E$6*$E$6</f>
        <v>0</v>
      </c>
      <c r="Y812" s="44">
        <f t="shared" ref="Y812:Y813" si="507">SUM(R812,O812,L812,I812,U812,X812)</f>
        <v>121.27500000000001</v>
      </c>
      <c r="Z812" s="44" t="s">
        <v>149</v>
      </c>
      <c r="AA812" s="44">
        <f>SUM(Y812:Z812)</f>
        <v>121.27500000000001</v>
      </c>
    </row>
    <row r="813" spans="1:27" ht="25.2">
      <c r="A813" s="591" t="s">
        <v>1352</v>
      </c>
      <c r="B813" s="45" t="s">
        <v>794</v>
      </c>
      <c r="C813" s="591" t="s">
        <v>747</v>
      </c>
      <c r="D813" s="8" t="s">
        <v>457</v>
      </c>
      <c r="E813" s="120"/>
      <c r="F813" s="8" t="s">
        <v>151</v>
      </c>
      <c r="G813" s="44">
        <f>G812*2</f>
        <v>0</v>
      </c>
      <c r="H813" s="44">
        <f xml:space="preserve"> 70 + (0.5*80)</f>
        <v>110</v>
      </c>
      <c r="I813" s="44">
        <f>G813*H813</f>
        <v>0</v>
      </c>
      <c r="J813" s="44"/>
      <c r="K813" s="44">
        <f>K812*2</f>
        <v>0</v>
      </c>
      <c r="L813" s="44">
        <f>H813*K813*$E$6</f>
        <v>0</v>
      </c>
      <c r="M813" s="120"/>
      <c r="N813" s="44">
        <f>N812*2</f>
        <v>4</v>
      </c>
      <c r="O813" s="44">
        <f>H813*N813*$E$6*$E$6</f>
        <v>485.1</v>
      </c>
      <c r="P813" s="123"/>
      <c r="Q813" s="44">
        <f>Q812*2</f>
        <v>0</v>
      </c>
      <c r="R813" s="44">
        <f>H813*Q813*$E$6*$E$6*$E$6</f>
        <v>0</v>
      </c>
      <c r="S813" s="123"/>
      <c r="T813" s="44">
        <f>T812*2</f>
        <v>0</v>
      </c>
      <c r="U813" s="44">
        <f>H813*T813*$E$6*$E$6*$E$6*$E$6</f>
        <v>0</v>
      </c>
      <c r="V813" s="123"/>
      <c r="W813" s="44">
        <f>W812*2</f>
        <v>0</v>
      </c>
      <c r="X813" s="44">
        <f t="shared" si="506"/>
        <v>0</v>
      </c>
      <c r="Y813" s="44">
        <f t="shared" si="507"/>
        <v>485.1</v>
      </c>
      <c r="Z813" s="44" t="s">
        <v>149</v>
      </c>
      <c r="AA813" s="44">
        <f>SUM(Y813:Z813)</f>
        <v>485.1</v>
      </c>
    </row>
    <row r="814" spans="1:27">
      <c r="A814" s="607"/>
      <c r="B814" s="607"/>
      <c r="C814" s="607"/>
      <c r="D814" s="41" t="s">
        <v>458</v>
      </c>
      <c r="E814" s="127"/>
      <c r="F814" s="46"/>
      <c r="G814" s="47"/>
      <c r="H814" s="47"/>
      <c r="I814" s="48">
        <f>SUM(I809:I813)</f>
        <v>710</v>
      </c>
      <c r="J814" s="127"/>
      <c r="K814" s="47"/>
      <c r="L814" s="48">
        <f>SUM(L809:L813)</f>
        <v>1312.5</v>
      </c>
      <c r="M814" s="127"/>
      <c r="N814" s="47"/>
      <c r="O814" s="48">
        <f>SUM(O809:O813)</f>
        <v>1984.5</v>
      </c>
      <c r="P814" s="127"/>
      <c r="Q814" s="47"/>
      <c r="R814" s="48">
        <f>SUM(R809:R813)</f>
        <v>1447.03125</v>
      </c>
      <c r="S814" s="127"/>
      <c r="T814" s="47"/>
      <c r="U814" s="48">
        <f>SUM(U809:U813)</f>
        <v>1519.3828125000005</v>
      </c>
      <c r="V814" s="127"/>
      <c r="W814" s="47"/>
      <c r="X814" s="48">
        <f>SUM(X809:X813)</f>
        <v>1365.6212718750003</v>
      </c>
      <c r="Y814" s="576">
        <f>SUM(Y809:Y813)</f>
        <v>8339.0353343749994</v>
      </c>
      <c r="Z814" s="48">
        <f>SUM(Z809:Z813)</f>
        <v>0</v>
      </c>
      <c r="AA814" s="48">
        <f>SUM(AA809:AA813)</f>
        <v>8339.0353343749994</v>
      </c>
    </row>
    <row r="815" spans="1:27">
      <c r="A815" s="608"/>
      <c r="B815" s="608"/>
      <c r="C815" s="608"/>
      <c r="D815" s="100"/>
      <c r="E815" s="128"/>
      <c r="F815" s="81"/>
      <c r="G815" s="63"/>
      <c r="H815" s="63"/>
      <c r="I815" s="63"/>
      <c r="J815" s="128"/>
      <c r="K815" s="63"/>
      <c r="L815" s="63"/>
      <c r="M815" s="128"/>
      <c r="N815" s="63"/>
      <c r="O815" s="63"/>
      <c r="P815" s="128"/>
      <c r="Q815" s="63"/>
      <c r="R815" s="63"/>
      <c r="S815" s="128"/>
      <c r="T815" s="63"/>
      <c r="U815" s="63"/>
      <c r="V815" s="128"/>
      <c r="W815" s="63"/>
      <c r="X815" s="63"/>
      <c r="Y815" s="63"/>
      <c r="Z815" s="63"/>
      <c r="AA815" s="63"/>
    </row>
    <row r="816" spans="1:27">
      <c r="A816" s="607"/>
      <c r="B816" s="607"/>
      <c r="C816" s="607"/>
      <c r="D816" s="41" t="s">
        <v>459</v>
      </c>
      <c r="E816" s="127"/>
      <c r="F816" s="46"/>
      <c r="G816" s="47"/>
      <c r="H816" s="47"/>
      <c r="I816" s="47"/>
      <c r="J816" s="127"/>
      <c r="K816" s="47"/>
      <c r="L816" s="47"/>
      <c r="M816" s="127"/>
      <c r="N816" s="47"/>
      <c r="O816" s="47"/>
      <c r="P816" s="127"/>
      <c r="Q816" s="47"/>
      <c r="R816" s="47"/>
      <c r="S816" s="127"/>
      <c r="T816" s="47"/>
      <c r="U816" s="47"/>
      <c r="V816" s="127"/>
      <c r="W816" s="47"/>
      <c r="X816" s="47"/>
      <c r="Y816" s="47"/>
      <c r="Z816" s="47"/>
      <c r="AA816" s="47"/>
    </row>
    <row r="817" spans="1:49">
      <c r="A817" s="591" t="s">
        <v>1353</v>
      </c>
      <c r="B817" s="591" t="s">
        <v>819</v>
      </c>
      <c r="C817" s="591" t="s">
        <v>747</v>
      </c>
      <c r="D817" s="8" t="s">
        <v>460</v>
      </c>
      <c r="F817" s="8" t="s">
        <v>439</v>
      </c>
      <c r="G817" s="44">
        <v>0</v>
      </c>
      <c r="H817" s="44">
        <f>(28*5)+(28*8*1)+300</f>
        <v>664</v>
      </c>
      <c r="I817" s="44">
        <f>G817*H817</f>
        <v>0</v>
      </c>
      <c r="J817" s="123"/>
      <c r="K817" s="44">
        <v>2</v>
      </c>
      <c r="L817" s="44">
        <f>H817*K817</f>
        <v>1328</v>
      </c>
      <c r="M817" s="123"/>
      <c r="N817" s="44">
        <v>2</v>
      </c>
      <c r="O817" s="44">
        <f>H817*N817</f>
        <v>1328</v>
      </c>
      <c r="P817" s="123"/>
      <c r="Q817" s="44">
        <v>0</v>
      </c>
      <c r="R817" s="44">
        <f>H817*Q817</f>
        <v>0</v>
      </c>
      <c r="S817" s="123"/>
      <c r="T817" s="44">
        <v>0</v>
      </c>
      <c r="U817" s="44">
        <f>H817*T817</f>
        <v>0</v>
      </c>
      <c r="V817" s="123"/>
      <c r="W817" s="44">
        <v>0</v>
      </c>
      <c r="X817" s="44">
        <f t="shared" ref="X817" si="508">W817*H817</f>
        <v>0</v>
      </c>
      <c r="Y817" s="44">
        <f t="shared" ref="Y817" si="509">SUM(R817,O817,L817,I817,U817,X817)</f>
        <v>2656</v>
      </c>
      <c r="Z817" s="44" t="s">
        <v>149</v>
      </c>
      <c r="AA817" s="44">
        <f t="shared" ref="AA817" si="510">SUM(Y817:Z817)</f>
        <v>2656</v>
      </c>
    </row>
    <row r="818" spans="1:49">
      <c r="A818" s="591" t="s">
        <v>1355</v>
      </c>
      <c r="B818" s="591" t="s">
        <v>1346</v>
      </c>
      <c r="C818" s="591" t="s">
        <v>747</v>
      </c>
      <c r="D818" s="8" t="s">
        <v>461</v>
      </c>
      <c r="F818" s="8" t="s">
        <v>437</v>
      </c>
      <c r="G818" s="44">
        <v>0</v>
      </c>
      <c r="H818" s="44">
        <f>(11*5)+(11*8*1)+100</f>
        <v>243</v>
      </c>
      <c r="I818" s="44">
        <f>G818*H818</f>
        <v>0</v>
      </c>
      <c r="J818" s="123"/>
      <c r="K818" s="44">
        <v>0</v>
      </c>
      <c r="L818" s="44">
        <f>H818*K818</f>
        <v>0</v>
      </c>
      <c r="M818" s="123"/>
      <c r="N818" s="44">
        <v>2</v>
      </c>
      <c r="O818" s="44">
        <f>H818*N818</f>
        <v>486</v>
      </c>
      <c r="P818" s="123"/>
      <c r="Q818" s="44">
        <v>0</v>
      </c>
      <c r="R818" s="44">
        <f>H818*Q818</f>
        <v>0</v>
      </c>
      <c r="S818" s="123"/>
      <c r="T818" s="44">
        <v>0</v>
      </c>
      <c r="U818" s="44">
        <f>H818*T818</f>
        <v>0</v>
      </c>
      <c r="V818" s="123"/>
      <c r="W818" s="44">
        <v>0</v>
      </c>
      <c r="X818" s="44">
        <f t="shared" ref="X818:X819" si="511">W818*H818</f>
        <v>0</v>
      </c>
      <c r="Y818" s="44">
        <f t="shared" ref="Y818:Y819" si="512">SUM(R818,O818,L818,I818,U818,X818)</f>
        <v>486</v>
      </c>
      <c r="Z818" s="44" t="s">
        <v>149</v>
      </c>
      <c r="AA818" s="44">
        <f t="shared" ref="AA818" si="513">SUM(Y818:Z818)</f>
        <v>486</v>
      </c>
    </row>
    <row r="819" spans="1:49" s="243" customFormat="1">
      <c r="A819" s="591" t="s">
        <v>1354</v>
      </c>
      <c r="B819" s="591" t="s">
        <v>1346</v>
      </c>
      <c r="C819" s="591" t="s">
        <v>747</v>
      </c>
      <c r="D819" s="8" t="s">
        <v>462</v>
      </c>
      <c r="E819" s="123"/>
      <c r="F819" s="8" t="s">
        <v>437</v>
      </c>
      <c r="G819" s="44">
        <v>0</v>
      </c>
      <c r="H819" s="44">
        <v>75</v>
      </c>
      <c r="I819" s="44">
        <f t="shared" ref="I819" si="514">G819*H819</f>
        <v>0</v>
      </c>
      <c r="J819" s="123"/>
      <c r="K819" s="44">
        <v>12</v>
      </c>
      <c r="L819" s="44">
        <f>K819*H819</f>
        <v>900</v>
      </c>
      <c r="M819" s="123"/>
      <c r="N819" s="44">
        <v>12</v>
      </c>
      <c r="O819" s="44">
        <f>N819*H819</f>
        <v>900</v>
      </c>
      <c r="P819" s="123"/>
      <c r="Q819" s="44">
        <v>12</v>
      </c>
      <c r="R819" s="44">
        <f>Q819*H819</f>
        <v>900</v>
      </c>
      <c r="S819" s="123"/>
      <c r="T819" s="44">
        <v>12</v>
      </c>
      <c r="U819" s="44">
        <f>T819*H819</f>
        <v>900</v>
      </c>
      <c r="V819" s="123"/>
      <c r="W819" s="44">
        <v>12</v>
      </c>
      <c r="X819" s="44">
        <f t="shared" si="511"/>
        <v>900</v>
      </c>
      <c r="Y819" s="44">
        <f t="shared" si="512"/>
        <v>4500</v>
      </c>
      <c r="Z819" s="44">
        <v>0</v>
      </c>
      <c r="AA819" s="44">
        <f>Y819+Z819</f>
        <v>4500</v>
      </c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</row>
    <row r="820" spans="1:49">
      <c r="A820" s="607"/>
      <c r="B820" s="607"/>
      <c r="C820" s="607"/>
      <c r="D820" s="41" t="s">
        <v>463</v>
      </c>
      <c r="E820" s="127"/>
      <c r="F820" s="46"/>
      <c r="G820" s="47"/>
      <c r="H820" s="47"/>
      <c r="I820" s="48">
        <f>SUM(I817:I819)</f>
        <v>0</v>
      </c>
      <c r="J820" s="127"/>
      <c r="K820" s="48"/>
      <c r="L820" s="48">
        <f>SUM(L817:L819)</f>
        <v>2228</v>
      </c>
      <c r="M820" s="127"/>
      <c r="N820" s="48"/>
      <c r="O820" s="48">
        <f>SUM(O817:O819)</f>
        <v>2714</v>
      </c>
      <c r="P820" s="127"/>
      <c r="Q820" s="48"/>
      <c r="R820" s="48">
        <f>SUM(R817:R819)</f>
        <v>900</v>
      </c>
      <c r="S820" s="127"/>
      <c r="T820" s="48"/>
      <c r="U820" s="48">
        <f>SUM(U817:U819)</f>
        <v>900</v>
      </c>
      <c r="V820" s="127"/>
      <c r="W820" s="48"/>
      <c r="X820" s="48">
        <f>SUM(X817:X819)</f>
        <v>900</v>
      </c>
      <c r="Y820" s="101">
        <f>SUM(Y817:Y819)</f>
        <v>7642</v>
      </c>
      <c r="Z820" s="48">
        <f>SUM(Z817:Z819)</f>
        <v>0</v>
      </c>
      <c r="AA820" s="48">
        <f>SUM(AA817:AA819)</f>
        <v>7642</v>
      </c>
    </row>
    <row r="821" spans="1:49">
      <c r="A821" s="608"/>
      <c r="B821" s="608"/>
      <c r="C821" s="608"/>
      <c r="D821" s="100"/>
      <c r="E821" s="128"/>
      <c r="F821" s="81"/>
      <c r="G821" s="63"/>
      <c r="H821" s="63"/>
      <c r="I821" s="63"/>
      <c r="J821" s="128"/>
      <c r="K821" s="63"/>
      <c r="L821" s="63"/>
      <c r="M821" s="128"/>
      <c r="N821" s="63"/>
      <c r="O821" s="63"/>
      <c r="P821" s="128"/>
      <c r="Q821" s="63"/>
      <c r="R821" s="63"/>
      <c r="S821" s="128"/>
      <c r="T821" s="63"/>
      <c r="U821" s="63"/>
      <c r="V821" s="128"/>
      <c r="W821" s="63"/>
      <c r="X821" s="63"/>
      <c r="Y821" s="63"/>
      <c r="Z821" s="63"/>
      <c r="AA821" s="63"/>
    </row>
    <row r="822" spans="1:49">
      <c r="A822" s="607"/>
      <c r="B822" s="607"/>
      <c r="C822" s="607"/>
      <c r="D822" s="41" t="s">
        <v>464</v>
      </c>
      <c r="E822" s="127"/>
      <c r="F822" s="46"/>
      <c r="G822" s="47"/>
      <c r="H822" s="47"/>
      <c r="I822" s="47"/>
      <c r="J822" s="127"/>
      <c r="K822" s="47"/>
      <c r="L822" s="47"/>
      <c r="M822" s="127"/>
      <c r="N822" s="47"/>
      <c r="O822" s="47"/>
      <c r="P822" s="127"/>
      <c r="Q822" s="47"/>
      <c r="R822" s="47"/>
      <c r="S822" s="127"/>
      <c r="T822" s="47"/>
      <c r="U822" s="47"/>
      <c r="V822" s="127"/>
      <c r="W822" s="47"/>
      <c r="X822" s="47"/>
      <c r="Y822" s="47"/>
      <c r="Z822" s="47"/>
      <c r="AA822" s="47"/>
    </row>
    <row r="823" spans="1:49">
      <c r="A823" s="591" t="s">
        <v>1271</v>
      </c>
      <c r="B823" s="591" t="s">
        <v>1268</v>
      </c>
      <c r="C823" s="591" t="s">
        <v>747</v>
      </c>
      <c r="D823" s="8" t="s">
        <v>465</v>
      </c>
      <c r="F823" s="8" t="s">
        <v>439</v>
      </c>
      <c r="G823" s="44">
        <f>G817</f>
        <v>0</v>
      </c>
      <c r="H823" s="44">
        <v>1500</v>
      </c>
      <c r="I823" s="44">
        <f>G823*H823</f>
        <v>0</v>
      </c>
      <c r="J823" s="123"/>
      <c r="K823" s="44">
        <f>K817</f>
        <v>2</v>
      </c>
      <c r="L823" s="44">
        <v>0</v>
      </c>
      <c r="M823" s="123"/>
      <c r="N823" s="44">
        <f>N817</f>
        <v>2</v>
      </c>
      <c r="O823" s="44">
        <v>0</v>
      </c>
      <c r="P823" s="123"/>
      <c r="Q823" s="44">
        <f>Q817</f>
        <v>0</v>
      </c>
      <c r="R823" s="44">
        <v>0</v>
      </c>
      <c r="S823" s="123"/>
      <c r="T823" s="44">
        <f>T817</f>
        <v>0</v>
      </c>
      <c r="U823" s="44">
        <v>0</v>
      </c>
      <c r="V823" s="123"/>
      <c r="W823" s="44">
        <f>W817</f>
        <v>0</v>
      </c>
      <c r="X823" s="44">
        <v>0</v>
      </c>
      <c r="Y823" s="44">
        <v>0</v>
      </c>
      <c r="Z823" s="44">
        <f>(G823*H823)+(K823*H823)+(N823*H823)+(H823*Q823)+(T823*H823)+(W823*H823)</f>
        <v>6000</v>
      </c>
      <c r="AA823" s="44">
        <f t="shared" ref="AA823" si="515">SUM(Y823:Z823)</f>
        <v>6000</v>
      </c>
    </row>
    <row r="824" spans="1:49">
      <c r="A824" s="591" t="s">
        <v>1271</v>
      </c>
      <c r="B824" s="591" t="s">
        <v>1268</v>
      </c>
      <c r="C824" s="591" t="s">
        <v>747</v>
      </c>
      <c r="D824" s="8" t="s">
        <v>466</v>
      </c>
      <c r="F824" s="8" t="s">
        <v>437</v>
      </c>
      <c r="G824" s="44">
        <f>G819</f>
        <v>0</v>
      </c>
      <c r="H824" s="44">
        <v>250</v>
      </c>
      <c r="I824" s="44">
        <f>G824*H824</f>
        <v>0</v>
      </c>
      <c r="J824" s="123"/>
      <c r="K824" s="44">
        <f>K819</f>
        <v>12</v>
      </c>
      <c r="L824" s="44">
        <v>0</v>
      </c>
      <c r="M824" s="123"/>
      <c r="N824" s="44">
        <f>N819</f>
        <v>12</v>
      </c>
      <c r="O824" s="44">
        <v>0</v>
      </c>
      <c r="P824" s="123"/>
      <c r="Q824" s="44">
        <f>Q819</f>
        <v>12</v>
      </c>
      <c r="R824" s="44">
        <v>0</v>
      </c>
      <c r="S824" s="123"/>
      <c r="T824" s="44">
        <f>T819</f>
        <v>12</v>
      </c>
      <c r="U824" s="44">
        <v>0</v>
      </c>
      <c r="V824" s="123"/>
      <c r="W824" s="44">
        <f>W819</f>
        <v>12</v>
      </c>
      <c r="X824" s="44">
        <v>0</v>
      </c>
      <c r="Y824" s="44">
        <v>0</v>
      </c>
      <c r="Z824" s="44">
        <f>(G824*H824)+(K824*H824)+(N824*H824)+(H824*Q824)+(T824*H824)+(W824*H824)</f>
        <v>15000</v>
      </c>
      <c r="AA824" s="44">
        <f t="shared" ref="AA824" si="516">SUM(Y824:Z824)</f>
        <v>15000</v>
      </c>
    </row>
    <row r="825" spans="1:49">
      <c r="A825" s="607"/>
      <c r="B825" s="607"/>
      <c r="C825" s="607"/>
      <c r="D825" s="41" t="s">
        <v>467</v>
      </c>
      <c r="E825" s="127"/>
      <c r="F825" s="46"/>
      <c r="G825" s="47"/>
      <c r="H825" s="47"/>
      <c r="I825" s="48">
        <f>SUM(I823:I824)</f>
        <v>0</v>
      </c>
      <c r="J825" s="127"/>
      <c r="K825" s="47"/>
      <c r="L825" s="48">
        <f>SUM(L823:L824)</f>
        <v>0</v>
      </c>
      <c r="M825" s="127"/>
      <c r="N825" s="47"/>
      <c r="O825" s="48">
        <f>SUM(O823:O824)</f>
        <v>0</v>
      </c>
      <c r="P825" s="127"/>
      <c r="Q825" s="47"/>
      <c r="R825" s="48">
        <f>SUM(R823:R824)</f>
        <v>0</v>
      </c>
      <c r="S825" s="127"/>
      <c r="T825" s="47"/>
      <c r="U825" s="48">
        <f>SUM(U823:U824)</f>
        <v>0</v>
      </c>
      <c r="V825" s="127"/>
      <c r="W825" s="47"/>
      <c r="X825" s="48">
        <f>SUM(X823:X824)</f>
        <v>0</v>
      </c>
      <c r="Y825" s="48">
        <f>SUM(Y823:Y824)</f>
        <v>0</v>
      </c>
      <c r="Z825" s="48">
        <f>SUM(Z823:Z824)</f>
        <v>21000</v>
      </c>
      <c r="AA825" s="48">
        <f>SUM(AA823:AA824)</f>
        <v>21000</v>
      </c>
    </row>
    <row r="826" spans="1:49">
      <c r="A826" s="608"/>
      <c r="B826" s="608"/>
      <c r="C826" s="608"/>
      <c r="D826" s="100"/>
      <c r="E826" s="128"/>
      <c r="F826" s="81"/>
      <c r="G826" s="63"/>
      <c r="H826" s="63"/>
      <c r="I826" s="63"/>
      <c r="J826" s="128"/>
      <c r="K826" s="63"/>
      <c r="L826" s="63"/>
      <c r="M826" s="128"/>
      <c r="N826" s="63"/>
      <c r="O826" s="63"/>
      <c r="P826" s="128"/>
      <c r="Q826" s="63"/>
      <c r="R826" s="63"/>
      <c r="S826" s="128"/>
      <c r="T826" s="63"/>
      <c r="U826" s="63"/>
      <c r="V826" s="128"/>
      <c r="W826" s="63"/>
      <c r="X826" s="63"/>
      <c r="Y826" s="63"/>
      <c r="Z826" s="63"/>
      <c r="AA826" s="63"/>
    </row>
    <row r="827" spans="1:49" ht="12.9" thickBot="1">
      <c r="A827" s="596"/>
      <c r="B827" s="596"/>
      <c r="C827" s="596"/>
      <c r="D827" s="54" t="s">
        <v>468</v>
      </c>
      <c r="E827" s="121"/>
      <c r="F827" s="54"/>
      <c r="G827" s="69"/>
      <c r="H827" s="69"/>
      <c r="I827" s="65">
        <f>+I806+I814+I798+I794+I820+I825</f>
        <v>58721.75</v>
      </c>
      <c r="J827" s="121"/>
      <c r="K827" s="65"/>
      <c r="L827" s="65">
        <f>+L806+L814+L798+L794+L820+L825</f>
        <v>72737.396000000008</v>
      </c>
      <c r="M827" s="121"/>
      <c r="N827" s="65"/>
      <c r="O827" s="65">
        <f>+O806+O814+O798+O794+O820+O825</f>
        <v>93384.125274999999</v>
      </c>
      <c r="P827" s="121"/>
      <c r="Q827" s="65"/>
      <c r="R827" s="65">
        <f>+R806+R814+R798+R794+R820+R825</f>
        <v>98028.601144999993</v>
      </c>
      <c r="S827" s="121"/>
      <c r="T827" s="65"/>
      <c r="U827" s="65">
        <f>+U806+U814+U798+U794+U820+U825</f>
        <v>100774.08189743751</v>
      </c>
      <c r="V827" s="121"/>
      <c r="W827" s="65"/>
      <c r="X827" s="65">
        <f>+X806+X814+X798+X794+X820+X825</f>
        <v>39289.962310481264</v>
      </c>
      <c r="Y827" s="65">
        <f>+Y806+Y814+Y798+Y794+Y820+Y825</f>
        <v>462935.91662791872</v>
      </c>
      <c r="Z827" s="65">
        <f>+Z806+Z814+Z798+Z794+Z820+Z825</f>
        <v>21000</v>
      </c>
      <c r="AA827" s="65">
        <f>+AA806+AA814+AA798+AA794+AA820+AA825</f>
        <v>483935.91662791872</v>
      </c>
      <c r="AB827" s="536"/>
    </row>
    <row r="828" spans="1:49">
      <c r="A828" s="597"/>
      <c r="B828" s="597"/>
      <c r="C828" s="597"/>
      <c r="D828" s="81"/>
      <c r="E828" s="118"/>
      <c r="F828" s="81"/>
      <c r="G828" s="63"/>
      <c r="H828" s="63"/>
      <c r="I828" s="63"/>
      <c r="J828" s="118"/>
      <c r="K828" s="63"/>
      <c r="L828" s="63"/>
      <c r="M828" s="118"/>
      <c r="N828" s="63"/>
      <c r="O828" s="63"/>
      <c r="P828" s="118"/>
      <c r="Q828" s="63"/>
      <c r="R828" s="63"/>
      <c r="S828" s="118"/>
      <c r="T828" s="63"/>
      <c r="U828" s="63"/>
      <c r="V828" s="118"/>
      <c r="W828" s="63"/>
      <c r="X828" s="63"/>
      <c r="Y828" s="63"/>
      <c r="Z828" s="63"/>
      <c r="AA828" s="63"/>
    </row>
    <row r="829" spans="1:49">
      <c r="A829" s="605"/>
      <c r="B829" s="605"/>
      <c r="C829" s="605"/>
      <c r="D829" s="94" t="str">
        <f>'USDA Budget Summary'!A37</f>
        <v xml:space="preserve">Activity 11: Expand Use of US Commodities in Honduras School Feeding Program </v>
      </c>
      <c r="E829" s="125"/>
      <c r="F829" s="38"/>
      <c r="G829" s="38"/>
      <c r="H829" s="39"/>
      <c r="I829" s="95"/>
      <c r="J829" s="125"/>
      <c r="K829" s="95"/>
      <c r="L829" s="95"/>
      <c r="M829" s="125"/>
      <c r="N829" s="95"/>
      <c r="O829" s="95"/>
      <c r="P829" s="125"/>
      <c r="Q829" s="95"/>
      <c r="R829" s="95"/>
      <c r="S829" s="125"/>
      <c r="T829" s="95"/>
      <c r="U829" s="95"/>
      <c r="V829" s="125"/>
      <c r="W829" s="95"/>
      <c r="X829" s="95"/>
      <c r="Y829" s="95"/>
      <c r="Z829" s="96"/>
      <c r="AA829" s="95"/>
    </row>
    <row r="830" spans="1:49">
      <c r="A830" s="606"/>
      <c r="B830" s="606"/>
      <c r="C830" s="606"/>
      <c r="D830" s="97" t="s">
        <v>227</v>
      </c>
      <c r="E830" s="126"/>
      <c r="F830" s="98"/>
      <c r="G830" s="99"/>
      <c r="H830" s="99"/>
      <c r="I830" s="99"/>
      <c r="J830" s="126"/>
      <c r="K830" s="99"/>
      <c r="L830" s="99"/>
      <c r="M830" s="126"/>
      <c r="N830" s="99"/>
      <c r="O830" s="99"/>
      <c r="P830" s="126"/>
      <c r="Q830" s="99"/>
      <c r="R830" s="99"/>
      <c r="S830" s="126"/>
      <c r="T830" s="99"/>
      <c r="U830" s="99"/>
      <c r="V830" s="126"/>
      <c r="W830" s="99"/>
      <c r="X830" s="99"/>
      <c r="Y830" s="99"/>
      <c r="Z830" s="99"/>
      <c r="AA830" s="99"/>
    </row>
    <row r="831" spans="1:49">
      <c r="A831" s="607"/>
      <c r="B831" s="607"/>
      <c r="C831" s="607"/>
      <c r="D831" s="41" t="s">
        <v>469</v>
      </c>
      <c r="E831" s="127"/>
      <c r="F831" s="46"/>
      <c r="G831" s="47"/>
      <c r="H831" s="47"/>
      <c r="I831" s="47"/>
      <c r="J831" s="127"/>
      <c r="K831" s="47"/>
      <c r="L831" s="47"/>
      <c r="M831" s="127"/>
      <c r="N831" s="47"/>
      <c r="O831" s="47"/>
      <c r="P831" s="127"/>
      <c r="Q831" s="47"/>
      <c r="R831" s="47"/>
      <c r="S831" s="127"/>
      <c r="T831" s="47"/>
      <c r="U831" s="47"/>
      <c r="V831" s="127"/>
      <c r="W831" s="47"/>
      <c r="X831" s="47"/>
      <c r="Y831" s="47"/>
      <c r="Z831" s="47"/>
      <c r="AA831" s="47"/>
    </row>
    <row r="832" spans="1:49" hidden="1">
      <c r="A832" s="595" t="s">
        <v>1182</v>
      </c>
      <c r="B832" s="595">
        <v>70000</v>
      </c>
      <c r="C832" s="595" t="s">
        <v>747</v>
      </c>
      <c r="D832" s="8" t="str">
        <f t="shared" ref="D832:D865" si="517">D12</f>
        <v xml:space="preserve">Key Personnel: Chief of Party - Roger Sanchez O’Neill </v>
      </c>
      <c r="E832" s="115">
        <f>'LOE Breakdown by Year'!O11</f>
        <v>0</v>
      </c>
      <c r="F832" s="50" t="s">
        <v>100</v>
      </c>
      <c r="G832" s="44">
        <f t="shared" ref="G832:H851" si="518">G12</f>
        <v>11</v>
      </c>
      <c r="H832" s="44">
        <f t="shared" si="518"/>
        <v>9583.3333333333339</v>
      </c>
      <c r="I832" s="44">
        <f>G832*H832*E832</f>
        <v>0</v>
      </c>
      <c r="J832" s="115">
        <f>'LOE Breakdown by Year'!O57</f>
        <v>0</v>
      </c>
      <c r="K832" s="44">
        <f t="shared" ref="K832:K865" si="519">K12</f>
        <v>12</v>
      </c>
      <c r="L832" s="44">
        <f>K832*H832*$E$7*$J832</f>
        <v>0</v>
      </c>
      <c r="M832" s="115">
        <f>'LOE Breakdown by Year'!O103</f>
        <v>0</v>
      </c>
      <c r="N832" s="44">
        <f t="shared" ref="N832:N865" si="520">N12</f>
        <v>12</v>
      </c>
      <c r="O832" s="44">
        <f>N832*H832*$M832*$E$7*$E$7</f>
        <v>0</v>
      </c>
      <c r="P832" s="115">
        <f>'LOE Breakdown by Year'!O149</f>
        <v>0</v>
      </c>
      <c r="Q832" s="44">
        <f t="shared" ref="Q832:Q865" si="521">Q12</f>
        <v>12</v>
      </c>
      <c r="R832" s="44">
        <f>Q832*H832*$P832*$E$7*$E$7*$E$7</f>
        <v>0</v>
      </c>
      <c r="S832" s="115">
        <f>'LOE Breakdown by Year'!O195</f>
        <v>0</v>
      </c>
      <c r="T832" s="44">
        <f t="shared" ref="T832:T865" si="522">T12</f>
        <v>12</v>
      </c>
      <c r="U832" s="44">
        <f>T832*H832*$S832*$E$7*$E$7*$E$7*$E$7</f>
        <v>0</v>
      </c>
      <c r="V832" s="115">
        <f>'LOE Breakdown by Year'!O241</f>
        <v>0</v>
      </c>
      <c r="W832" s="44">
        <f t="shared" ref="W832:W865" si="523">W12</f>
        <v>12</v>
      </c>
      <c r="X832" s="44">
        <f>W832*H832*$V832*$E$7*$E$7*$E$7*$E$7*$E$7</f>
        <v>0</v>
      </c>
      <c r="Y832" s="44">
        <f>SUM(R832,O832,L832,I832,U832,X832)</f>
        <v>0</v>
      </c>
      <c r="Z832" s="44">
        <v>0</v>
      </c>
      <c r="AA832" s="44">
        <f t="shared" ref="AA832" si="524">SUM(Y832:Z832)</f>
        <v>0</v>
      </c>
    </row>
    <row r="833" spans="1:27" hidden="1">
      <c r="A833" s="595" t="s">
        <v>1183</v>
      </c>
      <c r="B833" s="595">
        <v>70000</v>
      </c>
      <c r="C833" s="595" t="s">
        <v>747</v>
      </c>
      <c r="D833" s="8" t="str">
        <f t="shared" si="517"/>
        <v>Key Personnel: Deputy Chief of Party - David Medina Mayo</v>
      </c>
      <c r="E833" s="115">
        <f>'LOE Breakdown by Year'!O12</f>
        <v>0</v>
      </c>
      <c r="F833" s="50" t="s">
        <v>100</v>
      </c>
      <c r="G833" s="44">
        <f t="shared" si="518"/>
        <v>11</v>
      </c>
      <c r="H833" s="44">
        <f t="shared" si="518"/>
        <v>6500</v>
      </c>
      <c r="I833" s="44">
        <f t="shared" ref="I833:I865" si="525">G833*H833*E833</f>
        <v>0</v>
      </c>
      <c r="J833" s="115">
        <f>'LOE Breakdown by Year'!O58</f>
        <v>0</v>
      </c>
      <c r="K833" s="44">
        <f t="shared" si="519"/>
        <v>12</v>
      </c>
      <c r="L833" s="44">
        <f t="shared" ref="L833:L865" si="526">K833*H833*$E$7*$J833</f>
        <v>0</v>
      </c>
      <c r="M833" s="115">
        <f>'LOE Breakdown by Year'!O104</f>
        <v>0</v>
      </c>
      <c r="N833" s="44">
        <f t="shared" si="520"/>
        <v>12</v>
      </c>
      <c r="O833" s="44">
        <f t="shared" ref="O833:O865" si="527">N833*H833*$M833*$E$7*$E$7</f>
        <v>0</v>
      </c>
      <c r="P833" s="115">
        <f>'LOE Breakdown by Year'!O150</f>
        <v>0</v>
      </c>
      <c r="Q833" s="44">
        <f t="shared" si="521"/>
        <v>12</v>
      </c>
      <c r="R833" s="44">
        <f t="shared" ref="R833:R865" si="528">Q833*H833*$P833*$E$7*$E$7*$E$7</f>
        <v>0</v>
      </c>
      <c r="S833" s="115">
        <f>'LOE Breakdown by Year'!O196</f>
        <v>0</v>
      </c>
      <c r="T833" s="44">
        <f t="shared" si="522"/>
        <v>12</v>
      </c>
      <c r="U833" s="44">
        <f t="shared" ref="U833:U865" si="529">T833*H833*$S833*$E$7*$E$7*$E$7*$E$7</f>
        <v>0</v>
      </c>
      <c r="V833" s="115">
        <f>'LOE Breakdown by Year'!O242</f>
        <v>0</v>
      </c>
      <c r="W833" s="44">
        <f t="shared" si="523"/>
        <v>12</v>
      </c>
      <c r="X833" s="44">
        <f t="shared" ref="X833:X865" si="530">W833*H833*$V833*$E$7*$E$7*$E$7*$E$7*$E$7</f>
        <v>0</v>
      </c>
      <c r="Y833" s="44">
        <f t="shared" ref="Y833:Y865" si="531">SUM(R833,O833,L833,I833,U833,X833)</f>
        <v>0</v>
      </c>
      <c r="Z833" s="44">
        <v>0</v>
      </c>
      <c r="AA833" s="44">
        <f t="shared" ref="AA833:AA865" si="532">SUM(Y833:Z833)</f>
        <v>0</v>
      </c>
    </row>
    <row r="834" spans="1:27">
      <c r="A834" s="595" t="s">
        <v>1184</v>
      </c>
      <c r="B834" s="595">
        <v>70000</v>
      </c>
      <c r="C834" s="595" t="s">
        <v>747</v>
      </c>
      <c r="D834" s="8" t="str">
        <f t="shared" si="517"/>
        <v>Policy &amp; Sustainability Specialist</v>
      </c>
      <c r="E834" s="115">
        <f>'LOE Breakdown by Year'!O13</f>
        <v>0.1</v>
      </c>
      <c r="F834" s="50" t="s">
        <v>100</v>
      </c>
      <c r="G834" s="44">
        <f t="shared" si="518"/>
        <v>0</v>
      </c>
      <c r="H834" s="44">
        <f t="shared" si="518"/>
        <v>1500</v>
      </c>
      <c r="I834" s="44">
        <f t="shared" si="525"/>
        <v>0</v>
      </c>
      <c r="J834" s="115">
        <f>'LOE Breakdown by Year'!O59</f>
        <v>0.1</v>
      </c>
      <c r="K834" s="44">
        <f t="shared" si="519"/>
        <v>0</v>
      </c>
      <c r="L834" s="44">
        <f t="shared" si="526"/>
        <v>0</v>
      </c>
      <c r="M834" s="115">
        <f>'LOE Breakdown by Year'!O105</f>
        <v>0.1</v>
      </c>
      <c r="N834" s="44">
        <f t="shared" si="520"/>
        <v>7</v>
      </c>
      <c r="O834" s="44">
        <f t="shared" si="527"/>
        <v>1157.625</v>
      </c>
      <c r="P834" s="115">
        <f>'LOE Breakdown by Year'!O151</f>
        <v>0.1</v>
      </c>
      <c r="Q834" s="44">
        <f t="shared" si="521"/>
        <v>12</v>
      </c>
      <c r="R834" s="44">
        <f t="shared" si="528"/>
        <v>2083.7249999999999</v>
      </c>
      <c r="S834" s="115">
        <f>'LOE Breakdown by Year'!O197</f>
        <v>0.1</v>
      </c>
      <c r="T834" s="44">
        <f t="shared" si="522"/>
        <v>12</v>
      </c>
      <c r="U834" s="44">
        <f t="shared" si="529"/>
        <v>2187.9112500000001</v>
      </c>
      <c r="V834" s="115">
        <f>'LOE Breakdown by Year'!O243</f>
        <v>0.1</v>
      </c>
      <c r="W834" s="44">
        <f t="shared" si="523"/>
        <v>6</v>
      </c>
      <c r="X834" s="44">
        <f t="shared" si="530"/>
        <v>1148.6534062500002</v>
      </c>
      <c r="Y834" s="44">
        <f t="shared" si="531"/>
        <v>6577.91465625</v>
      </c>
      <c r="Z834" s="44">
        <v>0</v>
      </c>
      <c r="AA834" s="44">
        <f t="shared" si="532"/>
        <v>6577.91465625</v>
      </c>
    </row>
    <row r="835" spans="1:27" hidden="1">
      <c r="A835" s="595" t="s">
        <v>1185</v>
      </c>
      <c r="B835" s="595">
        <v>70000</v>
      </c>
      <c r="C835" s="595" t="s">
        <v>747</v>
      </c>
      <c r="D835" s="8" t="str">
        <f t="shared" si="517"/>
        <v xml:space="preserve">Education Director </v>
      </c>
      <c r="E835" s="115">
        <f>'LOE Breakdown by Year'!O14</f>
        <v>0</v>
      </c>
      <c r="F835" s="50" t="s">
        <v>100</v>
      </c>
      <c r="G835" s="44">
        <f t="shared" si="518"/>
        <v>9</v>
      </c>
      <c r="H835" s="44">
        <f t="shared" si="518"/>
        <v>4583.333333333333</v>
      </c>
      <c r="I835" s="44">
        <f t="shared" si="525"/>
        <v>0</v>
      </c>
      <c r="J835" s="115">
        <f>'LOE Breakdown by Year'!O60</f>
        <v>0</v>
      </c>
      <c r="K835" s="44">
        <f t="shared" si="519"/>
        <v>12</v>
      </c>
      <c r="L835" s="44">
        <f t="shared" si="526"/>
        <v>0</v>
      </c>
      <c r="M835" s="115">
        <f>'LOE Breakdown by Year'!O106</f>
        <v>0</v>
      </c>
      <c r="N835" s="44">
        <f t="shared" si="520"/>
        <v>12</v>
      </c>
      <c r="O835" s="44">
        <f t="shared" si="527"/>
        <v>0</v>
      </c>
      <c r="P835" s="115">
        <f>'LOE Breakdown by Year'!O152</f>
        <v>0</v>
      </c>
      <c r="Q835" s="44">
        <f t="shared" si="521"/>
        <v>12</v>
      </c>
      <c r="R835" s="44">
        <f t="shared" si="528"/>
        <v>0</v>
      </c>
      <c r="S835" s="115">
        <f>'LOE Breakdown by Year'!O198</f>
        <v>0</v>
      </c>
      <c r="T835" s="44">
        <f t="shared" si="522"/>
        <v>12</v>
      </c>
      <c r="U835" s="44">
        <f t="shared" si="529"/>
        <v>0</v>
      </c>
      <c r="V835" s="115">
        <f>'LOE Breakdown by Year'!O244</f>
        <v>0</v>
      </c>
      <c r="W835" s="44">
        <f t="shared" si="523"/>
        <v>8</v>
      </c>
      <c r="X835" s="44">
        <f t="shared" si="530"/>
        <v>0</v>
      </c>
      <c r="Y835" s="44">
        <f t="shared" si="531"/>
        <v>0</v>
      </c>
      <c r="Z835" s="44">
        <v>0</v>
      </c>
      <c r="AA835" s="44">
        <f t="shared" si="532"/>
        <v>0</v>
      </c>
    </row>
    <row r="836" spans="1:27" hidden="1">
      <c r="A836" s="595" t="s">
        <v>1186</v>
      </c>
      <c r="B836" s="595">
        <v>70000</v>
      </c>
      <c r="C836" s="595" t="s">
        <v>747</v>
      </c>
      <c r="D836" s="8" t="str">
        <f t="shared" si="517"/>
        <v>Education Specialist</v>
      </c>
      <c r="E836" s="115">
        <f>'LOE Breakdown by Year'!O15</f>
        <v>0</v>
      </c>
      <c r="F836" s="50" t="s">
        <v>100</v>
      </c>
      <c r="G836" s="44">
        <f t="shared" si="518"/>
        <v>8</v>
      </c>
      <c r="H836" s="44">
        <f t="shared" si="518"/>
        <v>2500</v>
      </c>
      <c r="I836" s="44">
        <f t="shared" si="525"/>
        <v>0</v>
      </c>
      <c r="J836" s="115">
        <f>'LOE Breakdown by Year'!O61</f>
        <v>0</v>
      </c>
      <c r="K836" s="44">
        <f t="shared" si="519"/>
        <v>12</v>
      </c>
      <c r="L836" s="44">
        <f t="shared" si="526"/>
        <v>0</v>
      </c>
      <c r="M836" s="115">
        <f>'LOE Breakdown by Year'!O107</f>
        <v>0</v>
      </c>
      <c r="N836" s="44">
        <f t="shared" si="520"/>
        <v>12</v>
      </c>
      <c r="O836" s="44">
        <f t="shared" si="527"/>
        <v>0</v>
      </c>
      <c r="P836" s="115">
        <f>'LOE Breakdown by Year'!O153</f>
        <v>0</v>
      </c>
      <c r="Q836" s="44">
        <f t="shared" si="521"/>
        <v>12</v>
      </c>
      <c r="R836" s="44">
        <f t="shared" si="528"/>
        <v>0</v>
      </c>
      <c r="S836" s="115">
        <f>'LOE Breakdown by Year'!O199</f>
        <v>0</v>
      </c>
      <c r="T836" s="44">
        <f t="shared" si="522"/>
        <v>12</v>
      </c>
      <c r="U836" s="44">
        <f t="shared" si="529"/>
        <v>0</v>
      </c>
      <c r="V836" s="115">
        <f>'LOE Breakdown by Year'!O245</f>
        <v>0</v>
      </c>
      <c r="W836" s="44">
        <f t="shared" si="523"/>
        <v>3</v>
      </c>
      <c r="X836" s="44">
        <f t="shared" si="530"/>
        <v>0</v>
      </c>
      <c r="Y836" s="44">
        <f t="shared" si="531"/>
        <v>0</v>
      </c>
      <c r="Z836" s="44">
        <v>0</v>
      </c>
      <c r="AA836" s="44">
        <f t="shared" si="532"/>
        <v>0</v>
      </c>
    </row>
    <row r="837" spans="1:27" hidden="1">
      <c r="A837" s="595" t="s">
        <v>1187</v>
      </c>
      <c r="B837" s="595">
        <v>70000</v>
      </c>
      <c r="C837" s="595" t="s">
        <v>747</v>
      </c>
      <c r="D837" s="8" t="str">
        <f t="shared" si="517"/>
        <v>Education Officer</v>
      </c>
      <c r="E837" s="115">
        <f>'LOE Breakdown by Year'!O16</f>
        <v>0</v>
      </c>
      <c r="F837" s="50" t="s">
        <v>100</v>
      </c>
      <c r="G837" s="44">
        <f t="shared" si="518"/>
        <v>6</v>
      </c>
      <c r="H837" s="44">
        <f t="shared" si="518"/>
        <v>1000</v>
      </c>
      <c r="I837" s="44">
        <f t="shared" si="525"/>
        <v>0</v>
      </c>
      <c r="J837" s="115">
        <f>'LOE Breakdown by Year'!O62</f>
        <v>0</v>
      </c>
      <c r="K837" s="44">
        <f t="shared" si="519"/>
        <v>12</v>
      </c>
      <c r="L837" s="44">
        <f t="shared" si="526"/>
        <v>0</v>
      </c>
      <c r="M837" s="115">
        <f>'LOE Breakdown by Year'!O108</f>
        <v>0</v>
      </c>
      <c r="N837" s="44">
        <f t="shared" si="520"/>
        <v>12</v>
      </c>
      <c r="O837" s="44">
        <f t="shared" si="527"/>
        <v>0</v>
      </c>
      <c r="P837" s="115">
        <f>'LOE Breakdown by Year'!O154</f>
        <v>0</v>
      </c>
      <c r="Q837" s="44">
        <f t="shared" si="521"/>
        <v>12</v>
      </c>
      <c r="R837" s="44">
        <f t="shared" si="528"/>
        <v>0</v>
      </c>
      <c r="S837" s="115">
        <f>'LOE Breakdown by Year'!O200</f>
        <v>0</v>
      </c>
      <c r="T837" s="44">
        <f t="shared" si="522"/>
        <v>12</v>
      </c>
      <c r="U837" s="44">
        <f t="shared" si="529"/>
        <v>0</v>
      </c>
      <c r="V837" s="115">
        <f>'LOE Breakdown by Year'!O246</f>
        <v>0</v>
      </c>
      <c r="W837" s="44">
        <f t="shared" si="523"/>
        <v>3</v>
      </c>
      <c r="X837" s="44">
        <f t="shared" si="530"/>
        <v>0</v>
      </c>
      <c r="Y837" s="44">
        <f t="shared" si="531"/>
        <v>0</v>
      </c>
      <c r="Z837" s="44">
        <v>0</v>
      </c>
      <c r="AA837" s="44">
        <f t="shared" si="532"/>
        <v>0</v>
      </c>
    </row>
    <row r="838" spans="1:27">
      <c r="A838" s="595" t="s">
        <v>1188</v>
      </c>
      <c r="B838" s="595">
        <v>70000</v>
      </c>
      <c r="C838" s="595" t="s">
        <v>747</v>
      </c>
      <c r="D838" s="8" t="str">
        <f t="shared" si="517"/>
        <v>Nutrition and Health Specialist</v>
      </c>
      <c r="E838" s="115">
        <f>'LOE Breakdown by Year'!O17</f>
        <v>0.05</v>
      </c>
      <c r="F838" s="50" t="s">
        <v>100</v>
      </c>
      <c r="G838" s="44">
        <f t="shared" si="518"/>
        <v>9</v>
      </c>
      <c r="H838" s="44">
        <f t="shared" si="518"/>
        <v>1500</v>
      </c>
      <c r="I838" s="44">
        <f t="shared" si="525"/>
        <v>675</v>
      </c>
      <c r="J838" s="115">
        <f>'LOE Breakdown by Year'!O63</f>
        <v>0.05</v>
      </c>
      <c r="K838" s="44">
        <f t="shared" si="519"/>
        <v>12</v>
      </c>
      <c r="L838" s="44">
        <f t="shared" si="526"/>
        <v>945</v>
      </c>
      <c r="M838" s="115">
        <f>'LOE Breakdown by Year'!O109</f>
        <v>0.05</v>
      </c>
      <c r="N838" s="44">
        <f t="shared" si="520"/>
        <v>12</v>
      </c>
      <c r="O838" s="44">
        <f t="shared" si="527"/>
        <v>992.25</v>
      </c>
      <c r="P838" s="115">
        <f>'LOE Breakdown by Year'!O155</f>
        <v>0.05</v>
      </c>
      <c r="Q838" s="44">
        <f t="shared" si="521"/>
        <v>12</v>
      </c>
      <c r="R838" s="44">
        <f t="shared" si="528"/>
        <v>1041.8625</v>
      </c>
      <c r="S838" s="115">
        <f>'LOE Breakdown by Year'!O201</f>
        <v>0.05</v>
      </c>
      <c r="T838" s="44">
        <f t="shared" si="522"/>
        <v>12</v>
      </c>
      <c r="U838" s="44">
        <f t="shared" si="529"/>
        <v>1093.9556250000001</v>
      </c>
      <c r="V838" s="115">
        <f>'LOE Breakdown by Year'!O247</f>
        <v>0.05</v>
      </c>
      <c r="W838" s="44">
        <f t="shared" si="523"/>
        <v>6</v>
      </c>
      <c r="X838" s="44">
        <f t="shared" si="530"/>
        <v>574.32670312500011</v>
      </c>
      <c r="Y838" s="44">
        <f t="shared" si="531"/>
        <v>5322.3948281249995</v>
      </c>
      <c r="Z838" s="44">
        <v>0</v>
      </c>
      <c r="AA838" s="44">
        <f t="shared" si="532"/>
        <v>5322.3948281249995</v>
      </c>
    </row>
    <row r="839" spans="1:27" hidden="1">
      <c r="A839" s="595" t="s">
        <v>1189</v>
      </c>
      <c r="B839" s="595">
        <v>70000</v>
      </c>
      <c r="C839" s="595" t="s">
        <v>747</v>
      </c>
      <c r="D839" s="8" t="str">
        <f t="shared" si="517"/>
        <v>Nutrition Officer - (2 Individuals)</v>
      </c>
      <c r="E839" s="115">
        <f>'LOE Breakdown by Year'!O18</f>
        <v>0</v>
      </c>
      <c r="F839" s="50" t="s">
        <v>100</v>
      </c>
      <c r="G839" s="44">
        <f t="shared" si="518"/>
        <v>6</v>
      </c>
      <c r="H839" s="44">
        <f t="shared" si="518"/>
        <v>1000</v>
      </c>
      <c r="I839" s="44">
        <f t="shared" si="525"/>
        <v>0</v>
      </c>
      <c r="J839" s="115">
        <f>'LOE Breakdown by Year'!O64</f>
        <v>0</v>
      </c>
      <c r="K839" s="44">
        <f t="shared" si="519"/>
        <v>24</v>
      </c>
      <c r="L839" s="44">
        <f t="shared" si="526"/>
        <v>0</v>
      </c>
      <c r="M839" s="115">
        <f>'LOE Breakdown by Year'!O110</f>
        <v>0</v>
      </c>
      <c r="N839" s="44">
        <f t="shared" si="520"/>
        <v>24</v>
      </c>
      <c r="O839" s="44">
        <f t="shared" si="527"/>
        <v>0</v>
      </c>
      <c r="P839" s="115">
        <f>'LOE Breakdown by Year'!O156</f>
        <v>0</v>
      </c>
      <c r="Q839" s="44">
        <f t="shared" si="521"/>
        <v>24</v>
      </c>
      <c r="R839" s="44">
        <f t="shared" si="528"/>
        <v>0</v>
      </c>
      <c r="S839" s="115">
        <f>'LOE Breakdown by Year'!O202</f>
        <v>0</v>
      </c>
      <c r="T839" s="44">
        <f t="shared" si="522"/>
        <v>24</v>
      </c>
      <c r="U839" s="44">
        <f t="shared" si="529"/>
        <v>0</v>
      </c>
      <c r="V839" s="115">
        <f>'LOE Breakdown by Year'!O248</f>
        <v>0</v>
      </c>
      <c r="W839" s="44">
        <f t="shared" si="523"/>
        <v>6</v>
      </c>
      <c r="X839" s="44">
        <f t="shared" si="530"/>
        <v>0</v>
      </c>
      <c r="Y839" s="44">
        <f t="shared" si="531"/>
        <v>0</v>
      </c>
      <c r="Z839" s="44">
        <v>0</v>
      </c>
      <c r="AA839" s="44">
        <f t="shared" si="532"/>
        <v>0</v>
      </c>
    </row>
    <row r="840" spans="1:27">
      <c r="A840" s="595" t="s">
        <v>1190</v>
      </c>
      <c r="B840" s="595">
        <v>70000</v>
      </c>
      <c r="C840" s="595" t="s">
        <v>747</v>
      </c>
      <c r="D840" s="8" t="str">
        <f t="shared" si="517"/>
        <v>School Feeding Specialist</v>
      </c>
      <c r="E840" s="115">
        <f>'LOE Breakdown by Year'!O19</f>
        <v>0.05</v>
      </c>
      <c r="F840" s="50" t="s">
        <v>100</v>
      </c>
      <c r="G840" s="44">
        <f t="shared" si="518"/>
        <v>9</v>
      </c>
      <c r="H840" s="44">
        <f t="shared" si="518"/>
        <v>1500</v>
      </c>
      <c r="I840" s="44">
        <f t="shared" si="525"/>
        <v>675</v>
      </c>
      <c r="J840" s="115">
        <f>'LOE Breakdown by Year'!O65</f>
        <v>0.05</v>
      </c>
      <c r="K840" s="44">
        <f t="shared" si="519"/>
        <v>12</v>
      </c>
      <c r="L840" s="44">
        <f t="shared" si="526"/>
        <v>945</v>
      </c>
      <c r="M840" s="115">
        <f>'LOE Breakdown by Year'!O111</f>
        <v>0.05</v>
      </c>
      <c r="N840" s="44">
        <f t="shared" si="520"/>
        <v>12</v>
      </c>
      <c r="O840" s="44">
        <f t="shared" si="527"/>
        <v>992.25</v>
      </c>
      <c r="P840" s="115">
        <f>'LOE Breakdown by Year'!O157</f>
        <v>0.05</v>
      </c>
      <c r="Q840" s="44">
        <f t="shared" si="521"/>
        <v>12</v>
      </c>
      <c r="R840" s="44">
        <f t="shared" si="528"/>
        <v>1041.8625</v>
      </c>
      <c r="S840" s="115">
        <f>'LOE Breakdown by Year'!O203</f>
        <v>0.05</v>
      </c>
      <c r="T840" s="44">
        <f t="shared" si="522"/>
        <v>6</v>
      </c>
      <c r="U840" s="44">
        <f t="shared" si="529"/>
        <v>546.97781250000003</v>
      </c>
      <c r="V840" s="115">
        <f>'LOE Breakdown by Year'!O249</f>
        <v>0.05</v>
      </c>
      <c r="W840" s="44">
        <f t="shared" si="523"/>
        <v>6</v>
      </c>
      <c r="X840" s="44">
        <f t="shared" si="530"/>
        <v>574.32670312500011</v>
      </c>
      <c r="Y840" s="44">
        <f t="shared" si="531"/>
        <v>4775.4170156250002</v>
      </c>
      <c r="Z840" s="44">
        <v>0</v>
      </c>
      <c r="AA840" s="44">
        <f t="shared" si="532"/>
        <v>4775.4170156250002</v>
      </c>
    </row>
    <row r="841" spans="1:27" hidden="1">
      <c r="A841" s="595" t="s">
        <v>1191</v>
      </c>
      <c r="B841" s="595">
        <v>70000</v>
      </c>
      <c r="C841" s="595" t="s">
        <v>747</v>
      </c>
      <c r="D841" s="8" t="str">
        <f t="shared" si="517"/>
        <v>Food Aid Monitors - (2 Individuals)</v>
      </c>
      <c r="E841" s="115">
        <f>'LOE Breakdown by Year'!O20</f>
        <v>0</v>
      </c>
      <c r="F841" s="50" t="s">
        <v>100</v>
      </c>
      <c r="G841" s="44">
        <f t="shared" si="518"/>
        <v>6</v>
      </c>
      <c r="H841" s="44">
        <f t="shared" si="518"/>
        <v>1000</v>
      </c>
      <c r="I841" s="44">
        <f t="shared" si="525"/>
        <v>0</v>
      </c>
      <c r="J841" s="115">
        <f>'LOE Breakdown by Year'!O66</f>
        <v>0</v>
      </c>
      <c r="K841" s="44">
        <f t="shared" si="519"/>
        <v>24</v>
      </c>
      <c r="L841" s="44">
        <f t="shared" si="526"/>
        <v>0</v>
      </c>
      <c r="M841" s="115">
        <f>'LOE Breakdown by Year'!O112</f>
        <v>0</v>
      </c>
      <c r="N841" s="44">
        <f t="shared" si="520"/>
        <v>24</v>
      </c>
      <c r="O841" s="44">
        <f t="shared" si="527"/>
        <v>0</v>
      </c>
      <c r="P841" s="115">
        <f>'LOE Breakdown by Year'!O158</f>
        <v>0</v>
      </c>
      <c r="Q841" s="44">
        <f t="shared" si="521"/>
        <v>24</v>
      </c>
      <c r="R841" s="44">
        <f t="shared" si="528"/>
        <v>0</v>
      </c>
      <c r="S841" s="115">
        <f>'LOE Breakdown by Year'!O204</f>
        <v>0</v>
      </c>
      <c r="T841" s="44">
        <f t="shared" si="522"/>
        <v>24</v>
      </c>
      <c r="U841" s="44">
        <f t="shared" si="529"/>
        <v>0</v>
      </c>
      <c r="V841" s="115">
        <f>'LOE Breakdown by Year'!O250</f>
        <v>0</v>
      </c>
      <c r="W841" s="44">
        <f t="shared" si="523"/>
        <v>12</v>
      </c>
      <c r="X841" s="44">
        <f t="shared" si="530"/>
        <v>0</v>
      </c>
      <c r="Y841" s="44">
        <f t="shared" si="531"/>
        <v>0</v>
      </c>
      <c r="Z841" s="44">
        <v>0</v>
      </c>
      <c r="AA841" s="44">
        <f t="shared" si="532"/>
        <v>0</v>
      </c>
    </row>
    <row r="842" spans="1:27" hidden="1">
      <c r="A842" s="595" t="s">
        <v>1192</v>
      </c>
      <c r="B842" s="595">
        <v>70000</v>
      </c>
      <c r="C842" s="595" t="s">
        <v>747</v>
      </c>
      <c r="D842" s="8" t="str">
        <f t="shared" si="517"/>
        <v>WASH Officer</v>
      </c>
      <c r="E842" s="115">
        <f>'LOE Breakdown by Year'!O21</f>
        <v>0</v>
      </c>
      <c r="F842" s="50" t="s">
        <v>100</v>
      </c>
      <c r="G842" s="44">
        <f t="shared" si="518"/>
        <v>6</v>
      </c>
      <c r="H842" s="44">
        <f t="shared" si="518"/>
        <v>1000</v>
      </c>
      <c r="I842" s="44">
        <f t="shared" si="525"/>
        <v>0</v>
      </c>
      <c r="J842" s="115">
        <f>'LOE Breakdown by Year'!O67</f>
        <v>0</v>
      </c>
      <c r="K842" s="44">
        <f t="shared" si="519"/>
        <v>12</v>
      </c>
      <c r="L842" s="44">
        <f t="shared" si="526"/>
        <v>0</v>
      </c>
      <c r="M842" s="115">
        <f>'LOE Breakdown by Year'!O113</f>
        <v>0</v>
      </c>
      <c r="N842" s="44">
        <f t="shared" si="520"/>
        <v>12</v>
      </c>
      <c r="O842" s="44">
        <f t="shared" si="527"/>
        <v>0</v>
      </c>
      <c r="P842" s="115">
        <f>'LOE Breakdown by Year'!O159</f>
        <v>0</v>
      </c>
      <c r="Q842" s="44">
        <f t="shared" si="521"/>
        <v>12</v>
      </c>
      <c r="R842" s="44">
        <f t="shared" si="528"/>
        <v>0</v>
      </c>
      <c r="S842" s="115">
        <f>'LOE Breakdown by Year'!O205</f>
        <v>0</v>
      </c>
      <c r="T842" s="44">
        <f t="shared" si="522"/>
        <v>12</v>
      </c>
      <c r="U842" s="44">
        <f t="shared" si="529"/>
        <v>0</v>
      </c>
      <c r="V842" s="115">
        <f>'LOE Breakdown by Year'!O251</f>
        <v>0</v>
      </c>
      <c r="W842" s="44">
        <f t="shared" si="523"/>
        <v>3</v>
      </c>
      <c r="X842" s="44">
        <f t="shared" si="530"/>
        <v>0</v>
      </c>
      <c r="Y842" s="44">
        <f t="shared" si="531"/>
        <v>0</v>
      </c>
      <c r="Z842" s="44">
        <v>0</v>
      </c>
      <c r="AA842" s="44">
        <f t="shared" si="532"/>
        <v>0</v>
      </c>
    </row>
    <row r="843" spans="1:27" hidden="1">
      <c r="A843" s="595" t="s">
        <v>1193</v>
      </c>
      <c r="B843" s="595">
        <v>70000</v>
      </c>
      <c r="C843" s="595" t="s">
        <v>747</v>
      </c>
      <c r="D843" s="8" t="str">
        <f t="shared" si="517"/>
        <v>Communications Specialist</v>
      </c>
      <c r="E843" s="115">
        <f>'LOE Breakdown by Year'!O22</f>
        <v>0</v>
      </c>
      <c r="F843" s="50" t="s">
        <v>100</v>
      </c>
      <c r="G843" s="44">
        <f t="shared" si="518"/>
        <v>8</v>
      </c>
      <c r="H843" s="44">
        <f t="shared" si="518"/>
        <v>1500</v>
      </c>
      <c r="I843" s="44">
        <f t="shared" si="525"/>
        <v>0</v>
      </c>
      <c r="J843" s="115">
        <f>'LOE Breakdown by Year'!O68</f>
        <v>0</v>
      </c>
      <c r="K843" s="44">
        <f t="shared" si="519"/>
        <v>12</v>
      </c>
      <c r="L843" s="44">
        <f t="shared" si="526"/>
        <v>0</v>
      </c>
      <c r="M843" s="115">
        <f>'LOE Breakdown by Year'!O114</f>
        <v>0</v>
      </c>
      <c r="N843" s="44">
        <f t="shared" si="520"/>
        <v>12</v>
      </c>
      <c r="O843" s="44">
        <f t="shared" si="527"/>
        <v>0</v>
      </c>
      <c r="P843" s="115">
        <f>'LOE Breakdown by Year'!O160</f>
        <v>0</v>
      </c>
      <c r="Q843" s="44">
        <f t="shared" si="521"/>
        <v>12</v>
      </c>
      <c r="R843" s="44">
        <f t="shared" si="528"/>
        <v>0</v>
      </c>
      <c r="S843" s="115">
        <f>'LOE Breakdown by Year'!O206</f>
        <v>0</v>
      </c>
      <c r="T843" s="44">
        <f t="shared" si="522"/>
        <v>12</v>
      </c>
      <c r="U843" s="44">
        <f t="shared" si="529"/>
        <v>0</v>
      </c>
      <c r="V843" s="115">
        <f>'LOE Breakdown by Year'!O252</f>
        <v>0</v>
      </c>
      <c r="W843" s="44">
        <f t="shared" si="523"/>
        <v>8</v>
      </c>
      <c r="X843" s="44">
        <f t="shared" si="530"/>
        <v>0</v>
      </c>
      <c r="Y843" s="44">
        <f t="shared" si="531"/>
        <v>0</v>
      </c>
      <c r="Z843" s="44">
        <v>0</v>
      </c>
      <c r="AA843" s="44">
        <f t="shared" si="532"/>
        <v>0</v>
      </c>
    </row>
    <row r="844" spans="1:27" hidden="1">
      <c r="A844" s="595" t="s">
        <v>1194</v>
      </c>
      <c r="B844" s="595">
        <v>70000</v>
      </c>
      <c r="C844" s="595" t="s">
        <v>747</v>
      </c>
      <c r="D844" s="8" t="str">
        <f t="shared" si="517"/>
        <v>Communications Officer</v>
      </c>
      <c r="E844" s="115">
        <f>'LOE Breakdown by Year'!O23</f>
        <v>0</v>
      </c>
      <c r="F844" s="50" t="s">
        <v>100</v>
      </c>
      <c r="G844" s="44">
        <f t="shared" si="518"/>
        <v>0</v>
      </c>
      <c r="H844" s="44">
        <f t="shared" si="518"/>
        <v>1000</v>
      </c>
      <c r="I844" s="44">
        <f t="shared" si="525"/>
        <v>0</v>
      </c>
      <c r="J844" s="115">
        <f>'LOE Breakdown by Year'!O69</f>
        <v>0</v>
      </c>
      <c r="K844" s="44">
        <f t="shared" si="519"/>
        <v>12</v>
      </c>
      <c r="L844" s="44">
        <f t="shared" si="526"/>
        <v>0</v>
      </c>
      <c r="M844" s="115">
        <f>'LOE Breakdown by Year'!O115</f>
        <v>0</v>
      </c>
      <c r="N844" s="44">
        <f t="shared" si="520"/>
        <v>12</v>
      </c>
      <c r="O844" s="44">
        <f t="shared" si="527"/>
        <v>0</v>
      </c>
      <c r="P844" s="115">
        <f>'LOE Breakdown by Year'!O161</f>
        <v>0</v>
      </c>
      <c r="Q844" s="44">
        <f t="shared" si="521"/>
        <v>12</v>
      </c>
      <c r="R844" s="44">
        <f t="shared" si="528"/>
        <v>0</v>
      </c>
      <c r="S844" s="115">
        <f>'LOE Breakdown by Year'!O207</f>
        <v>0</v>
      </c>
      <c r="T844" s="44">
        <f t="shared" si="522"/>
        <v>12</v>
      </c>
      <c r="U844" s="44">
        <f t="shared" si="529"/>
        <v>0</v>
      </c>
      <c r="V844" s="115">
        <f>'LOE Breakdown by Year'!O253</f>
        <v>0</v>
      </c>
      <c r="W844" s="44">
        <f t="shared" si="523"/>
        <v>0</v>
      </c>
      <c r="X844" s="44">
        <f t="shared" si="530"/>
        <v>0</v>
      </c>
      <c r="Y844" s="44">
        <f t="shared" si="531"/>
        <v>0</v>
      </c>
      <c r="Z844" s="44">
        <v>0</v>
      </c>
      <c r="AA844" s="44">
        <f t="shared" si="532"/>
        <v>0</v>
      </c>
    </row>
    <row r="845" spans="1:27">
      <c r="A845" s="595" t="s">
        <v>1195</v>
      </c>
      <c r="B845" s="595">
        <v>70000</v>
      </c>
      <c r="C845" s="595" t="s">
        <v>747</v>
      </c>
      <c r="D845" s="8" t="str">
        <f t="shared" si="517"/>
        <v>Education &amp; Community Engagement Specialist</v>
      </c>
      <c r="E845" s="115">
        <f>'LOE Breakdown by Year'!O24</f>
        <v>0.05</v>
      </c>
      <c r="F845" s="50" t="s">
        <v>100</v>
      </c>
      <c r="G845" s="44">
        <f t="shared" si="518"/>
        <v>6</v>
      </c>
      <c r="H845" s="44">
        <f t="shared" si="518"/>
        <v>1500</v>
      </c>
      <c r="I845" s="44">
        <f t="shared" si="525"/>
        <v>450</v>
      </c>
      <c r="J845" s="115">
        <f>'LOE Breakdown by Year'!O70</f>
        <v>0.05</v>
      </c>
      <c r="K845" s="44">
        <f t="shared" si="519"/>
        <v>12</v>
      </c>
      <c r="L845" s="44">
        <f t="shared" si="526"/>
        <v>945</v>
      </c>
      <c r="M845" s="115">
        <f>'LOE Breakdown by Year'!O116</f>
        <v>0.05</v>
      </c>
      <c r="N845" s="44">
        <f t="shared" si="520"/>
        <v>12</v>
      </c>
      <c r="O845" s="44">
        <f t="shared" si="527"/>
        <v>992.25</v>
      </c>
      <c r="P845" s="115">
        <f>'LOE Breakdown by Year'!O162</f>
        <v>0.05</v>
      </c>
      <c r="Q845" s="44">
        <f t="shared" si="521"/>
        <v>12</v>
      </c>
      <c r="R845" s="44">
        <f t="shared" si="528"/>
        <v>1041.8625</v>
      </c>
      <c r="S845" s="115">
        <f>'LOE Breakdown by Year'!O208</f>
        <v>0.05</v>
      </c>
      <c r="T845" s="44">
        <f t="shared" si="522"/>
        <v>12</v>
      </c>
      <c r="U845" s="44">
        <f t="shared" si="529"/>
        <v>1093.9556250000001</v>
      </c>
      <c r="V845" s="115">
        <f>'LOE Breakdown by Year'!O254</f>
        <v>0.05</v>
      </c>
      <c r="W845" s="44">
        <f t="shared" si="523"/>
        <v>8</v>
      </c>
      <c r="X845" s="44">
        <f t="shared" si="530"/>
        <v>765.76893750000011</v>
      </c>
      <c r="Y845" s="44">
        <f t="shared" si="531"/>
        <v>5288.8370624999998</v>
      </c>
      <c r="Z845" s="44">
        <v>0</v>
      </c>
      <c r="AA845" s="44">
        <f t="shared" si="532"/>
        <v>5288.8370624999998</v>
      </c>
    </row>
    <row r="846" spans="1:27">
      <c r="A846" s="595" t="s">
        <v>1196</v>
      </c>
      <c r="B846" s="595">
        <v>70000</v>
      </c>
      <c r="C846" s="595" t="s">
        <v>747</v>
      </c>
      <c r="D846" s="8" t="str">
        <f t="shared" si="517"/>
        <v>Education &amp; Community Engagement Officer</v>
      </c>
      <c r="E846" s="115">
        <f>'LOE Breakdown by Year'!O25</f>
        <v>0.05</v>
      </c>
      <c r="F846" s="50" t="s">
        <v>100</v>
      </c>
      <c r="G846" s="44">
        <f t="shared" si="518"/>
        <v>3</v>
      </c>
      <c r="H846" s="44">
        <f t="shared" si="518"/>
        <v>1000</v>
      </c>
      <c r="I846" s="44">
        <f t="shared" si="525"/>
        <v>150</v>
      </c>
      <c r="J846" s="115">
        <f>'LOE Breakdown by Year'!O71</f>
        <v>0.05</v>
      </c>
      <c r="K846" s="44">
        <f t="shared" si="519"/>
        <v>12</v>
      </c>
      <c r="L846" s="44">
        <f t="shared" si="526"/>
        <v>630</v>
      </c>
      <c r="M846" s="115">
        <f>'LOE Breakdown by Year'!O117</f>
        <v>0.05</v>
      </c>
      <c r="N846" s="44">
        <f t="shared" si="520"/>
        <v>12</v>
      </c>
      <c r="O846" s="44">
        <f t="shared" si="527"/>
        <v>661.5</v>
      </c>
      <c r="P846" s="115">
        <f>'LOE Breakdown by Year'!O163</f>
        <v>0.05</v>
      </c>
      <c r="Q846" s="44">
        <f t="shared" si="521"/>
        <v>12</v>
      </c>
      <c r="R846" s="44">
        <f t="shared" si="528"/>
        <v>694.57500000000005</v>
      </c>
      <c r="S846" s="115">
        <f>'LOE Breakdown by Year'!O209</f>
        <v>0.05</v>
      </c>
      <c r="T846" s="44">
        <f t="shared" si="522"/>
        <v>12</v>
      </c>
      <c r="U846" s="44">
        <f t="shared" si="529"/>
        <v>729.30375000000004</v>
      </c>
      <c r="V846" s="115">
        <f>'LOE Breakdown by Year'!O255</f>
        <v>0.05</v>
      </c>
      <c r="W846" s="44">
        <f t="shared" si="523"/>
        <v>0</v>
      </c>
      <c r="X846" s="44">
        <f t="shared" si="530"/>
        <v>0</v>
      </c>
      <c r="Y846" s="44">
        <f t="shared" si="531"/>
        <v>2865.3787499999999</v>
      </c>
      <c r="Z846" s="44">
        <v>0</v>
      </c>
      <c r="AA846" s="44">
        <f t="shared" si="532"/>
        <v>2865.3787499999999</v>
      </c>
    </row>
    <row r="847" spans="1:27" hidden="1">
      <c r="A847" s="595" t="s">
        <v>1197</v>
      </c>
      <c r="B847" s="595">
        <v>70000</v>
      </c>
      <c r="C847" s="595" t="s">
        <v>747</v>
      </c>
      <c r="D847" s="8" t="str">
        <f t="shared" si="517"/>
        <v>Private Sector Specialist</v>
      </c>
      <c r="E847" s="115">
        <f>'LOE Breakdown by Year'!O26</f>
        <v>0</v>
      </c>
      <c r="F847" s="50" t="s">
        <v>100</v>
      </c>
      <c r="G847" s="44">
        <f t="shared" si="518"/>
        <v>9</v>
      </c>
      <c r="H847" s="44">
        <f t="shared" si="518"/>
        <v>2000</v>
      </c>
      <c r="I847" s="44">
        <f t="shared" si="525"/>
        <v>0</v>
      </c>
      <c r="J847" s="115">
        <f>'LOE Breakdown by Year'!O72</f>
        <v>0</v>
      </c>
      <c r="K847" s="44">
        <f t="shared" si="519"/>
        <v>12</v>
      </c>
      <c r="L847" s="44">
        <f t="shared" si="526"/>
        <v>0</v>
      </c>
      <c r="M847" s="115">
        <f>'LOE Breakdown by Year'!O118</f>
        <v>0</v>
      </c>
      <c r="N847" s="44">
        <f t="shared" si="520"/>
        <v>12</v>
      </c>
      <c r="O847" s="44">
        <f t="shared" si="527"/>
        <v>0</v>
      </c>
      <c r="P847" s="115">
        <f>'LOE Breakdown by Year'!O164</f>
        <v>0</v>
      </c>
      <c r="Q847" s="44">
        <f t="shared" si="521"/>
        <v>12</v>
      </c>
      <c r="R847" s="44">
        <f t="shared" si="528"/>
        <v>0</v>
      </c>
      <c r="S847" s="115">
        <f>'LOE Breakdown by Year'!O210</f>
        <v>0</v>
      </c>
      <c r="T847" s="44">
        <f t="shared" si="522"/>
        <v>12</v>
      </c>
      <c r="U847" s="44">
        <f t="shared" si="529"/>
        <v>0</v>
      </c>
      <c r="V847" s="115">
        <f>'LOE Breakdown by Year'!O256</f>
        <v>0</v>
      </c>
      <c r="W847" s="44">
        <f t="shared" si="523"/>
        <v>6</v>
      </c>
      <c r="X847" s="44">
        <f t="shared" si="530"/>
        <v>0</v>
      </c>
      <c r="Y847" s="44">
        <f t="shared" si="531"/>
        <v>0</v>
      </c>
      <c r="Z847" s="44">
        <v>0</v>
      </c>
      <c r="AA847" s="44">
        <f t="shared" si="532"/>
        <v>0</v>
      </c>
    </row>
    <row r="848" spans="1:27" hidden="1">
      <c r="A848" s="595" t="s">
        <v>1198</v>
      </c>
      <c r="B848" s="595">
        <v>70000</v>
      </c>
      <c r="C848" s="595" t="s">
        <v>747</v>
      </c>
      <c r="D848" s="8" t="str">
        <f t="shared" si="517"/>
        <v xml:space="preserve">Key Personnel: M&amp;E Director </v>
      </c>
      <c r="E848" s="115">
        <f>'LOE Breakdown by Year'!O27</f>
        <v>0</v>
      </c>
      <c r="F848" s="50" t="s">
        <v>100</v>
      </c>
      <c r="G848" s="44">
        <f t="shared" si="518"/>
        <v>11</v>
      </c>
      <c r="H848" s="44">
        <f t="shared" si="518"/>
        <v>4583.333333333333</v>
      </c>
      <c r="I848" s="44">
        <f t="shared" si="525"/>
        <v>0</v>
      </c>
      <c r="J848" s="115">
        <f>'LOE Breakdown by Year'!O73</f>
        <v>0</v>
      </c>
      <c r="K848" s="44">
        <f t="shared" si="519"/>
        <v>12</v>
      </c>
      <c r="L848" s="44">
        <f t="shared" si="526"/>
        <v>0</v>
      </c>
      <c r="M848" s="115">
        <f>'LOE Breakdown by Year'!O119</f>
        <v>0</v>
      </c>
      <c r="N848" s="44">
        <f t="shared" si="520"/>
        <v>12</v>
      </c>
      <c r="O848" s="44">
        <f t="shared" si="527"/>
        <v>0</v>
      </c>
      <c r="P848" s="115">
        <f>'LOE Breakdown by Year'!O165</f>
        <v>0</v>
      </c>
      <c r="Q848" s="44">
        <f t="shared" si="521"/>
        <v>12</v>
      </c>
      <c r="R848" s="44">
        <f t="shared" si="528"/>
        <v>0</v>
      </c>
      <c r="S848" s="115">
        <f>'LOE Breakdown by Year'!O211</f>
        <v>0</v>
      </c>
      <c r="T848" s="44">
        <f t="shared" si="522"/>
        <v>12</v>
      </c>
      <c r="U848" s="44">
        <f t="shared" si="529"/>
        <v>0</v>
      </c>
      <c r="V848" s="115">
        <f>'LOE Breakdown by Year'!O257</f>
        <v>0</v>
      </c>
      <c r="W848" s="44">
        <f t="shared" si="523"/>
        <v>12</v>
      </c>
      <c r="X848" s="44">
        <f t="shared" si="530"/>
        <v>0</v>
      </c>
      <c r="Y848" s="44">
        <f t="shared" si="531"/>
        <v>0</v>
      </c>
      <c r="Z848" s="44">
        <v>0</v>
      </c>
      <c r="AA848" s="44">
        <f t="shared" si="532"/>
        <v>0</v>
      </c>
    </row>
    <row r="849" spans="1:27" hidden="1">
      <c r="A849" s="595" t="s">
        <v>1199</v>
      </c>
      <c r="B849" s="595">
        <v>70000</v>
      </c>
      <c r="C849" s="595" t="s">
        <v>747</v>
      </c>
      <c r="D849" s="8" t="str">
        <f t="shared" si="517"/>
        <v>M&amp;E Specialist</v>
      </c>
      <c r="E849" s="115">
        <f>'LOE Breakdown by Year'!O28</f>
        <v>0</v>
      </c>
      <c r="F849" s="50" t="s">
        <v>100</v>
      </c>
      <c r="G849" s="44">
        <f t="shared" si="518"/>
        <v>6</v>
      </c>
      <c r="H849" s="44">
        <f t="shared" si="518"/>
        <v>2000</v>
      </c>
      <c r="I849" s="44">
        <f t="shared" si="525"/>
        <v>0</v>
      </c>
      <c r="J849" s="115">
        <f>'LOE Breakdown by Year'!O74</f>
        <v>0</v>
      </c>
      <c r="K849" s="44">
        <f t="shared" si="519"/>
        <v>12</v>
      </c>
      <c r="L849" s="44">
        <f t="shared" si="526"/>
        <v>0</v>
      </c>
      <c r="M849" s="115">
        <f>'LOE Breakdown by Year'!O120</f>
        <v>0</v>
      </c>
      <c r="N849" s="44">
        <f t="shared" si="520"/>
        <v>12</v>
      </c>
      <c r="O849" s="44">
        <f t="shared" si="527"/>
        <v>0</v>
      </c>
      <c r="P849" s="115">
        <f>'LOE Breakdown by Year'!O166</f>
        <v>0</v>
      </c>
      <c r="Q849" s="44">
        <f t="shared" si="521"/>
        <v>12</v>
      </c>
      <c r="R849" s="44">
        <f t="shared" si="528"/>
        <v>0</v>
      </c>
      <c r="S849" s="115">
        <f>'LOE Breakdown by Year'!O212</f>
        <v>0</v>
      </c>
      <c r="T849" s="44">
        <f t="shared" si="522"/>
        <v>12</v>
      </c>
      <c r="U849" s="44">
        <f t="shared" si="529"/>
        <v>0</v>
      </c>
      <c r="V849" s="115">
        <f>'LOE Breakdown by Year'!O258</f>
        <v>0</v>
      </c>
      <c r="W849" s="44">
        <f t="shared" si="523"/>
        <v>11</v>
      </c>
      <c r="X849" s="44">
        <f t="shared" si="530"/>
        <v>0</v>
      </c>
      <c r="Y849" s="44">
        <f t="shared" si="531"/>
        <v>0</v>
      </c>
      <c r="Z849" s="44">
        <v>0</v>
      </c>
      <c r="AA849" s="44">
        <f t="shared" si="532"/>
        <v>0</v>
      </c>
    </row>
    <row r="850" spans="1:27" hidden="1">
      <c r="A850" s="595" t="s">
        <v>1200</v>
      </c>
      <c r="B850" s="595">
        <v>70000</v>
      </c>
      <c r="C850" s="595" t="s">
        <v>747</v>
      </c>
      <c r="D850" s="8" t="str">
        <f t="shared" si="517"/>
        <v>M&amp;E Officer</v>
      </c>
      <c r="E850" s="115">
        <f>'LOE Breakdown by Year'!O29</f>
        <v>0</v>
      </c>
      <c r="F850" s="50" t="s">
        <v>100</v>
      </c>
      <c r="G850" s="44">
        <f t="shared" si="518"/>
        <v>2</v>
      </c>
      <c r="H850" s="44">
        <f t="shared" si="518"/>
        <v>1250</v>
      </c>
      <c r="I850" s="44">
        <f t="shared" si="525"/>
        <v>0</v>
      </c>
      <c r="J850" s="115">
        <f>'LOE Breakdown by Year'!O75</f>
        <v>0</v>
      </c>
      <c r="K850" s="44">
        <f t="shared" si="519"/>
        <v>12</v>
      </c>
      <c r="L850" s="44">
        <f t="shared" si="526"/>
        <v>0</v>
      </c>
      <c r="M850" s="115">
        <f>'LOE Breakdown by Year'!O121</f>
        <v>0</v>
      </c>
      <c r="N850" s="44">
        <f t="shared" si="520"/>
        <v>12</v>
      </c>
      <c r="O850" s="44">
        <f t="shared" si="527"/>
        <v>0</v>
      </c>
      <c r="P850" s="115">
        <f>'LOE Breakdown by Year'!O167</f>
        <v>0</v>
      </c>
      <c r="Q850" s="44">
        <f t="shared" si="521"/>
        <v>12</v>
      </c>
      <c r="R850" s="44">
        <f t="shared" si="528"/>
        <v>0</v>
      </c>
      <c r="S850" s="115">
        <f>'LOE Breakdown by Year'!O213</f>
        <v>0</v>
      </c>
      <c r="T850" s="44">
        <f t="shared" si="522"/>
        <v>12</v>
      </c>
      <c r="U850" s="44">
        <f t="shared" si="529"/>
        <v>0</v>
      </c>
      <c r="V850" s="115">
        <f>'LOE Breakdown by Year'!O259</f>
        <v>0</v>
      </c>
      <c r="W850" s="44">
        <f t="shared" si="523"/>
        <v>3</v>
      </c>
      <c r="X850" s="44">
        <f t="shared" si="530"/>
        <v>0</v>
      </c>
      <c r="Y850" s="44">
        <f t="shared" si="531"/>
        <v>0</v>
      </c>
      <c r="Z850" s="44">
        <v>0</v>
      </c>
      <c r="AA850" s="44">
        <f t="shared" si="532"/>
        <v>0</v>
      </c>
    </row>
    <row r="851" spans="1:27" hidden="1">
      <c r="A851" s="595" t="s">
        <v>1201</v>
      </c>
      <c r="B851" s="595">
        <v>70000</v>
      </c>
      <c r="C851" s="595" t="s">
        <v>747</v>
      </c>
      <c r="D851" s="8" t="str">
        <f t="shared" si="517"/>
        <v>Supply Chain Manager</v>
      </c>
      <c r="E851" s="115">
        <f>'LOE Breakdown by Year'!O30</f>
        <v>0</v>
      </c>
      <c r="F851" s="50" t="s">
        <v>100</v>
      </c>
      <c r="G851" s="44">
        <f t="shared" si="518"/>
        <v>11</v>
      </c>
      <c r="H851" s="44">
        <f t="shared" si="518"/>
        <v>5000</v>
      </c>
      <c r="I851" s="44">
        <f t="shared" si="525"/>
        <v>0</v>
      </c>
      <c r="J851" s="115">
        <f>'LOE Breakdown by Year'!O76</f>
        <v>0</v>
      </c>
      <c r="K851" s="44">
        <f t="shared" si="519"/>
        <v>12</v>
      </c>
      <c r="L851" s="44">
        <f t="shared" si="526"/>
        <v>0</v>
      </c>
      <c r="M851" s="115">
        <f>'LOE Breakdown by Year'!O122</f>
        <v>0</v>
      </c>
      <c r="N851" s="44">
        <f t="shared" si="520"/>
        <v>12</v>
      </c>
      <c r="O851" s="44">
        <f t="shared" si="527"/>
        <v>0</v>
      </c>
      <c r="P851" s="115">
        <f>'LOE Breakdown by Year'!O168</f>
        <v>0</v>
      </c>
      <c r="Q851" s="44">
        <f t="shared" si="521"/>
        <v>12</v>
      </c>
      <c r="R851" s="44">
        <f t="shared" si="528"/>
        <v>0</v>
      </c>
      <c r="S851" s="115">
        <f>'LOE Breakdown by Year'!O214</f>
        <v>0</v>
      </c>
      <c r="T851" s="44">
        <f t="shared" si="522"/>
        <v>12</v>
      </c>
      <c r="U851" s="44">
        <f t="shared" si="529"/>
        <v>0</v>
      </c>
      <c r="V851" s="115">
        <f>'LOE Breakdown by Year'!O260</f>
        <v>0</v>
      </c>
      <c r="W851" s="44">
        <f t="shared" si="523"/>
        <v>8</v>
      </c>
      <c r="X851" s="44">
        <f t="shared" si="530"/>
        <v>0</v>
      </c>
      <c r="Y851" s="44">
        <f t="shared" si="531"/>
        <v>0</v>
      </c>
      <c r="Z851" s="44">
        <v>0</v>
      </c>
      <c r="AA851" s="44">
        <f t="shared" si="532"/>
        <v>0</v>
      </c>
    </row>
    <row r="852" spans="1:27" hidden="1">
      <c r="A852" s="595" t="s">
        <v>1202</v>
      </c>
      <c r="B852" s="595">
        <v>70000</v>
      </c>
      <c r="C852" s="595" t="s">
        <v>747</v>
      </c>
      <c r="D852" s="8" t="str">
        <f t="shared" si="517"/>
        <v>In-Country Logistics Specialist</v>
      </c>
      <c r="E852" s="115">
        <f>'LOE Breakdown by Year'!O31</f>
        <v>0</v>
      </c>
      <c r="F852" s="50" t="s">
        <v>100</v>
      </c>
      <c r="G852" s="44">
        <f t="shared" ref="G852:H865" si="533">G32</f>
        <v>9</v>
      </c>
      <c r="H852" s="44">
        <f t="shared" si="533"/>
        <v>2000</v>
      </c>
      <c r="I852" s="44">
        <f t="shared" si="525"/>
        <v>0</v>
      </c>
      <c r="J852" s="115">
        <f>'LOE Breakdown by Year'!O77</f>
        <v>0</v>
      </c>
      <c r="K852" s="44">
        <f t="shared" si="519"/>
        <v>12</v>
      </c>
      <c r="L852" s="44">
        <f t="shared" si="526"/>
        <v>0</v>
      </c>
      <c r="M852" s="115">
        <f>'LOE Breakdown by Year'!O123</f>
        <v>0</v>
      </c>
      <c r="N852" s="44">
        <f t="shared" si="520"/>
        <v>12</v>
      </c>
      <c r="O852" s="44">
        <f t="shared" si="527"/>
        <v>0</v>
      </c>
      <c r="P852" s="115">
        <f>'LOE Breakdown by Year'!O169</f>
        <v>0</v>
      </c>
      <c r="Q852" s="44">
        <f t="shared" si="521"/>
        <v>12</v>
      </c>
      <c r="R852" s="44">
        <f t="shared" si="528"/>
        <v>0</v>
      </c>
      <c r="S852" s="115">
        <f>'LOE Breakdown by Year'!O215</f>
        <v>0</v>
      </c>
      <c r="T852" s="44">
        <f t="shared" si="522"/>
        <v>12</v>
      </c>
      <c r="U852" s="44">
        <f t="shared" si="529"/>
        <v>0</v>
      </c>
      <c r="V852" s="115">
        <f>'LOE Breakdown by Year'!O261</f>
        <v>0</v>
      </c>
      <c r="W852" s="44">
        <f t="shared" si="523"/>
        <v>8</v>
      </c>
      <c r="X852" s="44">
        <f t="shared" si="530"/>
        <v>0</v>
      </c>
      <c r="Y852" s="44">
        <f t="shared" si="531"/>
        <v>0</v>
      </c>
      <c r="Z852" s="44">
        <v>0</v>
      </c>
      <c r="AA852" s="44">
        <f t="shared" si="532"/>
        <v>0</v>
      </c>
    </row>
    <row r="853" spans="1:27">
      <c r="A853" s="595" t="s">
        <v>1203</v>
      </c>
      <c r="B853" s="595">
        <v>70000</v>
      </c>
      <c r="C853" s="595" t="s">
        <v>747</v>
      </c>
      <c r="D853" s="8" t="str">
        <f t="shared" si="517"/>
        <v>US Commodity Logistics Specialist</v>
      </c>
      <c r="E853" s="115">
        <f>'LOE Breakdown by Year'!O32</f>
        <v>0.2</v>
      </c>
      <c r="F853" s="50" t="s">
        <v>100</v>
      </c>
      <c r="G853" s="44">
        <f t="shared" si="533"/>
        <v>9</v>
      </c>
      <c r="H853" s="44">
        <f t="shared" si="533"/>
        <v>2000</v>
      </c>
      <c r="I853" s="44">
        <f t="shared" si="525"/>
        <v>3600</v>
      </c>
      <c r="J853" s="115">
        <f>'LOE Breakdown by Year'!O78</f>
        <v>0.2</v>
      </c>
      <c r="K853" s="44">
        <f t="shared" si="519"/>
        <v>12</v>
      </c>
      <c r="L853" s="44">
        <f t="shared" si="526"/>
        <v>5040</v>
      </c>
      <c r="M853" s="115">
        <f>'LOE Breakdown by Year'!O124</f>
        <v>0.2</v>
      </c>
      <c r="N853" s="44">
        <f t="shared" si="520"/>
        <v>12</v>
      </c>
      <c r="O853" s="44">
        <f t="shared" si="527"/>
        <v>5292</v>
      </c>
      <c r="P853" s="115">
        <f>'LOE Breakdown by Year'!O170</f>
        <v>0.2</v>
      </c>
      <c r="Q853" s="44">
        <f t="shared" si="521"/>
        <v>12</v>
      </c>
      <c r="R853" s="44">
        <f t="shared" si="528"/>
        <v>5556.6</v>
      </c>
      <c r="S853" s="115">
        <f>'LOE Breakdown by Year'!O216</f>
        <v>0.2</v>
      </c>
      <c r="T853" s="44">
        <f t="shared" si="522"/>
        <v>12</v>
      </c>
      <c r="U853" s="44">
        <f t="shared" si="529"/>
        <v>5834.43</v>
      </c>
      <c r="V853" s="115">
        <f>'LOE Breakdown by Year'!O262</f>
        <v>0.2</v>
      </c>
      <c r="W853" s="44">
        <f t="shared" si="523"/>
        <v>8</v>
      </c>
      <c r="X853" s="44">
        <f t="shared" si="530"/>
        <v>4084.1010000000006</v>
      </c>
      <c r="Y853" s="44">
        <f t="shared" si="531"/>
        <v>29407.131000000001</v>
      </c>
      <c r="Z853" s="44">
        <v>0</v>
      </c>
      <c r="AA853" s="44">
        <f t="shared" si="532"/>
        <v>29407.131000000001</v>
      </c>
    </row>
    <row r="854" spans="1:27" hidden="1">
      <c r="A854" s="595" t="s">
        <v>1204</v>
      </c>
      <c r="B854" s="595">
        <v>70000</v>
      </c>
      <c r="C854" s="595" t="s">
        <v>747</v>
      </c>
      <c r="D854" s="8" t="str">
        <f t="shared" si="517"/>
        <v>Warehouse Manager</v>
      </c>
      <c r="E854" s="115">
        <f>'LOE Breakdown by Year'!O33</f>
        <v>0</v>
      </c>
      <c r="F854" s="50" t="s">
        <v>100</v>
      </c>
      <c r="G854" s="44">
        <f t="shared" si="533"/>
        <v>8</v>
      </c>
      <c r="H854" s="44">
        <f t="shared" si="533"/>
        <v>1250</v>
      </c>
      <c r="I854" s="44">
        <f t="shared" si="525"/>
        <v>0</v>
      </c>
      <c r="J854" s="115">
        <f>'LOE Breakdown by Year'!O79</f>
        <v>0</v>
      </c>
      <c r="K854" s="44">
        <f t="shared" si="519"/>
        <v>12</v>
      </c>
      <c r="L854" s="44">
        <f t="shared" si="526"/>
        <v>0</v>
      </c>
      <c r="M854" s="115">
        <f>'LOE Breakdown by Year'!O125</f>
        <v>0</v>
      </c>
      <c r="N854" s="44">
        <f t="shared" si="520"/>
        <v>12</v>
      </c>
      <c r="O854" s="44">
        <f t="shared" si="527"/>
        <v>0</v>
      </c>
      <c r="P854" s="115">
        <f>'LOE Breakdown by Year'!O171</f>
        <v>0</v>
      </c>
      <c r="Q854" s="44">
        <f t="shared" si="521"/>
        <v>12</v>
      </c>
      <c r="R854" s="44">
        <f t="shared" si="528"/>
        <v>0</v>
      </c>
      <c r="S854" s="115">
        <f>'LOE Breakdown by Year'!O217</f>
        <v>0</v>
      </c>
      <c r="T854" s="44">
        <f t="shared" si="522"/>
        <v>12</v>
      </c>
      <c r="U854" s="44">
        <f t="shared" si="529"/>
        <v>0</v>
      </c>
      <c r="V854" s="115">
        <f>'LOE Breakdown by Year'!O263</f>
        <v>0</v>
      </c>
      <c r="W854" s="44">
        <f t="shared" si="523"/>
        <v>8</v>
      </c>
      <c r="X854" s="44">
        <f t="shared" si="530"/>
        <v>0</v>
      </c>
      <c r="Y854" s="44">
        <f t="shared" si="531"/>
        <v>0</v>
      </c>
      <c r="Z854" s="44">
        <v>0</v>
      </c>
      <c r="AA854" s="44">
        <f t="shared" si="532"/>
        <v>0</v>
      </c>
    </row>
    <row r="855" spans="1:27" hidden="1">
      <c r="A855" s="595" t="s">
        <v>1205</v>
      </c>
      <c r="B855" s="595">
        <v>70000</v>
      </c>
      <c r="C855" s="595" t="s">
        <v>747</v>
      </c>
      <c r="D855" s="8" t="str">
        <f t="shared" si="517"/>
        <v>Warehouse Officer - (2 Individuals)</v>
      </c>
      <c r="E855" s="115">
        <f>'LOE Breakdown by Year'!O34</f>
        <v>0</v>
      </c>
      <c r="F855" s="50" t="s">
        <v>100</v>
      </c>
      <c r="G855" s="44">
        <f t="shared" si="533"/>
        <v>8</v>
      </c>
      <c r="H855" s="44">
        <f t="shared" si="533"/>
        <v>1000</v>
      </c>
      <c r="I855" s="44">
        <f t="shared" si="525"/>
        <v>0</v>
      </c>
      <c r="J855" s="115">
        <f>'LOE Breakdown by Year'!O80</f>
        <v>0</v>
      </c>
      <c r="K855" s="44">
        <f t="shared" si="519"/>
        <v>24</v>
      </c>
      <c r="L855" s="44">
        <f t="shared" si="526"/>
        <v>0</v>
      </c>
      <c r="M855" s="115">
        <f>'LOE Breakdown by Year'!O126</f>
        <v>0</v>
      </c>
      <c r="N855" s="44">
        <f t="shared" si="520"/>
        <v>24</v>
      </c>
      <c r="O855" s="44">
        <f t="shared" si="527"/>
        <v>0</v>
      </c>
      <c r="P855" s="115">
        <f>'LOE Breakdown by Year'!O172</f>
        <v>0</v>
      </c>
      <c r="Q855" s="44">
        <f t="shared" si="521"/>
        <v>24</v>
      </c>
      <c r="R855" s="44">
        <f t="shared" si="528"/>
        <v>0</v>
      </c>
      <c r="S855" s="115">
        <f>'LOE Breakdown by Year'!O218</f>
        <v>0</v>
      </c>
      <c r="T855" s="44">
        <f t="shared" si="522"/>
        <v>24</v>
      </c>
      <c r="U855" s="44">
        <f t="shared" si="529"/>
        <v>0</v>
      </c>
      <c r="V855" s="115">
        <f>'LOE Breakdown by Year'!O264</f>
        <v>0</v>
      </c>
      <c r="W855" s="44">
        <f t="shared" si="523"/>
        <v>8</v>
      </c>
      <c r="X855" s="44">
        <f t="shared" si="530"/>
        <v>0</v>
      </c>
      <c r="Y855" s="44">
        <f t="shared" si="531"/>
        <v>0</v>
      </c>
      <c r="Z855" s="44">
        <v>0</v>
      </c>
      <c r="AA855" s="44">
        <f t="shared" si="532"/>
        <v>0</v>
      </c>
    </row>
    <row r="856" spans="1:27" hidden="1">
      <c r="A856" s="595" t="s">
        <v>1206</v>
      </c>
      <c r="B856" s="595">
        <v>70000</v>
      </c>
      <c r="C856" s="595" t="s">
        <v>747</v>
      </c>
      <c r="D856" s="8" t="str">
        <f t="shared" si="517"/>
        <v xml:space="preserve">LRP Technical Specialist </v>
      </c>
      <c r="E856" s="115">
        <f>'LOE Breakdown by Year'!O35</f>
        <v>0</v>
      </c>
      <c r="F856" s="50" t="s">
        <v>100</v>
      </c>
      <c r="G856" s="44">
        <f t="shared" si="533"/>
        <v>8</v>
      </c>
      <c r="H856" s="44">
        <f t="shared" si="533"/>
        <v>1500</v>
      </c>
      <c r="I856" s="44">
        <f t="shared" si="525"/>
        <v>0</v>
      </c>
      <c r="J856" s="115">
        <f>'LOE Breakdown by Year'!O81</f>
        <v>0</v>
      </c>
      <c r="K856" s="44">
        <f t="shared" si="519"/>
        <v>12</v>
      </c>
      <c r="L856" s="44">
        <f t="shared" si="526"/>
        <v>0</v>
      </c>
      <c r="M856" s="115">
        <f>'LOE Breakdown by Year'!O127</f>
        <v>0</v>
      </c>
      <c r="N856" s="44">
        <f t="shared" si="520"/>
        <v>12</v>
      </c>
      <c r="O856" s="44">
        <f t="shared" si="527"/>
        <v>0</v>
      </c>
      <c r="P856" s="115">
        <f>'LOE Breakdown by Year'!O173</f>
        <v>0</v>
      </c>
      <c r="Q856" s="44">
        <f t="shared" si="521"/>
        <v>12</v>
      </c>
      <c r="R856" s="44">
        <f t="shared" si="528"/>
        <v>0</v>
      </c>
      <c r="S856" s="115">
        <f>'LOE Breakdown by Year'!O219</f>
        <v>0</v>
      </c>
      <c r="T856" s="44">
        <f t="shared" si="522"/>
        <v>12</v>
      </c>
      <c r="U856" s="44">
        <f t="shared" si="529"/>
        <v>0</v>
      </c>
      <c r="V856" s="115">
        <f>'LOE Breakdown by Year'!O265</f>
        <v>0</v>
      </c>
      <c r="W856" s="44">
        <f t="shared" si="523"/>
        <v>0</v>
      </c>
      <c r="X856" s="44">
        <f t="shared" si="530"/>
        <v>0</v>
      </c>
      <c r="Y856" s="44">
        <f t="shared" si="531"/>
        <v>0</v>
      </c>
      <c r="Z856" s="44">
        <v>0</v>
      </c>
      <c r="AA856" s="44">
        <f t="shared" si="532"/>
        <v>0</v>
      </c>
    </row>
    <row r="857" spans="1:27" hidden="1">
      <c r="A857" s="595" t="s">
        <v>1207</v>
      </c>
      <c r="B857" s="595">
        <v>70000</v>
      </c>
      <c r="C857" s="595" t="s">
        <v>747</v>
      </c>
      <c r="D857" s="8" t="str">
        <f t="shared" si="517"/>
        <v>Finance &amp; Administration Director</v>
      </c>
      <c r="E857" s="115">
        <f>'LOE Breakdown by Year'!O36</f>
        <v>0</v>
      </c>
      <c r="F857" s="50" t="s">
        <v>100</v>
      </c>
      <c r="G857" s="44">
        <f t="shared" si="533"/>
        <v>9</v>
      </c>
      <c r="H857" s="44">
        <f t="shared" si="533"/>
        <v>5000</v>
      </c>
      <c r="I857" s="44">
        <f t="shared" si="525"/>
        <v>0</v>
      </c>
      <c r="J857" s="115">
        <f>'LOE Breakdown by Year'!O82</f>
        <v>0</v>
      </c>
      <c r="K857" s="44">
        <f t="shared" si="519"/>
        <v>12</v>
      </c>
      <c r="L857" s="44">
        <f t="shared" si="526"/>
        <v>0</v>
      </c>
      <c r="M857" s="115">
        <f>'LOE Breakdown by Year'!O128</f>
        <v>0</v>
      </c>
      <c r="N857" s="44">
        <f t="shared" si="520"/>
        <v>12</v>
      </c>
      <c r="O857" s="44">
        <f t="shared" si="527"/>
        <v>0</v>
      </c>
      <c r="P857" s="115">
        <f>'LOE Breakdown by Year'!O174</f>
        <v>0</v>
      </c>
      <c r="Q857" s="44">
        <f t="shared" si="521"/>
        <v>12</v>
      </c>
      <c r="R857" s="44">
        <f t="shared" si="528"/>
        <v>0</v>
      </c>
      <c r="S857" s="115">
        <f>'LOE Breakdown by Year'!O220</f>
        <v>0</v>
      </c>
      <c r="T857" s="44">
        <f t="shared" si="522"/>
        <v>12</v>
      </c>
      <c r="U857" s="44">
        <f t="shared" si="529"/>
        <v>0</v>
      </c>
      <c r="V857" s="115">
        <f>'LOE Breakdown by Year'!O266</f>
        <v>0</v>
      </c>
      <c r="W857" s="44">
        <f t="shared" si="523"/>
        <v>12</v>
      </c>
      <c r="X857" s="44">
        <f t="shared" si="530"/>
        <v>0</v>
      </c>
      <c r="Y857" s="44">
        <f t="shared" si="531"/>
        <v>0</v>
      </c>
      <c r="Z857" s="44">
        <v>0</v>
      </c>
      <c r="AA857" s="44">
        <f t="shared" si="532"/>
        <v>0</v>
      </c>
    </row>
    <row r="858" spans="1:27" hidden="1">
      <c r="A858" s="595" t="s">
        <v>1208</v>
      </c>
      <c r="B858" s="595">
        <v>70000</v>
      </c>
      <c r="C858" s="595" t="s">
        <v>747</v>
      </c>
      <c r="D858" s="8" t="str">
        <f t="shared" si="517"/>
        <v>Contracts &amp; Compliance Manager</v>
      </c>
      <c r="E858" s="115">
        <f>'LOE Breakdown by Year'!O37</f>
        <v>0</v>
      </c>
      <c r="F858" s="50" t="s">
        <v>100</v>
      </c>
      <c r="G858" s="44">
        <f t="shared" si="533"/>
        <v>9</v>
      </c>
      <c r="H858" s="44">
        <f t="shared" si="533"/>
        <v>2633.3333333333335</v>
      </c>
      <c r="I858" s="44">
        <f t="shared" si="525"/>
        <v>0</v>
      </c>
      <c r="J858" s="115">
        <f>'LOE Breakdown by Year'!O83</f>
        <v>0</v>
      </c>
      <c r="K858" s="44">
        <f t="shared" si="519"/>
        <v>12</v>
      </c>
      <c r="L858" s="44">
        <f t="shared" si="526"/>
        <v>0</v>
      </c>
      <c r="M858" s="115">
        <f>'LOE Breakdown by Year'!O129</f>
        <v>0</v>
      </c>
      <c r="N858" s="44">
        <f t="shared" si="520"/>
        <v>12</v>
      </c>
      <c r="O858" s="44">
        <f t="shared" si="527"/>
        <v>0</v>
      </c>
      <c r="P858" s="115">
        <f>'LOE Breakdown by Year'!O175</f>
        <v>0</v>
      </c>
      <c r="Q858" s="44">
        <f t="shared" si="521"/>
        <v>12</v>
      </c>
      <c r="R858" s="44">
        <f t="shared" si="528"/>
        <v>0</v>
      </c>
      <c r="S858" s="115">
        <f>'LOE Breakdown by Year'!O221</f>
        <v>0</v>
      </c>
      <c r="T858" s="44">
        <f t="shared" si="522"/>
        <v>12</v>
      </c>
      <c r="U858" s="44">
        <f t="shared" si="529"/>
        <v>0</v>
      </c>
      <c r="V858" s="115">
        <f>'LOE Breakdown by Year'!O267</f>
        <v>0</v>
      </c>
      <c r="W858" s="44">
        <f t="shared" si="523"/>
        <v>11</v>
      </c>
      <c r="X858" s="44">
        <f t="shared" si="530"/>
        <v>0</v>
      </c>
      <c r="Y858" s="44">
        <f t="shared" si="531"/>
        <v>0</v>
      </c>
      <c r="Z858" s="44">
        <v>0</v>
      </c>
      <c r="AA858" s="44">
        <f t="shared" si="532"/>
        <v>0</v>
      </c>
    </row>
    <row r="859" spans="1:27" hidden="1">
      <c r="A859" s="595" t="s">
        <v>1209</v>
      </c>
      <c r="B859" s="595">
        <v>70000</v>
      </c>
      <c r="C859" s="595" t="s">
        <v>747</v>
      </c>
      <c r="D859" s="8" t="str">
        <f t="shared" si="517"/>
        <v>Grants &amp; Procurement Specialist</v>
      </c>
      <c r="E859" s="115">
        <f>'LOE Breakdown by Year'!O38</f>
        <v>0</v>
      </c>
      <c r="F859" s="50" t="s">
        <v>100</v>
      </c>
      <c r="G859" s="44">
        <f t="shared" si="533"/>
        <v>6</v>
      </c>
      <c r="H859" s="44">
        <f t="shared" si="533"/>
        <v>1500</v>
      </c>
      <c r="I859" s="44">
        <f t="shared" si="525"/>
        <v>0</v>
      </c>
      <c r="J859" s="115">
        <f>'LOE Breakdown by Year'!O84</f>
        <v>0</v>
      </c>
      <c r="K859" s="44">
        <f t="shared" si="519"/>
        <v>12</v>
      </c>
      <c r="L859" s="44">
        <f t="shared" si="526"/>
        <v>0</v>
      </c>
      <c r="M859" s="115">
        <f>'LOE Breakdown by Year'!O130</f>
        <v>0</v>
      </c>
      <c r="N859" s="44">
        <f t="shared" si="520"/>
        <v>12</v>
      </c>
      <c r="O859" s="44">
        <f t="shared" si="527"/>
        <v>0</v>
      </c>
      <c r="P859" s="115">
        <f>'LOE Breakdown by Year'!O176</f>
        <v>0</v>
      </c>
      <c r="Q859" s="44">
        <f t="shared" si="521"/>
        <v>12</v>
      </c>
      <c r="R859" s="44">
        <f t="shared" si="528"/>
        <v>0</v>
      </c>
      <c r="S859" s="115">
        <f>'LOE Breakdown by Year'!O222</f>
        <v>0</v>
      </c>
      <c r="T859" s="44">
        <f t="shared" si="522"/>
        <v>12</v>
      </c>
      <c r="U859" s="44">
        <f t="shared" si="529"/>
        <v>0</v>
      </c>
      <c r="V859" s="115">
        <f>'LOE Breakdown by Year'!O268</f>
        <v>0</v>
      </c>
      <c r="W859" s="44">
        <f t="shared" si="523"/>
        <v>6</v>
      </c>
      <c r="X859" s="44">
        <f t="shared" si="530"/>
        <v>0</v>
      </c>
      <c r="Y859" s="44">
        <f t="shared" si="531"/>
        <v>0</v>
      </c>
      <c r="Z859" s="44">
        <v>0</v>
      </c>
      <c r="AA859" s="44">
        <f t="shared" si="532"/>
        <v>0</v>
      </c>
    </row>
    <row r="860" spans="1:27" hidden="1">
      <c r="A860" s="595" t="s">
        <v>1210</v>
      </c>
      <c r="B860" s="595">
        <v>70000</v>
      </c>
      <c r="C860" s="595" t="s">
        <v>747</v>
      </c>
      <c r="D860" s="8" t="str">
        <f t="shared" si="517"/>
        <v>Grants &amp; Procurement Officer</v>
      </c>
      <c r="E860" s="115">
        <f>'LOE Breakdown by Year'!O39</f>
        <v>0</v>
      </c>
      <c r="F860" s="50" t="s">
        <v>100</v>
      </c>
      <c r="G860" s="44">
        <f t="shared" si="533"/>
        <v>2</v>
      </c>
      <c r="H860" s="44">
        <f t="shared" si="533"/>
        <v>1000</v>
      </c>
      <c r="I860" s="44">
        <f t="shared" si="525"/>
        <v>0</v>
      </c>
      <c r="J860" s="115">
        <f>'LOE Breakdown by Year'!O85</f>
        <v>0</v>
      </c>
      <c r="K860" s="44">
        <f t="shared" si="519"/>
        <v>12</v>
      </c>
      <c r="L860" s="44">
        <f t="shared" si="526"/>
        <v>0</v>
      </c>
      <c r="M860" s="115">
        <f>'LOE Breakdown by Year'!O131</f>
        <v>0</v>
      </c>
      <c r="N860" s="44">
        <f t="shared" si="520"/>
        <v>12</v>
      </c>
      <c r="O860" s="44">
        <f t="shared" si="527"/>
        <v>0</v>
      </c>
      <c r="P860" s="115">
        <f>'LOE Breakdown by Year'!O177</f>
        <v>0</v>
      </c>
      <c r="Q860" s="44">
        <f t="shared" si="521"/>
        <v>12</v>
      </c>
      <c r="R860" s="44">
        <f t="shared" si="528"/>
        <v>0</v>
      </c>
      <c r="S860" s="115">
        <f>'LOE Breakdown by Year'!O223</f>
        <v>0</v>
      </c>
      <c r="T860" s="44">
        <f t="shared" si="522"/>
        <v>12</v>
      </c>
      <c r="U860" s="44">
        <f t="shared" si="529"/>
        <v>0</v>
      </c>
      <c r="V860" s="115">
        <f>'LOE Breakdown by Year'!O269</f>
        <v>0</v>
      </c>
      <c r="W860" s="44">
        <f t="shared" si="523"/>
        <v>3</v>
      </c>
      <c r="X860" s="44">
        <f t="shared" si="530"/>
        <v>0</v>
      </c>
      <c r="Y860" s="44">
        <f t="shared" si="531"/>
        <v>0</v>
      </c>
      <c r="Z860" s="44">
        <v>0</v>
      </c>
      <c r="AA860" s="44">
        <f t="shared" si="532"/>
        <v>0</v>
      </c>
    </row>
    <row r="861" spans="1:27" hidden="1">
      <c r="A861" s="595" t="s">
        <v>1211</v>
      </c>
      <c r="B861" s="595">
        <v>70000</v>
      </c>
      <c r="C861" s="595" t="s">
        <v>747</v>
      </c>
      <c r="D861" s="8" t="str">
        <f t="shared" si="517"/>
        <v>Finance Officer</v>
      </c>
      <c r="E861" s="115">
        <f>'LOE Breakdown by Year'!O40</f>
        <v>0</v>
      </c>
      <c r="F861" s="50" t="s">
        <v>100</v>
      </c>
      <c r="G861" s="44">
        <f t="shared" si="533"/>
        <v>9</v>
      </c>
      <c r="H861" s="44">
        <f t="shared" si="533"/>
        <v>1250</v>
      </c>
      <c r="I861" s="44">
        <f t="shared" si="525"/>
        <v>0</v>
      </c>
      <c r="J861" s="115">
        <f>'LOE Breakdown by Year'!O86</f>
        <v>0</v>
      </c>
      <c r="K861" s="44">
        <f t="shared" si="519"/>
        <v>12</v>
      </c>
      <c r="L861" s="44">
        <f t="shared" si="526"/>
        <v>0</v>
      </c>
      <c r="M861" s="115">
        <f>'LOE Breakdown by Year'!O132</f>
        <v>0</v>
      </c>
      <c r="N861" s="44">
        <f t="shared" si="520"/>
        <v>12</v>
      </c>
      <c r="O861" s="44">
        <f t="shared" si="527"/>
        <v>0</v>
      </c>
      <c r="P861" s="115">
        <f>'LOE Breakdown by Year'!O178</f>
        <v>0</v>
      </c>
      <c r="Q861" s="44">
        <f t="shared" si="521"/>
        <v>12</v>
      </c>
      <c r="R861" s="44">
        <f t="shared" si="528"/>
        <v>0</v>
      </c>
      <c r="S861" s="115">
        <f>'LOE Breakdown by Year'!O224</f>
        <v>0</v>
      </c>
      <c r="T861" s="44">
        <f t="shared" si="522"/>
        <v>12</v>
      </c>
      <c r="U861" s="44">
        <f t="shared" si="529"/>
        <v>0</v>
      </c>
      <c r="V861" s="115">
        <f>'LOE Breakdown by Year'!O270</f>
        <v>0</v>
      </c>
      <c r="W861" s="44">
        <f t="shared" si="523"/>
        <v>11</v>
      </c>
      <c r="X861" s="44">
        <f t="shared" si="530"/>
        <v>0</v>
      </c>
      <c r="Y861" s="44">
        <f t="shared" si="531"/>
        <v>0</v>
      </c>
      <c r="Z861" s="44">
        <v>0</v>
      </c>
      <c r="AA861" s="44">
        <f t="shared" si="532"/>
        <v>0</v>
      </c>
    </row>
    <row r="862" spans="1:27" hidden="1">
      <c r="A862" s="595" t="s">
        <v>1212</v>
      </c>
      <c r="B862" s="595">
        <v>70000</v>
      </c>
      <c r="C862" s="595" t="s">
        <v>747</v>
      </c>
      <c r="D862" s="8" t="str">
        <f t="shared" si="517"/>
        <v>Accountant</v>
      </c>
      <c r="E862" s="115">
        <f>'LOE Breakdown by Year'!O41</f>
        <v>0</v>
      </c>
      <c r="F862" s="50" t="s">
        <v>100</v>
      </c>
      <c r="G862" s="44">
        <f t="shared" si="533"/>
        <v>3</v>
      </c>
      <c r="H862" s="44">
        <f t="shared" si="533"/>
        <v>1000</v>
      </c>
      <c r="I862" s="44">
        <f t="shared" si="525"/>
        <v>0</v>
      </c>
      <c r="J862" s="115">
        <f>'LOE Breakdown by Year'!O87</f>
        <v>0</v>
      </c>
      <c r="K862" s="44">
        <f t="shared" si="519"/>
        <v>12</v>
      </c>
      <c r="L862" s="44">
        <f t="shared" si="526"/>
        <v>0</v>
      </c>
      <c r="M862" s="115">
        <f>'LOE Breakdown by Year'!O133</f>
        <v>0</v>
      </c>
      <c r="N862" s="44">
        <f t="shared" si="520"/>
        <v>12</v>
      </c>
      <c r="O862" s="44">
        <f t="shared" si="527"/>
        <v>0</v>
      </c>
      <c r="P862" s="115">
        <f>'LOE Breakdown by Year'!O179</f>
        <v>0</v>
      </c>
      <c r="Q862" s="44">
        <f t="shared" si="521"/>
        <v>12</v>
      </c>
      <c r="R862" s="44">
        <f t="shared" si="528"/>
        <v>0</v>
      </c>
      <c r="S862" s="115">
        <f>'LOE Breakdown by Year'!O225</f>
        <v>0</v>
      </c>
      <c r="T862" s="44">
        <f t="shared" si="522"/>
        <v>12</v>
      </c>
      <c r="U862" s="44">
        <f t="shared" si="529"/>
        <v>0</v>
      </c>
      <c r="V862" s="115">
        <f>'LOE Breakdown by Year'!O271</f>
        <v>0</v>
      </c>
      <c r="W862" s="44">
        <f t="shared" si="523"/>
        <v>9</v>
      </c>
      <c r="X862" s="44">
        <f t="shared" si="530"/>
        <v>0</v>
      </c>
      <c r="Y862" s="44">
        <f t="shared" si="531"/>
        <v>0</v>
      </c>
      <c r="Z862" s="44">
        <v>0</v>
      </c>
      <c r="AA862" s="44">
        <f t="shared" si="532"/>
        <v>0</v>
      </c>
    </row>
    <row r="863" spans="1:27" hidden="1">
      <c r="A863" s="595" t="s">
        <v>1213</v>
      </c>
      <c r="B863" s="595">
        <v>70000</v>
      </c>
      <c r="C863" s="595" t="s">
        <v>747</v>
      </c>
      <c r="D863" s="8" t="str">
        <f t="shared" si="517"/>
        <v>Operation &amp; HR Manager</v>
      </c>
      <c r="E863" s="115">
        <f>'LOE Breakdown by Year'!O42</f>
        <v>0</v>
      </c>
      <c r="F863" s="50" t="s">
        <v>100</v>
      </c>
      <c r="G863" s="44">
        <f t="shared" si="533"/>
        <v>9</v>
      </c>
      <c r="H863" s="44">
        <f t="shared" si="533"/>
        <v>1800</v>
      </c>
      <c r="I863" s="44">
        <f t="shared" si="525"/>
        <v>0</v>
      </c>
      <c r="J863" s="115">
        <f>'LOE Breakdown by Year'!O88</f>
        <v>0</v>
      </c>
      <c r="K863" s="44">
        <f t="shared" si="519"/>
        <v>12</v>
      </c>
      <c r="L863" s="44">
        <f t="shared" si="526"/>
        <v>0</v>
      </c>
      <c r="M863" s="115">
        <f>'LOE Breakdown by Year'!O134</f>
        <v>0</v>
      </c>
      <c r="N863" s="44">
        <f t="shared" si="520"/>
        <v>12</v>
      </c>
      <c r="O863" s="44">
        <f t="shared" si="527"/>
        <v>0</v>
      </c>
      <c r="P863" s="115">
        <f>'LOE Breakdown by Year'!O180</f>
        <v>0</v>
      </c>
      <c r="Q863" s="44">
        <f t="shared" si="521"/>
        <v>12</v>
      </c>
      <c r="R863" s="44">
        <f t="shared" si="528"/>
        <v>0</v>
      </c>
      <c r="S863" s="115">
        <f>'LOE Breakdown by Year'!O226</f>
        <v>0</v>
      </c>
      <c r="T863" s="44">
        <f t="shared" si="522"/>
        <v>12</v>
      </c>
      <c r="U863" s="44">
        <f t="shared" si="529"/>
        <v>0</v>
      </c>
      <c r="V863" s="115">
        <f>'LOE Breakdown by Year'!O272</f>
        <v>0</v>
      </c>
      <c r="W863" s="44">
        <f t="shared" si="523"/>
        <v>11</v>
      </c>
      <c r="X863" s="44">
        <f t="shared" si="530"/>
        <v>0</v>
      </c>
      <c r="Y863" s="44">
        <f t="shared" si="531"/>
        <v>0</v>
      </c>
      <c r="Z863" s="44">
        <v>0</v>
      </c>
      <c r="AA863" s="44">
        <f t="shared" si="532"/>
        <v>0</v>
      </c>
    </row>
    <row r="864" spans="1:27" hidden="1">
      <c r="A864" s="595" t="s">
        <v>1214</v>
      </c>
      <c r="B864" s="595">
        <v>70000</v>
      </c>
      <c r="C864" s="595" t="s">
        <v>747</v>
      </c>
      <c r="D864" s="8" t="str">
        <f t="shared" si="517"/>
        <v>Administrative Assistant - (2 Individuals)</v>
      </c>
      <c r="E864" s="115">
        <f>'LOE Breakdown by Year'!O43</f>
        <v>0</v>
      </c>
      <c r="F864" s="50" t="s">
        <v>100</v>
      </c>
      <c r="G864" s="44">
        <f t="shared" si="533"/>
        <v>6</v>
      </c>
      <c r="H864" s="44">
        <f t="shared" si="533"/>
        <v>750</v>
      </c>
      <c r="I864" s="44">
        <f t="shared" si="525"/>
        <v>0</v>
      </c>
      <c r="J864" s="115">
        <f>'LOE Breakdown by Year'!O89</f>
        <v>0</v>
      </c>
      <c r="K864" s="44">
        <f t="shared" si="519"/>
        <v>24</v>
      </c>
      <c r="L864" s="44">
        <f t="shared" si="526"/>
        <v>0</v>
      </c>
      <c r="M864" s="115">
        <f>'LOE Breakdown by Year'!O135</f>
        <v>0</v>
      </c>
      <c r="N864" s="44">
        <f t="shared" si="520"/>
        <v>24</v>
      </c>
      <c r="O864" s="44">
        <f t="shared" si="527"/>
        <v>0</v>
      </c>
      <c r="P864" s="115">
        <f>'LOE Breakdown by Year'!O181</f>
        <v>0</v>
      </c>
      <c r="Q864" s="44">
        <f t="shared" si="521"/>
        <v>24</v>
      </c>
      <c r="R864" s="44">
        <f t="shared" si="528"/>
        <v>0</v>
      </c>
      <c r="S864" s="115">
        <f>'LOE Breakdown by Year'!O227</f>
        <v>0</v>
      </c>
      <c r="T864" s="44">
        <f t="shared" si="522"/>
        <v>24</v>
      </c>
      <c r="U864" s="44">
        <f t="shared" si="529"/>
        <v>0</v>
      </c>
      <c r="V864" s="115">
        <f>'LOE Breakdown by Year'!O273</f>
        <v>0</v>
      </c>
      <c r="W864" s="44">
        <f t="shared" si="523"/>
        <v>10</v>
      </c>
      <c r="X864" s="44">
        <f t="shared" si="530"/>
        <v>0</v>
      </c>
      <c r="Y864" s="44">
        <f t="shared" si="531"/>
        <v>0</v>
      </c>
      <c r="Z864" s="44">
        <v>0</v>
      </c>
      <c r="AA864" s="44">
        <f t="shared" si="532"/>
        <v>0</v>
      </c>
    </row>
    <row r="865" spans="1:27" hidden="1">
      <c r="A865" s="595" t="s">
        <v>1215</v>
      </c>
      <c r="B865" s="595">
        <v>70000</v>
      </c>
      <c r="C865" s="595" t="s">
        <v>747</v>
      </c>
      <c r="D865" s="8" t="str">
        <f t="shared" si="517"/>
        <v>Driver - (2 Individuals)</v>
      </c>
      <c r="E865" s="115">
        <f>'LOE Breakdown by Year'!O44</f>
        <v>0</v>
      </c>
      <c r="F865" s="50" t="s">
        <v>100</v>
      </c>
      <c r="G865" s="44">
        <f t="shared" si="533"/>
        <v>6</v>
      </c>
      <c r="H865" s="44">
        <f t="shared" si="533"/>
        <v>500</v>
      </c>
      <c r="I865" s="44">
        <f t="shared" si="525"/>
        <v>0</v>
      </c>
      <c r="J865" s="115">
        <f>'LOE Breakdown by Year'!O90</f>
        <v>0</v>
      </c>
      <c r="K865" s="44">
        <f t="shared" si="519"/>
        <v>24</v>
      </c>
      <c r="L865" s="44">
        <f t="shared" si="526"/>
        <v>0</v>
      </c>
      <c r="M865" s="115">
        <f>'LOE Breakdown by Year'!O136</f>
        <v>0</v>
      </c>
      <c r="N865" s="44">
        <f t="shared" si="520"/>
        <v>24</v>
      </c>
      <c r="O865" s="44">
        <f t="shared" si="527"/>
        <v>0</v>
      </c>
      <c r="P865" s="115">
        <f>'LOE Breakdown by Year'!O182</f>
        <v>0</v>
      </c>
      <c r="Q865" s="44">
        <f t="shared" si="521"/>
        <v>24</v>
      </c>
      <c r="R865" s="44">
        <f t="shared" si="528"/>
        <v>0</v>
      </c>
      <c r="S865" s="115">
        <f>'LOE Breakdown by Year'!O228</f>
        <v>0</v>
      </c>
      <c r="T865" s="44">
        <f t="shared" si="522"/>
        <v>24</v>
      </c>
      <c r="U865" s="44">
        <f t="shared" si="529"/>
        <v>0</v>
      </c>
      <c r="V865" s="115">
        <f>'LOE Breakdown by Year'!O274</f>
        <v>0</v>
      </c>
      <c r="W865" s="44">
        <f t="shared" si="523"/>
        <v>18</v>
      </c>
      <c r="X865" s="44">
        <f t="shared" si="530"/>
        <v>0</v>
      </c>
      <c r="Y865" s="44">
        <f t="shared" si="531"/>
        <v>0</v>
      </c>
      <c r="Z865" s="44">
        <v>0</v>
      </c>
      <c r="AA865" s="44">
        <f t="shared" si="532"/>
        <v>0</v>
      </c>
    </row>
    <row r="866" spans="1:27">
      <c r="A866" s="607"/>
      <c r="B866" s="607"/>
      <c r="C866" s="607"/>
      <c r="D866" s="41" t="s">
        <v>470</v>
      </c>
      <c r="E866" s="127"/>
      <c r="F866" s="46"/>
      <c r="G866" s="47"/>
      <c r="H866" s="47"/>
      <c r="I866" s="48">
        <f>SUM(I832:I865)</f>
        <v>5550</v>
      </c>
      <c r="J866" s="127"/>
      <c r="K866" s="48"/>
      <c r="L866" s="48">
        <f>SUM(L832:L865)</f>
        <v>8505</v>
      </c>
      <c r="M866" s="127"/>
      <c r="N866" s="48"/>
      <c r="O866" s="48">
        <f>SUM(O832:O865)</f>
        <v>10087.875</v>
      </c>
      <c r="P866" s="127"/>
      <c r="Q866" s="48"/>
      <c r="R866" s="48">
        <f>SUM(R832:R865)</f>
        <v>11460.487499999999</v>
      </c>
      <c r="S866" s="127"/>
      <c r="T866" s="48"/>
      <c r="U866" s="48">
        <f>SUM(U832:U865)</f>
        <v>11486.534062499999</v>
      </c>
      <c r="V866" s="127"/>
      <c r="W866" s="48"/>
      <c r="X866" s="48">
        <f>SUM(X832:X865)</f>
        <v>7147.1767500000005</v>
      </c>
      <c r="Y866" s="48">
        <f>SUM(Y832:Y865)</f>
        <v>54237.073312499997</v>
      </c>
      <c r="Z866" s="48">
        <f>SUM(Z832:Z865)</f>
        <v>0</v>
      </c>
      <c r="AA866" s="48">
        <f>SUM(AA832:AA865)</f>
        <v>54237.073312499997</v>
      </c>
    </row>
    <row r="867" spans="1:27">
      <c r="A867" s="608"/>
      <c r="B867" s="608"/>
      <c r="C867" s="608"/>
      <c r="D867" s="100"/>
      <c r="E867" s="128"/>
      <c r="F867" s="81"/>
      <c r="G867" s="63"/>
      <c r="H867" s="63"/>
      <c r="I867" s="63"/>
      <c r="J867" s="128"/>
      <c r="K867" s="63"/>
      <c r="L867" s="63"/>
      <c r="M867" s="128"/>
      <c r="N867" s="63"/>
      <c r="O867" s="63"/>
      <c r="P867" s="128"/>
      <c r="Q867" s="63"/>
      <c r="R867" s="63"/>
      <c r="S867" s="128"/>
      <c r="T867" s="63"/>
      <c r="U867" s="63"/>
      <c r="V867" s="128"/>
      <c r="W867" s="63"/>
      <c r="X867" s="63"/>
      <c r="Y867" s="63"/>
      <c r="Z867" s="63"/>
      <c r="AA867" s="63"/>
    </row>
    <row r="868" spans="1:27">
      <c r="A868" s="607"/>
      <c r="B868" s="607"/>
      <c r="C868" s="607"/>
      <c r="D868" s="41" t="s">
        <v>471</v>
      </c>
      <c r="E868" s="127"/>
      <c r="F868" s="46"/>
      <c r="G868" s="47"/>
      <c r="H868" s="47"/>
      <c r="I868" s="48"/>
      <c r="J868" s="127"/>
      <c r="K868" s="48"/>
      <c r="L868" s="48"/>
      <c r="M868" s="127"/>
      <c r="N868" s="48"/>
      <c r="O868" s="48"/>
      <c r="P868" s="127"/>
      <c r="Q868" s="48"/>
      <c r="R868" s="48"/>
      <c r="S868" s="127"/>
      <c r="T868" s="48"/>
      <c r="U868" s="48"/>
      <c r="V868" s="127"/>
      <c r="W868" s="48"/>
      <c r="X868" s="48"/>
      <c r="Y868" s="48"/>
      <c r="Z868" s="48"/>
      <c r="AA868" s="48"/>
    </row>
    <row r="869" spans="1:27">
      <c r="A869" s="591" t="s">
        <v>1216</v>
      </c>
      <c r="B869" s="591" t="s">
        <v>791</v>
      </c>
      <c r="C869" s="591" t="s">
        <v>747</v>
      </c>
      <c r="D869" s="8" t="str">
        <f>D56</f>
        <v>Fringe Benefits CCN - Honduras</v>
      </c>
      <c r="E869" s="116"/>
      <c r="F869" s="82" t="str">
        <f>F56</f>
        <v>%</v>
      </c>
      <c r="G869" s="44">
        <f>G56</f>
        <v>0</v>
      </c>
      <c r="H869" s="60">
        <f>H56</f>
        <v>0.48259999999999997</v>
      </c>
      <c r="I869" s="44">
        <f>(SUM(I832:I865))*$H$869</f>
        <v>2678.43</v>
      </c>
      <c r="J869" s="116"/>
      <c r="K869" s="44">
        <f>K56</f>
        <v>0</v>
      </c>
      <c r="L869" s="44">
        <f>(SUM(L832:L865))*$H$869</f>
        <v>4104.5129999999999</v>
      </c>
      <c r="M869" s="116"/>
      <c r="N869" s="44">
        <f>N56</f>
        <v>0</v>
      </c>
      <c r="O869" s="44">
        <f>(SUM(O832:O865))*$H$869</f>
        <v>4868.4084750000002</v>
      </c>
      <c r="P869" s="116"/>
      <c r="Q869" s="44">
        <f>Q56</f>
        <v>0</v>
      </c>
      <c r="R869" s="44">
        <f>(SUM(R832:R865))*$H$869</f>
        <v>5530.8312674999997</v>
      </c>
      <c r="S869" s="116"/>
      <c r="T869" s="44">
        <f>T56</f>
        <v>0</v>
      </c>
      <c r="U869" s="44">
        <f>(SUM(U832:U865))*$H$869</f>
        <v>5543.4013385624994</v>
      </c>
      <c r="V869" s="116"/>
      <c r="W869" s="44">
        <f>W56</f>
        <v>0</v>
      </c>
      <c r="X869" s="44">
        <f>(SUM(X832:X865))*$H$869</f>
        <v>3449.2274995500002</v>
      </c>
      <c r="Y869" s="44">
        <f t="shared" ref="Y869" si="534">SUM(R869,O869,L869,I869,U869,X869)</f>
        <v>26174.811580612502</v>
      </c>
      <c r="Z869" s="63">
        <v>0</v>
      </c>
      <c r="AA869" s="44">
        <f>SUM(Y869:Z869)</f>
        <v>26174.811580612502</v>
      </c>
    </row>
    <row r="870" spans="1:27">
      <c r="A870" s="607"/>
      <c r="B870" s="607"/>
      <c r="C870" s="607"/>
      <c r="D870" s="41" t="s">
        <v>472</v>
      </c>
      <c r="E870" s="127"/>
      <c r="F870" s="46"/>
      <c r="G870" s="47"/>
      <c r="H870" s="47"/>
      <c r="I870" s="48">
        <f>SUM(I869:I869)</f>
        <v>2678.43</v>
      </c>
      <c r="J870" s="127"/>
      <c r="K870" s="48"/>
      <c r="L870" s="48">
        <f>SUM(L869:L869)</f>
        <v>4104.5129999999999</v>
      </c>
      <c r="M870" s="127"/>
      <c r="N870" s="48"/>
      <c r="O870" s="48">
        <f>SUM(O869:O869)</f>
        <v>4868.4084750000002</v>
      </c>
      <c r="P870" s="127"/>
      <c r="Q870" s="48"/>
      <c r="R870" s="48">
        <f>SUM(R869:R869)</f>
        <v>5530.8312674999997</v>
      </c>
      <c r="S870" s="127"/>
      <c r="T870" s="48"/>
      <c r="U870" s="48">
        <f>SUM(U869:U869)</f>
        <v>5543.4013385624994</v>
      </c>
      <c r="V870" s="127"/>
      <c r="W870" s="48"/>
      <c r="X870" s="48">
        <f>SUM(X869:X869)</f>
        <v>3449.2274995500002</v>
      </c>
      <c r="Y870" s="48">
        <f>SUM(Y869:Y869)</f>
        <v>26174.811580612502</v>
      </c>
      <c r="Z870" s="48">
        <f>SUM(Z869:Z869)</f>
        <v>0</v>
      </c>
      <c r="AA870" s="48">
        <f>SUM(AA869:AA869)</f>
        <v>26174.811580612502</v>
      </c>
    </row>
    <row r="871" spans="1:27">
      <c r="A871" s="608"/>
      <c r="B871" s="608"/>
      <c r="C871" s="608"/>
      <c r="D871" s="100"/>
      <c r="E871" s="128"/>
      <c r="F871" s="81"/>
      <c r="G871" s="63"/>
      <c r="H871" s="63"/>
      <c r="I871" s="63"/>
      <c r="J871" s="128"/>
      <c r="K871" s="63"/>
      <c r="L871" s="63"/>
      <c r="M871" s="128"/>
      <c r="N871" s="63"/>
      <c r="O871" s="63"/>
      <c r="P871" s="128"/>
      <c r="Q871" s="63"/>
      <c r="R871" s="63"/>
      <c r="S871" s="128"/>
      <c r="T871" s="63"/>
      <c r="U871" s="63"/>
      <c r="V871" s="128"/>
      <c r="W871" s="63"/>
      <c r="X871" s="63"/>
      <c r="Y871" s="63"/>
      <c r="Z871" s="63"/>
      <c r="AA871" s="63"/>
    </row>
    <row r="872" spans="1:27">
      <c r="A872" s="607"/>
      <c r="B872" s="607"/>
      <c r="C872" s="607"/>
      <c r="D872" s="41" t="s">
        <v>473</v>
      </c>
      <c r="E872" s="127"/>
      <c r="F872" s="46"/>
      <c r="G872" s="47"/>
      <c r="H872" s="47"/>
      <c r="I872" s="47"/>
      <c r="J872" s="127"/>
      <c r="K872" s="47"/>
      <c r="L872" s="47"/>
      <c r="M872" s="127"/>
      <c r="N872" s="47"/>
      <c r="O872" s="47"/>
      <c r="P872" s="127"/>
      <c r="Q872" s="47"/>
      <c r="R872" s="47"/>
      <c r="S872" s="127"/>
      <c r="T872" s="47"/>
      <c r="U872" s="47"/>
      <c r="V872" s="127"/>
      <c r="W872" s="47"/>
      <c r="X872" s="47"/>
      <c r="Y872" s="47"/>
      <c r="Z872" s="47"/>
      <c r="AA872" s="47"/>
    </row>
    <row r="873" spans="1:27">
      <c r="A873" s="591" t="s">
        <v>1363</v>
      </c>
      <c r="B873" s="591" t="s">
        <v>1265</v>
      </c>
      <c r="C873" s="591" t="s">
        <v>747</v>
      </c>
      <c r="D873" s="8" t="s">
        <v>160</v>
      </c>
      <c r="F873" s="8" t="s">
        <v>100</v>
      </c>
      <c r="G873" s="44">
        <v>3</v>
      </c>
      <c r="H873" s="44">
        <v>40</v>
      </c>
      <c r="I873" s="44">
        <f>G873*H873</f>
        <v>120</v>
      </c>
      <c r="J873" s="44"/>
      <c r="K873" s="44">
        <v>12</v>
      </c>
      <c r="L873" s="44">
        <f>H873*K873*$E$6</f>
        <v>504</v>
      </c>
      <c r="M873" s="123"/>
      <c r="N873" s="44">
        <v>12</v>
      </c>
      <c r="O873" s="44">
        <f>H873*N873*$E$6*$E$6</f>
        <v>529.20000000000005</v>
      </c>
      <c r="P873" s="123"/>
      <c r="Q873" s="44">
        <v>12</v>
      </c>
      <c r="R873" s="44">
        <f>H873*Q873*$E$6*$E$6*$E$6</f>
        <v>555.66000000000008</v>
      </c>
      <c r="S873" s="123"/>
      <c r="T873" s="44">
        <v>12</v>
      </c>
      <c r="U873" s="44">
        <f>H873*T873*$E$6*$E$6*$E$6*$E$6</f>
        <v>583.4430000000001</v>
      </c>
      <c r="V873" s="123"/>
      <c r="W873" s="44">
        <v>9</v>
      </c>
      <c r="X873" s="44">
        <f t="shared" ref="X873" si="535">W873*H873*$E$6*$E$6*$E$6*$E$6*$E$6</f>
        <v>459.46136250000012</v>
      </c>
      <c r="Y873" s="44">
        <f t="shared" ref="Y873" si="536">SUM(R873,O873,L873,I873,U873,X873)</f>
        <v>2751.7643625000005</v>
      </c>
      <c r="Z873" s="44" t="s">
        <v>149</v>
      </c>
      <c r="AA873" s="44">
        <f>SUM(Y873:Z873)</f>
        <v>2751.7643625000005</v>
      </c>
    </row>
    <row r="874" spans="1:27">
      <c r="A874" s="591" t="s">
        <v>1364</v>
      </c>
      <c r="B874" s="591" t="s">
        <v>1265</v>
      </c>
      <c r="C874" s="591" t="s">
        <v>747</v>
      </c>
      <c r="D874" s="8" t="s">
        <v>474</v>
      </c>
      <c r="F874" s="8" t="s">
        <v>148</v>
      </c>
      <c r="G874" s="44">
        <v>2</v>
      </c>
      <c r="H874" s="44">
        <v>35</v>
      </c>
      <c r="I874" s="44">
        <f>G874*H874</f>
        <v>70</v>
      </c>
      <c r="J874" s="123"/>
      <c r="K874" s="44">
        <v>2</v>
      </c>
      <c r="L874" s="44">
        <f t="shared" ref="L874:L875" si="537">H874*K874*$E$6</f>
        <v>73.5</v>
      </c>
      <c r="M874" s="123"/>
      <c r="N874" s="44">
        <v>2</v>
      </c>
      <c r="O874" s="44">
        <f t="shared" ref="O874:O875" si="538">H874*N874*$E$6*$E$6</f>
        <v>77.174999999999997</v>
      </c>
      <c r="P874" s="123"/>
      <c r="Q874" s="44">
        <v>2</v>
      </c>
      <c r="R874" s="44">
        <f t="shared" ref="R874:R875" si="539">H874*Q874*$E$6*$E$6*$E$6</f>
        <v>81.033749999999998</v>
      </c>
      <c r="S874" s="123"/>
      <c r="T874" s="44">
        <v>2</v>
      </c>
      <c r="U874" s="44">
        <f t="shared" ref="U874:U875" si="540">T874*H874*$E$6*$E$6*$E$6*$E$6</f>
        <v>85.085437499999998</v>
      </c>
      <c r="V874" s="123"/>
      <c r="W874" s="44">
        <v>2</v>
      </c>
      <c r="X874" s="44">
        <f>W874*H874*$E$6*$E$6*$E$6*$E$6*$E$6</f>
        <v>89.339709374999998</v>
      </c>
      <c r="Y874" s="44">
        <f>SUM(R874,O874,L874,I874,U874,X874)</f>
        <v>476.133896875</v>
      </c>
      <c r="Z874" s="44" t="s">
        <v>149</v>
      </c>
      <c r="AA874" s="44">
        <f>SUM(Y874:Z874)</f>
        <v>476.133896875</v>
      </c>
    </row>
    <row r="875" spans="1:27" ht="25.2">
      <c r="A875" s="591" t="s">
        <v>1364</v>
      </c>
      <c r="B875" s="45" t="s">
        <v>794</v>
      </c>
      <c r="C875" s="591" t="s">
        <v>747</v>
      </c>
      <c r="D875" s="8" t="s">
        <v>475</v>
      </c>
      <c r="F875" s="8" t="s">
        <v>151</v>
      </c>
      <c r="G875" s="44">
        <f>2*G874</f>
        <v>4</v>
      </c>
      <c r="H875" s="44">
        <f xml:space="preserve"> 75 +  + (0.5*80)</f>
        <v>115</v>
      </c>
      <c r="I875" s="44">
        <f>G875*H875</f>
        <v>460</v>
      </c>
      <c r="J875" s="123"/>
      <c r="K875" s="44">
        <f>2*K874</f>
        <v>4</v>
      </c>
      <c r="L875" s="44">
        <f t="shared" si="537"/>
        <v>483</v>
      </c>
      <c r="M875" s="123"/>
      <c r="N875" s="44">
        <f>2*N874</f>
        <v>4</v>
      </c>
      <c r="O875" s="44">
        <f t="shared" si="538"/>
        <v>507.15000000000003</v>
      </c>
      <c r="P875" s="123"/>
      <c r="Q875" s="44">
        <f>2*Q874</f>
        <v>4</v>
      </c>
      <c r="R875" s="44">
        <f t="shared" si="539"/>
        <v>532.50750000000005</v>
      </c>
      <c r="S875" s="123"/>
      <c r="T875" s="44">
        <f>2*T874</f>
        <v>4</v>
      </c>
      <c r="U875" s="44">
        <f t="shared" si="540"/>
        <v>559.13287500000013</v>
      </c>
      <c r="V875" s="123"/>
      <c r="W875" s="44">
        <f>2*W874</f>
        <v>4</v>
      </c>
      <c r="X875" s="44">
        <f>W875*H875*$E$6*$E$6*$E$6*$E$6*$E$6</f>
        <v>587.08951875000014</v>
      </c>
      <c r="Y875" s="44">
        <f>SUM(R875,O875,L875,I875,U875,X875)</f>
        <v>3128.8798937500001</v>
      </c>
      <c r="Z875" s="44" t="s">
        <v>149</v>
      </c>
      <c r="AA875" s="44">
        <f>SUM(Y875:Z875)</f>
        <v>3128.8798937500001</v>
      </c>
    </row>
    <row r="876" spans="1:27">
      <c r="A876" s="607"/>
      <c r="B876" s="607"/>
      <c r="C876" s="607"/>
      <c r="D876" s="41" t="s">
        <v>476</v>
      </c>
      <c r="E876" s="127"/>
      <c r="F876" s="46"/>
      <c r="G876" s="47"/>
      <c r="H876" s="47"/>
      <c r="I876" s="48">
        <f>SUM(I873:I875)</f>
        <v>650</v>
      </c>
      <c r="J876" s="127"/>
      <c r="K876" s="47"/>
      <c r="L876" s="48">
        <f>SUM(L873:L875)</f>
        <v>1060.5</v>
      </c>
      <c r="M876" s="127"/>
      <c r="N876" s="47"/>
      <c r="O876" s="48">
        <f>SUM(O873:O875)</f>
        <v>1113.5250000000001</v>
      </c>
      <c r="P876" s="127"/>
      <c r="Q876" s="47"/>
      <c r="R876" s="48">
        <f>SUM(R873:R875)</f>
        <v>1169.2012500000001</v>
      </c>
      <c r="S876" s="127"/>
      <c r="T876" s="47"/>
      <c r="U876" s="48">
        <f>SUM(U873:U875)</f>
        <v>1227.6613125000003</v>
      </c>
      <c r="V876" s="127"/>
      <c r="W876" s="47"/>
      <c r="X876" s="48">
        <f>SUM(X873:X875)</f>
        <v>1135.8905906250002</v>
      </c>
      <c r="Y876" s="576">
        <f>SUM(Y873:Y875)</f>
        <v>6356.7781531250002</v>
      </c>
      <c r="Z876" s="48">
        <f>SUM(Z873:Z875)</f>
        <v>0</v>
      </c>
      <c r="AA876" s="48">
        <f>SUM(AA873:AA875)</f>
        <v>6356.7781531250002</v>
      </c>
    </row>
    <row r="877" spans="1:27">
      <c r="A877" s="608"/>
      <c r="B877" s="608"/>
      <c r="C877" s="608"/>
      <c r="D877" s="100"/>
      <c r="E877" s="128"/>
      <c r="F877" s="81"/>
      <c r="G877" s="63"/>
      <c r="H877" s="63"/>
      <c r="I877" s="63"/>
      <c r="J877" s="128"/>
      <c r="K877" s="63"/>
      <c r="L877" s="63"/>
      <c r="M877" s="128"/>
      <c r="N877" s="63"/>
      <c r="O877" s="63"/>
      <c r="P877" s="128"/>
      <c r="Q877" s="63"/>
      <c r="R877" s="63"/>
      <c r="S877" s="128"/>
      <c r="T877" s="63"/>
      <c r="U877" s="63"/>
      <c r="V877" s="128"/>
      <c r="W877" s="63"/>
      <c r="X877" s="63"/>
      <c r="Y877" s="63"/>
      <c r="Z877" s="63"/>
      <c r="AA877" s="63"/>
    </row>
    <row r="878" spans="1:27">
      <c r="A878" s="607"/>
      <c r="B878" s="607"/>
      <c r="C878" s="607"/>
      <c r="D878" s="41" t="s">
        <v>477</v>
      </c>
      <c r="E878" s="127"/>
      <c r="F878" s="46"/>
      <c r="G878" s="47"/>
      <c r="H878" s="47"/>
      <c r="I878" s="47"/>
      <c r="J878" s="127"/>
      <c r="K878" s="47"/>
      <c r="L878" s="47"/>
      <c r="M878" s="127"/>
      <c r="N878" s="47"/>
      <c r="O878" s="47"/>
      <c r="P878" s="127"/>
      <c r="Q878" s="47"/>
      <c r="R878" s="47"/>
      <c r="S878" s="127"/>
      <c r="T878" s="47"/>
      <c r="U878" s="47"/>
      <c r="V878" s="127"/>
      <c r="W878" s="47"/>
      <c r="X878" s="47"/>
      <c r="Y878" s="47"/>
      <c r="Z878" s="47"/>
      <c r="AA878" s="47"/>
    </row>
    <row r="879" spans="1:27">
      <c r="A879" s="591" t="s">
        <v>1365</v>
      </c>
      <c r="B879" s="591" t="s">
        <v>819</v>
      </c>
      <c r="C879" s="591" t="s">
        <v>747</v>
      </c>
      <c r="D879" s="8" t="s">
        <v>478</v>
      </c>
      <c r="F879" s="8" t="s">
        <v>439</v>
      </c>
      <c r="G879" s="44">
        <v>0</v>
      </c>
      <c r="H879" s="44">
        <f>(60*5)+(60*8)+500</f>
        <v>1280</v>
      </c>
      <c r="I879" s="44">
        <f>G879*H879</f>
        <v>0</v>
      </c>
      <c r="J879" s="123"/>
      <c r="K879" s="44">
        <v>0</v>
      </c>
      <c r="L879" s="44">
        <f>H879*K879</f>
        <v>0</v>
      </c>
      <c r="M879" s="123"/>
      <c r="N879" s="44">
        <v>1</v>
      </c>
      <c r="O879" s="44">
        <f>H879*N879</f>
        <v>1280</v>
      </c>
      <c r="P879" s="123"/>
      <c r="Q879" s="44">
        <v>0</v>
      </c>
      <c r="R879" s="44">
        <f>H879*Q879</f>
        <v>0</v>
      </c>
      <c r="S879" s="123"/>
      <c r="T879" s="44">
        <v>0</v>
      </c>
      <c r="U879" s="44">
        <f>H879*T879</f>
        <v>0</v>
      </c>
      <c r="V879" s="123"/>
      <c r="W879" s="44">
        <v>1</v>
      </c>
      <c r="X879" s="44">
        <f t="shared" ref="X879" si="541">W879*H879</f>
        <v>1280</v>
      </c>
      <c r="Y879" s="44">
        <f t="shared" ref="Y879" si="542">SUM(R879,O879,L879,I879,U879,X879)</f>
        <v>2560</v>
      </c>
      <c r="Z879" s="44" t="s">
        <v>149</v>
      </c>
      <c r="AA879" s="44">
        <f t="shared" ref="AA879" si="543">SUM(Y879:Z879)</f>
        <v>2560</v>
      </c>
    </row>
    <row r="880" spans="1:27">
      <c r="A880" s="607"/>
      <c r="B880" s="607"/>
      <c r="C880" s="607"/>
      <c r="D880" s="41" t="s">
        <v>479</v>
      </c>
      <c r="E880" s="127"/>
      <c r="F880" s="46"/>
      <c r="G880" s="47"/>
      <c r="H880" s="47"/>
      <c r="I880" s="48">
        <f>SUM(I879:I879)</f>
        <v>0</v>
      </c>
      <c r="J880" s="127"/>
      <c r="K880" s="48"/>
      <c r="L880" s="48">
        <f>SUM(L879:L879)</f>
        <v>0</v>
      </c>
      <c r="M880" s="127"/>
      <c r="N880" s="48"/>
      <c r="O880" s="48">
        <f>SUM(O879:O879)</f>
        <v>1280</v>
      </c>
      <c r="P880" s="127"/>
      <c r="Q880" s="48"/>
      <c r="R880" s="48">
        <f>SUM(R879:R879)</f>
        <v>0</v>
      </c>
      <c r="S880" s="127"/>
      <c r="T880" s="48"/>
      <c r="U880" s="48">
        <f>SUM(U879:U879)</f>
        <v>0</v>
      </c>
      <c r="V880" s="127"/>
      <c r="W880" s="48"/>
      <c r="X880" s="48">
        <f>SUM(X879:X879)</f>
        <v>1280</v>
      </c>
      <c r="Y880" s="101">
        <f>SUM(Y879:Y879)</f>
        <v>2560</v>
      </c>
      <c r="Z880" s="48">
        <f>SUM(Z879:Z879)</f>
        <v>0</v>
      </c>
      <c r="AA880" s="48">
        <f>SUM(AA879:AA879)</f>
        <v>2560</v>
      </c>
    </row>
    <row r="881" spans="1:29">
      <c r="A881" s="608"/>
      <c r="B881" s="608"/>
      <c r="C881" s="608"/>
      <c r="D881" s="100"/>
      <c r="E881" s="128"/>
      <c r="F881" s="81"/>
      <c r="G881" s="63"/>
      <c r="H881" s="63"/>
      <c r="I881" s="63"/>
      <c r="J881" s="128"/>
      <c r="K881" s="63"/>
      <c r="L881" s="63"/>
      <c r="M881" s="128"/>
      <c r="N881" s="63"/>
      <c r="O881" s="63"/>
      <c r="P881" s="128"/>
      <c r="Q881" s="63"/>
      <c r="R881" s="63"/>
      <c r="S881" s="128"/>
      <c r="T881" s="63"/>
      <c r="U881" s="63"/>
      <c r="V881" s="128"/>
      <c r="W881" s="63"/>
      <c r="X881" s="63"/>
      <c r="Y881" s="63"/>
      <c r="Z881" s="63"/>
      <c r="AA881" s="63"/>
    </row>
    <row r="882" spans="1:29">
      <c r="A882" s="607"/>
      <c r="B882" s="607"/>
      <c r="C882" s="607"/>
      <c r="D882" s="41" t="s">
        <v>480</v>
      </c>
      <c r="E882" s="127"/>
      <c r="F882" s="46"/>
      <c r="G882" s="47"/>
      <c r="H882" s="47"/>
      <c r="I882" s="47"/>
      <c r="J882" s="127"/>
      <c r="K882" s="47"/>
      <c r="L882" s="47"/>
      <c r="M882" s="127"/>
      <c r="N882" s="47"/>
      <c r="O882" s="47"/>
      <c r="P882" s="127"/>
      <c r="Q882" s="47"/>
      <c r="R882" s="47"/>
      <c r="S882" s="127"/>
      <c r="T882" s="47"/>
      <c r="U882" s="47"/>
      <c r="V882" s="127"/>
      <c r="W882" s="47"/>
      <c r="X882" s="47"/>
      <c r="Y882" s="47"/>
      <c r="Z882" s="47"/>
      <c r="AA882" s="47"/>
    </row>
    <row r="883" spans="1:29">
      <c r="A883" s="591" t="s">
        <v>1272</v>
      </c>
      <c r="B883" s="591" t="s">
        <v>1268</v>
      </c>
      <c r="C883" s="591" t="s">
        <v>747</v>
      </c>
      <c r="D883" s="8" t="s">
        <v>478</v>
      </c>
      <c r="F883" s="8" t="s">
        <v>439</v>
      </c>
      <c r="G883" s="44">
        <f>G879</f>
        <v>0</v>
      </c>
      <c r="H883" s="44">
        <v>2490</v>
      </c>
      <c r="I883" s="44">
        <f>G883*H883</f>
        <v>0</v>
      </c>
      <c r="J883" s="123"/>
      <c r="K883" s="44">
        <f>K879</f>
        <v>0</v>
      </c>
      <c r="L883" s="44">
        <v>0</v>
      </c>
      <c r="M883" s="123"/>
      <c r="N883" s="44">
        <f>N879</f>
        <v>1</v>
      </c>
      <c r="O883" s="44">
        <v>0</v>
      </c>
      <c r="P883" s="123"/>
      <c r="Q883" s="44">
        <f>Q879</f>
        <v>0</v>
      </c>
      <c r="R883" s="44">
        <v>0</v>
      </c>
      <c r="S883" s="123"/>
      <c r="T883" s="44">
        <f>T879</f>
        <v>0</v>
      </c>
      <c r="U883" s="44">
        <v>0</v>
      </c>
      <c r="V883" s="123"/>
      <c r="W883" s="44">
        <f>W879</f>
        <v>1</v>
      </c>
      <c r="X883" s="44">
        <v>0</v>
      </c>
      <c r="Y883" s="44">
        <v>0</v>
      </c>
      <c r="Z883" s="44">
        <f>(G883*H883)+(K883*H883)+(N883*H883)+(H883*Q883)+(T883*H883)+(W883*H883)</f>
        <v>4980</v>
      </c>
      <c r="AA883" s="44">
        <f t="shared" ref="AA883" si="544">SUM(Y883:Z883)</f>
        <v>4980</v>
      </c>
    </row>
    <row r="884" spans="1:29">
      <c r="A884" s="607"/>
      <c r="B884" s="607"/>
      <c r="C884" s="607"/>
      <c r="D884" s="41" t="s">
        <v>481</v>
      </c>
      <c r="E884" s="127"/>
      <c r="F884" s="46"/>
      <c r="G884" s="47"/>
      <c r="H884" s="47"/>
      <c r="I884" s="48">
        <f>SUM(I883:I883)</f>
        <v>0</v>
      </c>
      <c r="J884" s="127"/>
      <c r="K884" s="48"/>
      <c r="L884" s="48">
        <f>SUM(L883:L883)</f>
        <v>0</v>
      </c>
      <c r="M884" s="127"/>
      <c r="N884" s="48"/>
      <c r="O884" s="48">
        <f>SUM(O883:O883)</f>
        <v>0</v>
      </c>
      <c r="P884" s="127"/>
      <c r="Q884" s="48"/>
      <c r="R884" s="48">
        <f>SUM(R883:R883)</f>
        <v>0</v>
      </c>
      <c r="S884" s="127"/>
      <c r="T884" s="48"/>
      <c r="U884" s="48">
        <f>SUM(U883:U883)</f>
        <v>0</v>
      </c>
      <c r="V884" s="127"/>
      <c r="W884" s="48"/>
      <c r="X884" s="48">
        <f>SUM(X883:X883)</f>
        <v>0</v>
      </c>
      <c r="Y884" s="48">
        <f>SUM(Y883:Y883)</f>
        <v>0</v>
      </c>
      <c r="Z884" s="48">
        <f>SUM(Z883:Z883)</f>
        <v>4980</v>
      </c>
      <c r="AA884" s="48">
        <f>SUM(AA883:AA883)</f>
        <v>4980</v>
      </c>
      <c r="AB884" s="222"/>
      <c r="AC884" s="566"/>
    </row>
    <row r="885" spans="1:29">
      <c r="A885" s="608"/>
      <c r="B885" s="608"/>
      <c r="C885" s="608"/>
      <c r="D885" s="100"/>
      <c r="E885" s="128"/>
      <c r="F885" s="81"/>
      <c r="G885" s="63"/>
      <c r="H885" s="63"/>
      <c r="I885" s="63"/>
      <c r="J885" s="128"/>
      <c r="K885" s="63"/>
      <c r="L885" s="63"/>
      <c r="M885" s="128"/>
      <c r="N885" s="63"/>
      <c r="O885" s="63"/>
      <c r="P885" s="128"/>
      <c r="Q885" s="63"/>
      <c r="R885" s="63"/>
      <c r="S885" s="128"/>
      <c r="T885" s="63"/>
      <c r="U885" s="63"/>
      <c r="V885" s="128"/>
      <c r="W885" s="63"/>
      <c r="X885" s="63"/>
      <c r="Y885" s="63"/>
      <c r="Z885" s="63"/>
      <c r="AA885" s="63"/>
    </row>
    <row r="886" spans="1:29" ht="12.9" thickBot="1">
      <c r="A886" s="596"/>
      <c r="B886" s="596"/>
      <c r="C886" s="596"/>
      <c r="D886" s="54" t="s">
        <v>482</v>
      </c>
      <c r="E886" s="121"/>
      <c r="F886" s="54"/>
      <c r="G886" s="69"/>
      <c r="H886" s="69"/>
      <c r="I886" s="65">
        <f>I876+I870+I866+I880+I884</f>
        <v>8878.43</v>
      </c>
      <c r="J886" s="121"/>
      <c r="K886" s="65"/>
      <c r="L886" s="65">
        <f>L876+L870+L866+L880+L884</f>
        <v>13670.012999999999</v>
      </c>
      <c r="M886" s="121"/>
      <c r="N886" s="65"/>
      <c r="O886" s="65">
        <f>O876+O870+O866+O880+O884</f>
        <v>17349.808474999998</v>
      </c>
      <c r="P886" s="121"/>
      <c r="Q886" s="65"/>
      <c r="R886" s="65">
        <f>R876+R870+R866+R880+R884</f>
        <v>18160.520017499999</v>
      </c>
      <c r="S886" s="121"/>
      <c r="T886" s="65"/>
      <c r="U886" s="65">
        <f>U876+U870+U866+U880+U884</f>
        <v>18257.5967135625</v>
      </c>
      <c r="V886" s="121"/>
      <c r="W886" s="65"/>
      <c r="X886" s="65">
        <f>X876+X870+X866+X880+X884</f>
        <v>13012.294840175</v>
      </c>
      <c r="Y886" s="65">
        <f>Y876+Y870+Y866+Y880+Y884</f>
        <v>89328.663046237503</v>
      </c>
      <c r="Z886" s="65">
        <f>Z876+Z870+Z866+Z880+Z884</f>
        <v>4980</v>
      </c>
      <c r="AA886" s="65">
        <f>AA876+AA870+AA866+AA880+AA884</f>
        <v>94308.663046237503</v>
      </c>
    </row>
    <row r="887" spans="1:29">
      <c r="A887" s="597"/>
      <c r="B887" s="597"/>
      <c r="C887" s="597"/>
      <c r="D887" s="81"/>
      <c r="E887" s="118"/>
      <c r="F887" s="81"/>
      <c r="G887" s="63"/>
      <c r="H887" s="63"/>
      <c r="I887" s="63"/>
      <c r="J887" s="118"/>
      <c r="K887" s="63"/>
      <c r="L887" s="63"/>
      <c r="M887" s="118"/>
      <c r="N887" s="63"/>
      <c r="O887" s="63"/>
      <c r="P887" s="118"/>
      <c r="Q887" s="63"/>
      <c r="R887" s="63"/>
      <c r="S887" s="118"/>
      <c r="T887" s="63"/>
      <c r="U887" s="63"/>
      <c r="V887" s="118"/>
      <c r="W887" s="63"/>
      <c r="X887" s="63"/>
      <c r="Y887" s="63"/>
      <c r="Z887" s="63"/>
      <c r="AA887" s="63"/>
    </row>
    <row r="888" spans="1:29">
      <c r="A888" s="605"/>
      <c r="B888" s="605"/>
      <c r="C888" s="605"/>
      <c r="D888" s="94" t="s">
        <v>483</v>
      </c>
      <c r="E888" s="125"/>
      <c r="F888" s="38"/>
      <c r="G888" s="38"/>
      <c r="H888" s="39"/>
      <c r="I888" s="95"/>
      <c r="J888" s="125"/>
      <c r="K888" s="95"/>
      <c r="L888" s="95"/>
      <c r="M888" s="125"/>
      <c r="N888" s="95"/>
      <c r="O888" s="95"/>
      <c r="P888" s="125"/>
      <c r="Q888" s="95"/>
      <c r="R888" s="95"/>
      <c r="S888" s="125"/>
      <c r="T888" s="95"/>
      <c r="U888" s="95"/>
      <c r="V888" s="125"/>
      <c r="W888" s="95"/>
      <c r="X888" s="95"/>
      <c r="Y888" s="95"/>
      <c r="Z888" s="96"/>
      <c r="AA888" s="95"/>
    </row>
    <row r="889" spans="1:29">
      <c r="A889" s="606"/>
      <c r="B889" s="606"/>
      <c r="C889" s="606"/>
      <c r="D889" s="97" t="s">
        <v>227</v>
      </c>
      <c r="E889" s="126"/>
      <c r="F889" s="98"/>
      <c r="G889" s="99"/>
      <c r="H889" s="99"/>
      <c r="I889" s="99"/>
      <c r="J889" s="126"/>
      <c r="K889" s="99"/>
      <c r="L889" s="99"/>
      <c r="M889" s="126"/>
      <c r="N889" s="99"/>
      <c r="O889" s="99"/>
      <c r="P889" s="126"/>
      <c r="Q889" s="99"/>
      <c r="R889" s="99"/>
      <c r="S889" s="126"/>
      <c r="T889" s="99"/>
      <c r="U889" s="99"/>
      <c r="V889" s="126"/>
      <c r="W889" s="99"/>
      <c r="X889" s="99"/>
      <c r="Y889" s="99"/>
      <c r="Z889" s="99"/>
      <c r="AA889" s="99"/>
    </row>
    <row r="890" spans="1:29">
      <c r="A890" s="607"/>
      <c r="B890" s="607"/>
      <c r="C890" s="607"/>
      <c r="D890" s="41" t="s">
        <v>484</v>
      </c>
      <c r="E890" s="127"/>
      <c r="F890" s="46"/>
      <c r="G890" s="47"/>
      <c r="H890" s="47"/>
      <c r="I890" s="47"/>
      <c r="J890" s="127"/>
      <c r="K890" s="47"/>
      <c r="L890" s="47"/>
      <c r="M890" s="127"/>
      <c r="N890" s="47"/>
      <c r="O890" s="47"/>
      <c r="P890" s="127"/>
      <c r="Q890" s="47"/>
      <c r="R890" s="47"/>
      <c r="S890" s="127"/>
      <c r="T890" s="47"/>
      <c r="U890" s="47"/>
      <c r="V890" s="127"/>
      <c r="W890" s="47"/>
      <c r="X890" s="47"/>
      <c r="Y890" s="47"/>
      <c r="Z890" s="47"/>
      <c r="AA890" s="47"/>
    </row>
    <row r="891" spans="1:29" hidden="1">
      <c r="A891" s="595" t="s">
        <v>1218</v>
      </c>
      <c r="B891" s="595">
        <v>70000</v>
      </c>
      <c r="C891" s="595" t="s">
        <v>747</v>
      </c>
      <c r="D891" s="8" t="str">
        <f t="shared" ref="D891:D924" si="545">D12</f>
        <v xml:space="preserve">Key Personnel: Chief of Party - Roger Sanchez O’Neill </v>
      </c>
      <c r="E891" s="115">
        <f>'LOE Breakdown by Year'!P11</f>
        <v>0</v>
      </c>
      <c r="F891" s="50" t="s">
        <v>100</v>
      </c>
      <c r="G891" s="44">
        <f t="shared" ref="G891:H910" si="546">G12</f>
        <v>11</v>
      </c>
      <c r="H891" s="44">
        <f t="shared" si="546"/>
        <v>9583.3333333333339</v>
      </c>
      <c r="I891" s="44">
        <f>G891*H891*E891</f>
        <v>0</v>
      </c>
      <c r="J891" s="115">
        <f>'LOE Breakdown by Year'!P57</f>
        <v>0</v>
      </c>
      <c r="K891" s="44">
        <f t="shared" ref="K891:K924" si="547">K12</f>
        <v>12</v>
      </c>
      <c r="L891" s="44">
        <f>K891*H891*$E$7*$J891</f>
        <v>0</v>
      </c>
      <c r="M891" s="115">
        <f>'LOE Breakdown by Year'!P103</f>
        <v>0</v>
      </c>
      <c r="N891" s="44">
        <f t="shared" ref="N891:N924" si="548">N12</f>
        <v>12</v>
      </c>
      <c r="O891" s="44">
        <f>N891*H891*$M891*$E$7*$E$7</f>
        <v>0</v>
      </c>
      <c r="P891" s="115">
        <f>'LOE Breakdown by Year'!P149</f>
        <v>0</v>
      </c>
      <c r="Q891" s="44">
        <f t="shared" ref="Q891:Q924" si="549">Q12</f>
        <v>12</v>
      </c>
      <c r="R891" s="44">
        <f>Q891*H891*$P891*$E$7*$E$7*$E$7</f>
        <v>0</v>
      </c>
      <c r="S891" s="115">
        <f>'LOE Breakdown by Year'!P195</f>
        <v>0</v>
      </c>
      <c r="T891" s="44">
        <f t="shared" ref="T891:T924" si="550">T12</f>
        <v>12</v>
      </c>
      <c r="U891" s="44">
        <f>T891*H891*$S891*$E$7*$E$7*$E$7*$E$7</f>
        <v>0</v>
      </c>
      <c r="V891" s="115">
        <f>'LOE Breakdown by Year'!P241</f>
        <v>0</v>
      </c>
      <c r="W891" s="44">
        <f t="shared" ref="W891:W924" si="551">W12</f>
        <v>12</v>
      </c>
      <c r="X891" s="44">
        <f>W891*H891*$V891*$E$7*$E$7*$E$7*$E$7*$E$7</f>
        <v>0</v>
      </c>
      <c r="Y891" s="44">
        <f>SUM(R891,O891,L891,I891,U891,X891)</f>
        <v>0</v>
      </c>
      <c r="Z891" s="44">
        <v>0</v>
      </c>
      <c r="AA891" s="44">
        <f t="shared" ref="AA891" si="552">SUM(Y891:Z891)</f>
        <v>0</v>
      </c>
      <c r="AB891" s="222"/>
    </row>
    <row r="892" spans="1:29" hidden="1">
      <c r="A892" s="595" t="s">
        <v>1219</v>
      </c>
      <c r="B892" s="595">
        <v>70000</v>
      </c>
      <c r="C892" s="595" t="s">
        <v>747</v>
      </c>
      <c r="D892" s="8" t="str">
        <f t="shared" si="545"/>
        <v>Key Personnel: Deputy Chief of Party - David Medina Mayo</v>
      </c>
      <c r="E892" s="115">
        <f>'LOE Breakdown by Year'!P12</f>
        <v>0</v>
      </c>
      <c r="F892" s="50" t="s">
        <v>100</v>
      </c>
      <c r="G892" s="44">
        <f t="shared" si="546"/>
        <v>11</v>
      </c>
      <c r="H892" s="44">
        <f t="shared" si="546"/>
        <v>6500</v>
      </c>
      <c r="I892" s="44">
        <f t="shared" ref="I892:I924" si="553">G892*H892*E892</f>
        <v>0</v>
      </c>
      <c r="J892" s="115">
        <f>'LOE Breakdown by Year'!P58</f>
        <v>0</v>
      </c>
      <c r="K892" s="44">
        <f t="shared" si="547"/>
        <v>12</v>
      </c>
      <c r="L892" s="44">
        <f t="shared" ref="L892:L924" si="554">K892*H892*$E$7*$J892</f>
        <v>0</v>
      </c>
      <c r="M892" s="115">
        <f>'LOE Breakdown by Year'!P104</f>
        <v>0</v>
      </c>
      <c r="N892" s="44">
        <f t="shared" si="548"/>
        <v>12</v>
      </c>
      <c r="O892" s="44">
        <f t="shared" ref="O892:O924" si="555">N892*H892*$M892*$E$7*$E$7</f>
        <v>0</v>
      </c>
      <c r="P892" s="115">
        <f>'LOE Breakdown by Year'!P150</f>
        <v>0</v>
      </c>
      <c r="Q892" s="44">
        <f t="shared" si="549"/>
        <v>12</v>
      </c>
      <c r="R892" s="44">
        <f t="shared" ref="R892:R924" si="556">Q892*H892*$P892*$E$7*$E$7*$E$7</f>
        <v>0</v>
      </c>
      <c r="S892" s="115">
        <f>'LOE Breakdown by Year'!P196</f>
        <v>0</v>
      </c>
      <c r="T892" s="44">
        <f t="shared" si="550"/>
        <v>12</v>
      </c>
      <c r="U892" s="44">
        <f t="shared" ref="U892:U924" si="557">T892*H892*$S892*$E$7*$E$7*$E$7*$E$7</f>
        <v>0</v>
      </c>
      <c r="V892" s="115">
        <f>'LOE Breakdown by Year'!P242</f>
        <v>0</v>
      </c>
      <c r="W892" s="44">
        <f t="shared" si="551"/>
        <v>12</v>
      </c>
      <c r="X892" s="44">
        <f t="shared" ref="X892:X924" si="558">W892*H892*$V892*$E$7*$E$7*$E$7*$E$7*$E$7</f>
        <v>0</v>
      </c>
      <c r="Y892" s="44">
        <f t="shared" ref="Y892:Y924" si="559">SUM(R892,O892,L892,I892,U892,X892)</f>
        <v>0</v>
      </c>
      <c r="Z892" s="44">
        <v>0</v>
      </c>
      <c r="AA892" s="44">
        <f t="shared" ref="AA892:AA924" si="560">SUM(Y892:Z892)</f>
        <v>0</v>
      </c>
      <c r="AB892" s="222"/>
    </row>
    <row r="893" spans="1:29" hidden="1">
      <c r="A893" s="595" t="s">
        <v>1220</v>
      </c>
      <c r="B893" s="595">
        <v>70000</v>
      </c>
      <c r="C893" s="595" t="s">
        <v>747</v>
      </c>
      <c r="D893" s="8" t="str">
        <f t="shared" si="545"/>
        <v>Policy &amp; Sustainability Specialist</v>
      </c>
      <c r="E893" s="115">
        <f>'LOE Breakdown by Year'!P13</f>
        <v>0</v>
      </c>
      <c r="F893" s="50" t="s">
        <v>100</v>
      </c>
      <c r="G893" s="44">
        <f t="shared" si="546"/>
        <v>0</v>
      </c>
      <c r="H893" s="44">
        <f t="shared" si="546"/>
        <v>1500</v>
      </c>
      <c r="I893" s="44">
        <f t="shared" si="553"/>
        <v>0</v>
      </c>
      <c r="J893" s="115">
        <f>'LOE Breakdown by Year'!P59</f>
        <v>0</v>
      </c>
      <c r="K893" s="44">
        <f t="shared" si="547"/>
        <v>0</v>
      </c>
      <c r="L893" s="44">
        <f t="shared" si="554"/>
        <v>0</v>
      </c>
      <c r="M893" s="115">
        <f>'LOE Breakdown by Year'!P105</f>
        <v>0</v>
      </c>
      <c r="N893" s="44">
        <f t="shared" si="548"/>
        <v>7</v>
      </c>
      <c r="O893" s="44">
        <f t="shared" si="555"/>
        <v>0</v>
      </c>
      <c r="P893" s="115">
        <f>'LOE Breakdown by Year'!P151</f>
        <v>0</v>
      </c>
      <c r="Q893" s="44">
        <f t="shared" si="549"/>
        <v>12</v>
      </c>
      <c r="R893" s="44">
        <f t="shared" si="556"/>
        <v>0</v>
      </c>
      <c r="S893" s="115">
        <f>'LOE Breakdown by Year'!P197</f>
        <v>0</v>
      </c>
      <c r="T893" s="44">
        <f t="shared" si="550"/>
        <v>12</v>
      </c>
      <c r="U893" s="44">
        <f t="shared" si="557"/>
        <v>0</v>
      </c>
      <c r="V893" s="115">
        <f>'LOE Breakdown by Year'!P243</f>
        <v>0</v>
      </c>
      <c r="W893" s="44">
        <f t="shared" si="551"/>
        <v>6</v>
      </c>
      <c r="X893" s="44">
        <f t="shared" si="558"/>
        <v>0</v>
      </c>
      <c r="Y893" s="44">
        <f t="shared" si="559"/>
        <v>0</v>
      </c>
      <c r="Z893" s="44">
        <v>0</v>
      </c>
      <c r="AA893" s="44">
        <f t="shared" si="560"/>
        <v>0</v>
      </c>
      <c r="AB893" s="222"/>
    </row>
    <row r="894" spans="1:29" hidden="1">
      <c r="A894" s="595" t="s">
        <v>1221</v>
      </c>
      <c r="B894" s="595">
        <v>70000</v>
      </c>
      <c r="C894" s="595" t="s">
        <v>747</v>
      </c>
      <c r="D894" s="8" t="str">
        <f t="shared" si="545"/>
        <v xml:space="preserve">Education Director </v>
      </c>
      <c r="E894" s="115">
        <f>'LOE Breakdown by Year'!P14</f>
        <v>0</v>
      </c>
      <c r="F894" s="50" t="s">
        <v>100</v>
      </c>
      <c r="G894" s="44">
        <f t="shared" si="546"/>
        <v>9</v>
      </c>
      <c r="H894" s="44">
        <f t="shared" si="546"/>
        <v>4583.333333333333</v>
      </c>
      <c r="I894" s="44">
        <f t="shared" si="553"/>
        <v>0</v>
      </c>
      <c r="J894" s="115">
        <f>'LOE Breakdown by Year'!P60</f>
        <v>0</v>
      </c>
      <c r="K894" s="44">
        <f t="shared" si="547"/>
        <v>12</v>
      </c>
      <c r="L894" s="44">
        <f t="shared" si="554"/>
        <v>0</v>
      </c>
      <c r="M894" s="115">
        <f>'LOE Breakdown by Year'!P106</f>
        <v>0</v>
      </c>
      <c r="N894" s="44">
        <f t="shared" si="548"/>
        <v>12</v>
      </c>
      <c r="O894" s="44">
        <f t="shared" si="555"/>
        <v>0</v>
      </c>
      <c r="P894" s="115">
        <f>'LOE Breakdown by Year'!P152</f>
        <v>0</v>
      </c>
      <c r="Q894" s="44">
        <f t="shared" si="549"/>
        <v>12</v>
      </c>
      <c r="R894" s="44">
        <f t="shared" si="556"/>
        <v>0</v>
      </c>
      <c r="S894" s="115">
        <f>'LOE Breakdown by Year'!P198</f>
        <v>0</v>
      </c>
      <c r="T894" s="44">
        <f t="shared" si="550"/>
        <v>12</v>
      </c>
      <c r="U894" s="44">
        <f t="shared" si="557"/>
        <v>0</v>
      </c>
      <c r="V894" s="115">
        <f>'LOE Breakdown by Year'!P244</f>
        <v>0</v>
      </c>
      <c r="W894" s="44">
        <f t="shared" si="551"/>
        <v>8</v>
      </c>
      <c r="X894" s="44">
        <f t="shared" si="558"/>
        <v>0</v>
      </c>
      <c r="Y894" s="44">
        <f t="shared" si="559"/>
        <v>0</v>
      </c>
      <c r="Z894" s="44">
        <v>0</v>
      </c>
      <c r="AA894" s="44">
        <f t="shared" si="560"/>
        <v>0</v>
      </c>
      <c r="AB894" s="222"/>
    </row>
    <row r="895" spans="1:29" hidden="1">
      <c r="A895" s="595" t="s">
        <v>1222</v>
      </c>
      <c r="B895" s="595">
        <v>70000</v>
      </c>
      <c r="C895" s="595" t="s">
        <v>747</v>
      </c>
      <c r="D895" s="8" t="str">
        <f t="shared" si="545"/>
        <v>Education Specialist</v>
      </c>
      <c r="E895" s="115">
        <f>'LOE Breakdown by Year'!P15</f>
        <v>0</v>
      </c>
      <c r="F895" s="50" t="s">
        <v>100</v>
      </c>
      <c r="G895" s="44">
        <f t="shared" si="546"/>
        <v>8</v>
      </c>
      <c r="H895" s="44">
        <f t="shared" si="546"/>
        <v>2500</v>
      </c>
      <c r="I895" s="44">
        <f t="shared" si="553"/>
        <v>0</v>
      </c>
      <c r="J895" s="115">
        <f>'LOE Breakdown by Year'!P61</f>
        <v>0</v>
      </c>
      <c r="K895" s="44">
        <f t="shared" si="547"/>
        <v>12</v>
      </c>
      <c r="L895" s="44">
        <f t="shared" si="554"/>
        <v>0</v>
      </c>
      <c r="M895" s="115">
        <f>'LOE Breakdown by Year'!P107</f>
        <v>0</v>
      </c>
      <c r="N895" s="44">
        <f t="shared" si="548"/>
        <v>12</v>
      </c>
      <c r="O895" s="44">
        <f t="shared" si="555"/>
        <v>0</v>
      </c>
      <c r="P895" s="115">
        <f>'LOE Breakdown by Year'!P153</f>
        <v>0</v>
      </c>
      <c r="Q895" s="44">
        <f t="shared" si="549"/>
        <v>12</v>
      </c>
      <c r="R895" s="44">
        <f t="shared" si="556"/>
        <v>0</v>
      </c>
      <c r="S895" s="115">
        <f>'LOE Breakdown by Year'!P199</f>
        <v>0</v>
      </c>
      <c r="T895" s="44">
        <f t="shared" si="550"/>
        <v>12</v>
      </c>
      <c r="U895" s="44">
        <f t="shared" si="557"/>
        <v>0</v>
      </c>
      <c r="V895" s="115">
        <f>'LOE Breakdown by Year'!P245</f>
        <v>0</v>
      </c>
      <c r="W895" s="44">
        <f t="shared" si="551"/>
        <v>3</v>
      </c>
      <c r="X895" s="44">
        <f t="shared" si="558"/>
        <v>0</v>
      </c>
      <c r="Y895" s="44">
        <f t="shared" si="559"/>
        <v>0</v>
      </c>
      <c r="Z895" s="44">
        <v>0</v>
      </c>
      <c r="AA895" s="44">
        <f t="shared" si="560"/>
        <v>0</v>
      </c>
      <c r="AB895" s="222"/>
    </row>
    <row r="896" spans="1:29" hidden="1">
      <c r="A896" s="595" t="s">
        <v>1223</v>
      </c>
      <c r="B896" s="595">
        <v>70000</v>
      </c>
      <c r="C896" s="595" t="s">
        <v>747</v>
      </c>
      <c r="D896" s="8" t="str">
        <f t="shared" si="545"/>
        <v>Education Officer</v>
      </c>
      <c r="E896" s="115">
        <f>'LOE Breakdown by Year'!P16</f>
        <v>0</v>
      </c>
      <c r="F896" s="50" t="s">
        <v>100</v>
      </c>
      <c r="G896" s="44">
        <f t="shared" si="546"/>
        <v>6</v>
      </c>
      <c r="H896" s="44">
        <f t="shared" si="546"/>
        <v>1000</v>
      </c>
      <c r="I896" s="44">
        <f t="shared" si="553"/>
        <v>0</v>
      </c>
      <c r="J896" s="115">
        <f>'LOE Breakdown by Year'!P62</f>
        <v>0</v>
      </c>
      <c r="K896" s="44">
        <f t="shared" si="547"/>
        <v>12</v>
      </c>
      <c r="L896" s="44">
        <f t="shared" si="554"/>
        <v>0</v>
      </c>
      <c r="M896" s="115">
        <f>'LOE Breakdown by Year'!P108</f>
        <v>0</v>
      </c>
      <c r="N896" s="44">
        <f t="shared" si="548"/>
        <v>12</v>
      </c>
      <c r="O896" s="44">
        <f t="shared" si="555"/>
        <v>0</v>
      </c>
      <c r="P896" s="115">
        <f>'LOE Breakdown by Year'!P154</f>
        <v>0</v>
      </c>
      <c r="Q896" s="44">
        <f t="shared" si="549"/>
        <v>12</v>
      </c>
      <c r="R896" s="44">
        <f t="shared" si="556"/>
        <v>0</v>
      </c>
      <c r="S896" s="115">
        <f>'LOE Breakdown by Year'!P200</f>
        <v>0</v>
      </c>
      <c r="T896" s="44">
        <f t="shared" si="550"/>
        <v>12</v>
      </c>
      <c r="U896" s="44">
        <f t="shared" si="557"/>
        <v>0</v>
      </c>
      <c r="V896" s="115">
        <f>'LOE Breakdown by Year'!P246</f>
        <v>0</v>
      </c>
      <c r="W896" s="44">
        <f t="shared" si="551"/>
        <v>3</v>
      </c>
      <c r="X896" s="44">
        <f t="shared" si="558"/>
        <v>0</v>
      </c>
      <c r="Y896" s="44">
        <f t="shared" si="559"/>
        <v>0</v>
      </c>
      <c r="Z896" s="44">
        <v>0</v>
      </c>
      <c r="AA896" s="44">
        <f t="shared" si="560"/>
        <v>0</v>
      </c>
      <c r="AB896" s="222"/>
    </row>
    <row r="897" spans="1:28" hidden="1">
      <c r="A897" s="595" t="s">
        <v>1224</v>
      </c>
      <c r="B897" s="595">
        <v>70000</v>
      </c>
      <c r="C897" s="595" t="s">
        <v>747</v>
      </c>
      <c r="D897" s="8" t="str">
        <f t="shared" si="545"/>
        <v>Nutrition and Health Specialist</v>
      </c>
      <c r="E897" s="115">
        <f>'LOE Breakdown by Year'!P17</f>
        <v>0</v>
      </c>
      <c r="F897" s="50" t="s">
        <v>100</v>
      </c>
      <c r="G897" s="44">
        <f t="shared" si="546"/>
        <v>9</v>
      </c>
      <c r="H897" s="44">
        <f t="shared" si="546"/>
        <v>1500</v>
      </c>
      <c r="I897" s="44">
        <f t="shared" si="553"/>
        <v>0</v>
      </c>
      <c r="J897" s="115">
        <f>'LOE Breakdown by Year'!P63</f>
        <v>0</v>
      </c>
      <c r="K897" s="44">
        <f t="shared" si="547"/>
        <v>12</v>
      </c>
      <c r="L897" s="44">
        <f t="shared" si="554"/>
        <v>0</v>
      </c>
      <c r="M897" s="115">
        <f>'LOE Breakdown by Year'!P109</f>
        <v>0</v>
      </c>
      <c r="N897" s="44">
        <f t="shared" si="548"/>
        <v>12</v>
      </c>
      <c r="O897" s="44">
        <f t="shared" si="555"/>
        <v>0</v>
      </c>
      <c r="P897" s="115">
        <f>'LOE Breakdown by Year'!P155</f>
        <v>0</v>
      </c>
      <c r="Q897" s="44">
        <f t="shared" si="549"/>
        <v>12</v>
      </c>
      <c r="R897" s="44">
        <f t="shared" si="556"/>
        <v>0</v>
      </c>
      <c r="S897" s="115">
        <f>'LOE Breakdown by Year'!P201</f>
        <v>0</v>
      </c>
      <c r="T897" s="44">
        <f t="shared" si="550"/>
        <v>12</v>
      </c>
      <c r="U897" s="44">
        <f t="shared" si="557"/>
        <v>0</v>
      </c>
      <c r="V897" s="115">
        <f>'LOE Breakdown by Year'!P247</f>
        <v>0</v>
      </c>
      <c r="W897" s="44">
        <f t="shared" si="551"/>
        <v>6</v>
      </c>
      <c r="X897" s="44">
        <f t="shared" si="558"/>
        <v>0</v>
      </c>
      <c r="Y897" s="44">
        <f t="shared" si="559"/>
        <v>0</v>
      </c>
      <c r="Z897" s="44">
        <v>0</v>
      </c>
      <c r="AA897" s="44">
        <f t="shared" si="560"/>
        <v>0</v>
      </c>
      <c r="AB897" s="222"/>
    </row>
    <row r="898" spans="1:28" hidden="1">
      <c r="A898" s="595" t="s">
        <v>1225</v>
      </c>
      <c r="B898" s="595">
        <v>70000</v>
      </c>
      <c r="C898" s="595" t="s">
        <v>747</v>
      </c>
      <c r="D898" s="8" t="str">
        <f t="shared" si="545"/>
        <v>Nutrition Officer - (2 Individuals)</v>
      </c>
      <c r="E898" s="115">
        <f>'LOE Breakdown by Year'!P18</f>
        <v>0</v>
      </c>
      <c r="F898" s="50" t="s">
        <v>100</v>
      </c>
      <c r="G898" s="44">
        <f t="shared" si="546"/>
        <v>6</v>
      </c>
      <c r="H898" s="44">
        <f t="shared" si="546"/>
        <v>1000</v>
      </c>
      <c r="I898" s="44">
        <f t="shared" si="553"/>
        <v>0</v>
      </c>
      <c r="J898" s="115">
        <f>'LOE Breakdown by Year'!P64</f>
        <v>0</v>
      </c>
      <c r="K898" s="44">
        <f t="shared" si="547"/>
        <v>24</v>
      </c>
      <c r="L898" s="44">
        <f t="shared" si="554"/>
        <v>0</v>
      </c>
      <c r="M898" s="115">
        <f>'LOE Breakdown by Year'!P110</f>
        <v>0</v>
      </c>
      <c r="N898" s="44">
        <f t="shared" si="548"/>
        <v>24</v>
      </c>
      <c r="O898" s="44">
        <f t="shared" si="555"/>
        <v>0</v>
      </c>
      <c r="P898" s="115">
        <f>'LOE Breakdown by Year'!P156</f>
        <v>0</v>
      </c>
      <c r="Q898" s="44">
        <f t="shared" si="549"/>
        <v>24</v>
      </c>
      <c r="R898" s="44">
        <f t="shared" si="556"/>
        <v>0</v>
      </c>
      <c r="S898" s="115">
        <f>'LOE Breakdown by Year'!P202</f>
        <v>0</v>
      </c>
      <c r="T898" s="44">
        <f t="shared" si="550"/>
        <v>24</v>
      </c>
      <c r="U898" s="44">
        <f t="shared" si="557"/>
        <v>0</v>
      </c>
      <c r="V898" s="115">
        <f>'LOE Breakdown by Year'!P248</f>
        <v>0</v>
      </c>
      <c r="W898" s="44">
        <f t="shared" si="551"/>
        <v>6</v>
      </c>
      <c r="X898" s="44">
        <f t="shared" si="558"/>
        <v>0</v>
      </c>
      <c r="Y898" s="44">
        <f t="shared" si="559"/>
        <v>0</v>
      </c>
      <c r="Z898" s="44">
        <v>0</v>
      </c>
      <c r="AA898" s="44">
        <f t="shared" si="560"/>
        <v>0</v>
      </c>
      <c r="AB898" s="222"/>
    </row>
    <row r="899" spans="1:28" hidden="1">
      <c r="A899" s="595" t="s">
        <v>1226</v>
      </c>
      <c r="B899" s="595">
        <v>70000</v>
      </c>
      <c r="C899" s="595" t="s">
        <v>747</v>
      </c>
      <c r="D899" s="8" t="str">
        <f t="shared" si="545"/>
        <v>School Feeding Specialist</v>
      </c>
      <c r="E899" s="115">
        <f>'LOE Breakdown by Year'!P19</f>
        <v>0</v>
      </c>
      <c r="F899" s="50" t="s">
        <v>100</v>
      </c>
      <c r="G899" s="44">
        <f t="shared" si="546"/>
        <v>9</v>
      </c>
      <c r="H899" s="44">
        <f t="shared" si="546"/>
        <v>1500</v>
      </c>
      <c r="I899" s="44">
        <f t="shared" si="553"/>
        <v>0</v>
      </c>
      <c r="J899" s="115">
        <f>'LOE Breakdown by Year'!P65</f>
        <v>0</v>
      </c>
      <c r="K899" s="44">
        <f t="shared" si="547"/>
        <v>12</v>
      </c>
      <c r="L899" s="44">
        <f t="shared" si="554"/>
        <v>0</v>
      </c>
      <c r="M899" s="115">
        <f>'LOE Breakdown by Year'!P111</f>
        <v>0</v>
      </c>
      <c r="N899" s="44">
        <f t="shared" si="548"/>
        <v>12</v>
      </c>
      <c r="O899" s="44">
        <f t="shared" si="555"/>
        <v>0</v>
      </c>
      <c r="P899" s="115">
        <f>'LOE Breakdown by Year'!P157</f>
        <v>0</v>
      </c>
      <c r="Q899" s="44">
        <f t="shared" si="549"/>
        <v>12</v>
      </c>
      <c r="R899" s="44">
        <f t="shared" si="556"/>
        <v>0</v>
      </c>
      <c r="S899" s="115">
        <f>'LOE Breakdown by Year'!P203</f>
        <v>0</v>
      </c>
      <c r="T899" s="44">
        <f t="shared" si="550"/>
        <v>6</v>
      </c>
      <c r="U899" s="44">
        <f t="shared" si="557"/>
        <v>0</v>
      </c>
      <c r="V899" s="115">
        <f>'LOE Breakdown by Year'!P249</f>
        <v>0</v>
      </c>
      <c r="W899" s="44">
        <f t="shared" si="551"/>
        <v>6</v>
      </c>
      <c r="X899" s="44">
        <f t="shared" si="558"/>
        <v>0</v>
      </c>
      <c r="Y899" s="44">
        <f t="shared" si="559"/>
        <v>0</v>
      </c>
      <c r="Z899" s="44">
        <v>0</v>
      </c>
      <c r="AA899" s="44">
        <f t="shared" si="560"/>
        <v>0</v>
      </c>
      <c r="AB899" s="222"/>
    </row>
    <row r="900" spans="1:28" hidden="1">
      <c r="A900" s="595" t="s">
        <v>1227</v>
      </c>
      <c r="B900" s="595">
        <v>70000</v>
      </c>
      <c r="C900" s="595" t="s">
        <v>747</v>
      </c>
      <c r="D900" s="8" t="str">
        <f t="shared" si="545"/>
        <v>Food Aid Monitors - (2 Individuals)</v>
      </c>
      <c r="E900" s="115">
        <f>'LOE Breakdown by Year'!P20</f>
        <v>0</v>
      </c>
      <c r="F900" s="50" t="s">
        <v>100</v>
      </c>
      <c r="G900" s="44">
        <f t="shared" si="546"/>
        <v>6</v>
      </c>
      <c r="H900" s="44">
        <f t="shared" si="546"/>
        <v>1000</v>
      </c>
      <c r="I900" s="44">
        <f t="shared" si="553"/>
        <v>0</v>
      </c>
      <c r="J900" s="115">
        <f>'LOE Breakdown by Year'!P66</f>
        <v>0</v>
      </c>
      <c r="K900" s="44">
        <f t="shared" si="547"/>
        <v>24</v>
      </c>
      <c r="L900" s="44">
        <f t="shared" si="554"/>
        <v>0</v>
      </c>
      <c r="M900" s="115">
        <f>'LOE Breakdown by Year'!P112</f>
        <v>0</v>
      </c>
      <c r="N900" s="44">
        <f t="shared" si="548"/>
        <v>24</v>
      </c>
      <c r="O900" s="44">
        <f t="shared" si="555"/>
        <v>0</v>
      </c>
      <c r="P900" s="115">
        <f>'LOE Breakdown by Year'!P158</f>
        <v>0</v>
      </c>
      <c r="Q900" s="44">
        <f t="shared" si="549"/>
        <v>24</v>
      </c>
      <c r="R900" s="44">
        <f t="shared" si="556"/>
        <v>0</v>
      </c>
      <c r="S900" s="115">
        <f>'LOE Breakdown by Year'!P204</f>
        <v>0</v>
      </c>
      <c r="T900" s="44">
        <f t="shared" si="550"/>
        <v>24</v>
      </c>
      <c r="U900" s="44">
        <f t="shared" si="557"/>
        <v>0</v>
      </c>
      <c r="V900" s="115">
        <f>'LOE Breakdown by Year'!P250</f>
        <v>0</v>
      </c>
      <c r="W900" s="44">
        <f t="shared" si="551"/>
        <v>12</v>
      </c>
      <c r="X900" s="44">
        <f t="shared" si="558"/>
        <v>0</v>
      </c>
      <c r="Y900" s="44">
        <f t="shared" si="559"/>
        <v>0</v>
      </c>
      <c r="Z900" s="44">
        <v>0</v>
      </c>
      <c r="AA900" s="44">
        <f t="shared" si="560"/>
        <v>0</v>
      </c>
      <c r="AB900" s="222"/>
    </row>
    <row r="901" spans="1:28" hidden="1">
      <c r="A901" s="595" t="s">
        <v>1228</v>
      </c>
      <c r="B901" s="595">
        <v>70000</v>
      </c>
      <c r="C901" s="595" t="s">
        <v>747</v>
      </c>
      <c r="D901" s="8" t="str">
        <f t="shared" si="545"/>
        <v>WASH Officer</v>
      </c>
      <c r="E901" s="115">
        <f>'LOE Breakdown by Year'!P21</f>
        <v>0</v>
      </c>
      <c r="F901" s="50" t="s">
        <v>100</v>
      </c>
      <c r="G901" s="44">
        <f t="shared" si="546"/>
        <v>6</v>
      </c>
      <c r="H901" s="44">
        <f t="shared" si="546"/>
        <v>1000</v>
      </c>
      <c r="I901" s="44">
        <f t="shared" si="553"/>
        <v>0</v>
      </c>
      <c r="J901" s="115">
        <f>'LOE Breakdown by Year'!P67</f>
        <v>0</v>
      </c>
      <c r="K901" s="44">
        <f t="shared" si="547"/>
        <v>12</v>
      </c>
      <c r="L901" s="44">
        <f t="shared" si="554"/>
        <v>0</v>
      </c>
      <c r="M901" s="115">
        <f>'LOE Breakdown by Year'!P113</f>
        <v>0</v>
      </c>
      <c r="N901" s="44">
        <f t="shared" si="548"/>
        <v>12</v>
      </c>
      <c r="O901" s="44">
        <f t="shared" si="555"/>
        <v>0</v>
      </c>
      <c r="P901" s="115">
        <f>'LOE Breakdown by Year'!P159</f>
        <v>0</v>
      </c>
      <c r="Q901" s="44">
        <f t="shared" si="549"/>
        <v>12</v>
      </c>
      <c r="R901" s="44">
        <f t="shared" si="556"/>
        <v>0</v>
      </c>
      <c r="S901" s="115">
        <f>'LOE Breakdown by Year'!P205</f>
        <v>0</v>
      </c>
      <c r="T901" s="44">
        <f t="shared" si="550"/>
        <v>12</v>
      </c>
      <c r="U901" s="44">
        <f t="shared" si="557"/>
        <v>0</v>
      </c>
      <c r="V901" s="115">
        <f>'LOE Breakdown by Year'!P251</f>
        <v>0</v>
      </c>
      <c r="W901" s="44">
        <f t="shared" si="551"/>
        <v>3</v>
      </c>
      <c r="X901" s="44">
        <f t="shared" si="558"/>
        <v>0</v>
      </c>
      <c r="Y901" s="44">
        <f t="shared" si="559"/>
        <v>0</v>
      </c>
      <c r="Z901" s="44">
        <v>0</v>
      </c>
      <c r="AA901" s="44">
        <f t="shared" si="560"/>
        <v>0</v>
      </c>
      <c r="AB901" s="222"/>
    </row>
    <row r="902" spans="1:28" hidden="1">
      <c r="A902" s="595" t="s">
        <v>1229</v>
      </c>
      <c r="B902" s="595">
        <v>70000</v>
      </c>
      <c r="C902" s="595" t="s">
        <v>747</v>
      </c>
      <c r="D902" s="8" t="str">
        <f t="shared" si="545"/>
        <v>Communications Specialist</v>
      </c>
      <c r="E902" s="115">
        <f>'LOE Breakdown by Year'!P22</f>
        <v>0</v>
      </c>
      <c r="F902" s="50" t="s">
        <v>100</v>
      </c>
      <c r="G902" s="44">
        <f t="shared" si="546"/>
        <v>8</v>
      </c>
      <c r="H902" s="44">
        <f t="shared" si="546"/>
        <v>1500</v>
      </c>
      <c r="I902" s="44">
        <f t="shared" si="553"/>
        <v>0</v>
      </c>
      <c r="J902" s="115">
        <f>'LOE Breakdown by Year'!P68</f>
        <v>0</v>
      </c>
      <c r="K902" s="44">
        <f t="shared" si="547"/>
        <v>12</v>
      </c>
      <c r="L902" s="44">
        <f t="shared" si="554"/>
        <v>0</v>
      </c>
      <c r="M902" s="115">
        <f>'LOE Breakdown by Year'!P114</f>
        <v>0</v>
      </c>
      <c r="N902" s="44">
        <f t="shared" si="548"/>
        <v>12</v>
      </c>
      <c r="O902" s="44">
        <f t="shared" si="555"/>
        <v>0</v>
      </c>
      <c r="P902" s="115">
        <f>'LOE Breakdown by Year'!P160</f>
        <v>0</v>
      </c>
      <c r="Q902" s="44">
        <f t="shared" si="549"/>
        <v>12</v>
      </c>
      <c r="R902" s="44">
        <f t="shared" si="556"/>
        <v>0</v>
      </c>
      <c r="S902" s="115">
        <f>'LOE Breakdown by Year'!P206</f>
        <v>0</v>
      </c>
      <c r="T902" s="44">
        <f t="shared" si="550"/>
        <v>12</v>
      </c>
      <c r="U902" s="44">
        <f t="shared" si="557"/>
        <v>0</v>
      </c>
      <c r="V902" s="115">
        <f>'LOE Breakdown by Year'!P252</f>
        <v>0</v>
      </c>
      <c r="W902" s="44">
        <f t="shared" si="551"/>
        <v>8</v>
      </c>
      <c r="X902" s="44">
        <f t="shared" si="558"/>
        <v>0</v>
      </c>
      <c r="Y902" s="44">
        <f t="shared" si="559"/>
        <v>0</v>
      </c>
      <c r="Z902" s="44">
        <v>0</v>
      </c>
      <c r="AA902" s="44">
        <f t="shared" si="560"/>
        <v>0</v>
      </c>
      <c r="AB902" s="222"/>
    </row>
    <row r="903" spans="1:28" hidden="1">
      <c r="A903" s="595" t="s">
        <v>1230</v>
      </c>
      <c r="B903" s="595">
        <v>70000</v>
      </c>
      <c r="C903" s="595" t="s">
        <v>747</v>
      </c>
      <c r="D903" s="8" t="str">
        <f t="shared" si="545"/>
        <v>Communications Officer</v>
      </c>
      <c r="E903" s="115">
        <f>'LOE Breakdown by Year'!P23</f>
        <v>0</v>
      </c>
      <c r="F903" s="50" t="s">
        <v>100</v>
      </c>
      <c r="G903" s="44">
        <f t="shared" si="546"/>
        <v>0</v>
      </c>
      <c r="H903" s="44">
        <f t="shared" si="546"/>
        <v>1000</v>
      </c>
      <c r="I903" s="44">
        <f t="shared" si="553"/>
        <v>0</v>
      </c>
      <c r="J903" s="115">
        <f>'LOE Breakdown by Year'!P69</f>
        <v>0</v>
      </c>
      <c r="K903" s="44">
        <f t="shared" si="547"/>
        <v>12</v>
      </c>
      <c r="L903" s="44">
        <f t="shared" si="554"/>
        <v>0</v>
      </c>
      <c r="M903" s="115">
        <f>'LOE Breakdown by Year'!P115</f>
        <v>0</v>
      </c>
      <c r="N903" s="44">
        <f t="shared" si="548"/>
        <v>12</v>
      </c>
      <c r="O903" s="44">
        <f t="shared" si="555"/>
        <v>0</v>
      </c>
      <c r="P903" s="115">
        <f>'LOE Breakdown by Year'!P161</f>
        <v>0</v>
      </c>
      <c r="Q903" s="44">
        <f t="shared" si="549"/>
        <v>12</v>
      </c>
      <c r="R903" s="44">
        <f t="shared" si="556"/>
        <v>0</v>
      </c>
      <c r="S903" s="115">
        <f>'LOE Breakdown by Year'!P207</f>
        <v>0</v>
      </c>
      <c r="T903" s="44">
        <f t="shared" si="550"/>
        <v>12</v>
      </c>
      <c r="U903" s="44">
        <f t="shared" si="557"/>
        <v>0</v>
      </c>
      <c r="V903" s="115">
        <f>'LOE Breakdown by Year'!P253</f>
        <v>0</v>
      </c>
      <c r="W903" s="44">
        <f t="shared" si="551"/>
        <v>0</v>
      </c>
      <c r="X903" s="44">
        <f t="shared" si="558"/>
        <v>0</v>
      </c>
      <c r="Y903" s="44">
        <f t="shared" si="559"/>
        <v>0</v>
      </c>
      <c r="Z903" s="44">
        <v>0</v>
      </c>
      <c r="AA903" s="44">
        <f t="shared" si="560"/>
        <v>0</v>
      </c>
      <c r="AB903" s="222"/>
    </row>
    <row r="904" spans="1:28" hidden="1">
      <c r="A904" s="595" t="s">
        <v>1231</v>
      </c>
      <c r="B904" s="595">
        <v>70000</v>
      </c>
      <c r="C904" s="595" t="s">
        <v>747</v>
      </c>
      <c r="D904" s="8" t="str">
        <f t="shared" si="545"/>
        <v>Education &amp; Community Engagement Specialist</v>
      </c>
      <c r="E904" s="115">
        <f>'LOE Breakdown by Year'!P24</f>
        <v>0</v>
      </c>
      <c r="F904" s="50" t="s">
        <v>100</v>
      </c>
      <c r="G904" s="44">
        <f t="shared" si="546"/>
        <v>6</v>
      </c>
      <c r="H904" s="44">
        <f t="shared" si="546"/>
        <v>1500</v>
      </c>
      <c r="I904" s="44">
        <f t="shared" si="553"/>
        <v>0</v>
      </c>
      <c r="J904" s="115">
        <f>'LOE Breakdown by Year'!P70</f>
        <v>0</v>
      </c>
      <c r="K904" s="44">
        <f t="shared" si="547"/>
        <v>12</v>
      </c>
      <c r="L904" s="44">
        <f t="shared" si="554"/>
        <v>0</v>
      </c>
      <c r="M904" s="115">
        <f>'LOE Breakdown by Year'!P116</f>
        <v>0</v>
      </c>
      <c r="N904" s="44">
        <f t="shared" si="548"/>
        <v>12</v>
      </c>
      <c r="O904" s="44">
        <f t="shared" si="555"/>
        <v>0</v>
      </c>
      <c r="P904" s="115">
        <f>'LOE Breakdown by Year'!P162</f>
        <v>0</v>
      </c>
      <c r="Q904" s="44">
        <f t="shared" si="549"/>
        <v>12</v>
      </c>
      <c r="R904" s="44">
        <f t="shared" si="556"/>
        <v>0</v>
      </c>
      <c r="S904" s="115">
        <f>'LOE Breakdown by Year'!P208</f>
        <v>0</v>
      </c>
      <c r="T904" s="44">
        <f t="shared" si="550"/>
        <v>12</v>
      </c>
      <c r="U904" s="44">
        <f t="shared" si="557"/>
        <v>0</v>
      </c>
      <c r="V904" s="115">
        <f>'LOE Breakdown by Year'!P254</f>
        <v>0</v>
      </c>
      <c r="W904" s="44">
        <f t="shared" si="551"/>
        <v>8</v>
      </c>
      <c r="X904" s="44">
        <f t="shared" si="558"/>
        <v>0</v>
      </c>
      <c r="Y904" s="44">
        <f t="shared" si="559"/>
        <v>0</v>
      </c>
      <c r="Z904" s="44">
        <v>0</v>
      </c>
      <c r="AA904" s="44">
        <f t="shared" si="560"/>
        <v>0</v>
      </c>
      <c r="AB904" s="222"/>
    </row>
    <row r="905" spans="1:28" hidden="1">
      <c r="A905" s="595" t="s">
        <v>1232</v>
      </c>
      <c r="B905" s="595">
        <v>70000</v>
      </c>
      <c r="C905" s="595" t="s">
        <v>747</v>
      </c>
      <c r="D905" s="8" t="str">
        <f t="shared" si="545"/>
        <v>Education &amp; Community Engagement Officer</v>
      </c>
      <c r="E905" s="115">
        <f>'LOE Breakdown by Year'!P25</f>
        <v>0</v>
      </c>
      <c r="F905" s="50" t="s">
        <v>100</v>
      </c>
      <c r="G905" s="44">
        <f t="shared" si="546"/>
        <v>3</v>
      </c>
      <c r="H905" s="44">
        <f t="shared" si="546"/>
        <v>1000</v>
      </c>
      <c r="I905" s="44">
        <f t="shared" si="553"/>
        <v>0</v>
      </c>
      <c r="J905" s="115">
        <f>'LOE Breakdown by Year'!P71</f>
        <v>0</v>
      </c>
      <c r="K905" s="44">
        <f t="shared" si="547"/>
        <v>12</v>
      </c>
      <c r="L905" s="44">
        <f t="shared" si="554"/>
        <v>0</v>
      </c>
      <c r="M905" s="115">
        <f>'LOE Breakdown by Year'!P117</f>
        <v>0</v>
      </c>
      <c r="N905" s="44">
        <f t="shared" si="548"/>
        <v>12</v>
      </c>
      <c r="O905" s="44">
        <f t="shared" si="555"/>
        <v>0</v>
      </c>
      <c r="P905" s="115">
        <f>'LOE Breakdown by Year'!P163</f>
        <v>0</v>
      </c>
      <c r="Q905" s="44">
        <f t="shared" si="549"/>
        <v>12</v>
      </c>
      <c r="R905" s="44">
        <f t="shared" si="556"/>
        <v>0</v>
      </c>
      <c r="S905" s="115">
        <f>'LOE Breakdown by Year'!P209</f>
        <v>0</v>
      </c>
      <c r="T905" s="44">
        <f t="shared" si="550"/>
        <v>12</v>
      </c>
      <c r="U905" s="44">
        <f t="shared" si="557"/>
        <v>0</v>
      </c>
      <c r="V905" s="115">
        <f>'LOE Breakdown by Year'!P255</f>
        <v>0</v>
      </c>
      <c r="W905" s="44">
        <f t="shared" si="551"/>
        <v>0</v>
      </c>
      <c r="X905" s="44">
        <f t="shared" si="558"/>
        <v>0</v>
      </c>
      <c r="Y905" s="44">
        <f t="shared" si="559"/>
        <v>0</v>
      </c>
      <c r="Z905" s="44">
        <v>0</v>
      </c>
      <c r="AA905" s="44">
        <f t="shared" si="560"/>
        <v>0</v>
      </c>
      <c r="AB905" s="222"/>
    </row>
    <row r="906" spans="1:28" hidden="1">
      <c r="A906" s="595" t="s">
        <v>1233</v>
      </c>
      <c r="B906" s="595">
        <v>70000</v>
      </c>
      <c r="C906" s="595" t="s">
        <v>747</v>
      </c>
      <c r="D906" s="8" t="str">
        <f t="shared" si="545"/>
        <v>Private Sector Specialist</v>
      </c>
      <c r="E906" s="115">
        <f>'LOE Breakdown by Year'!P26</f>
        <v>0</v>
      </c>
      <c r="F906" s="50" t="s">
        <v>100</v>
      </c>
      <c r="G906" s="44">
        <f t="shared" si="546"/>
        <v>9</v>
      </c>
      <c r="H906" s="44">
        <f t="shared" si="546"/>
        <v>2000</v>
      </c>
      <c r="I906" s="44">
        <f t="shared" si="553"/>
        <v>0</v>
      </c>
      <c r="J906" s="115">
        <f>'LOE Breakdown by Year'!P72</f>
        <v>0</v>
      </c>
      <c r="K906" s="44">
        <f t="shared" si="547"/>
        <v>12</v>
      </c>
      <c r="L906" s="44">
        <f t="shared" si="554"/>
        <v>0</v>
      </c>
      <c r="M906" s="115">
        <f>'LOE Breakdown by Year'!P118</f>
        <v>0</v>
      </c>
      <c r="N906" s="44">
        <f t="shared" si="548"/>
        <v>12</v>
      </c>
      <c r="O906" s="44">
        <f t="shared" si="555"/>
        <v>0</v>
      </c>
      <c r="P906" s="115">
        <f>'LOE Breakdown by Year'!P164</f>
        <v>0</v>
      </c>
      <c r="Q906" s="44">
        <f t="shared" si="549"/>
        <v>12</v>
      </c>
      <c r="R906" s="44">
        <f t="shared" si="556"/>
        <v>0</v>
      </c>
      <c r="S906" s="115">
        <f>'LOE Breakdown by Year'!P210</f>
        <v>0</v>
      </c>
      <c r="T906" s="44">
        <f t="shared" si="550"/>
        <v>12</v>
      </c>
      <c r="U906" s="44">
        <f t="shared" si="557"/>
        <v>0</v>
      </c>
      <c r="V906" s="115">
        <f>'LOE Breakdown by Year'!P256</f>
        <v>0</v>
      </c>
      <c r="W906" s="44">
        <f t="shared" si="551"/>
        <v>6</v>
      </c>
      <c r="X906" s="44">
        <f t="shared" si="558"/>
        <v>0</v>
      </c>
      <c r="Y906" s="44">
        <f t="shared" si="559"/>
        <v>0</v>
      </c>
      <c r="Z906" s="44">
        <v>0</v>
      </c>
      <c r="AA906" s="44">
        <f t="shared" si="560"/>
        <v>0</v>
      </c>
      <c r="AB906" s="222"/>
    </row>
    <row r="907" spans="1:28" hidden="1">
      <c r="A907" s="595" t="s">
        <v>1234</v>
      </c>
      <c r="B907" s="595">
        <v>70000</v>
      </c>
      <c r="C907" s="595" t="s">
        <v>747</v>
      </c>
      <c r="D907" s="8" t="str">
        <f t="shared" si="545"/>
        <v xml:space="preserve">Key Personnel: M&amp;E Director </v>
      </c>
      <c r="E907" s="115">
        <f>'LOE Breakdown by Year'!P27</f>
        <v>0</v>
      </c>
      <c r="F907" s="50" t="s">
        <v>100</v>
      </c>
      <c r="G907" s="44">
        <f t="shared" si="546"/>
        <v>11</v>
      </c>
      <c r="H907" s="44">
        <f t="shared" si="546"/>
        <v>4583.333333333333</v>
      </c>
      <c r="I907" s="44">
        <f t="shared" si="553"/>
        <v>0</v>
      </c>
      <c r="J907" s="115">
        <f>'LOE Breakdown by Year'!P73</f>
        <v>0</v>
      </c>
      <c r="K907" s="44">
        <f t="shared" si="547"/>
        <v>12</v>
      </c>
      <c r="L907" s="44">
        <f t="shared" si="554"/>
        <v>0</v>
      </c>
      <c r="M907" s="115">
        <f>'LOE Breakdown by Year'!P119</f>
        <v>0</v>
      </c>
      <c r="N907" s="44">
        <f t="shared" si="548"/>
        <v>12</v>
      </c>
      <c r="O907" s="44">
        <f t="shared" si="555"/>
        <v>0</v>
      </c>
      <c r="P907" s="115">
        <f>'LOE Breakdown by Year'!P165</f>
        <v>0</v>
      </c>
      <c r="Q907" s="44">
        <f t="shared" si="549"/>
        <v>12</v>
      </c>
      <c r="R907" s="44">
        <f t="shared" si="556"/>
        <v>0</v>
      </c>
      <c r="S907" s="115">
        <f>'LOE Breakdown by Year'!P211</f>
        <v>0</v>
      </c>
      <c r="T907" s="44">
        <f t="shared" si="550"/>
        <v>12</v>
      </c>
      <c r="U907" s="44">
        <f t="shared" si="557"/>
        <v>0</v>
      </c>
      <c r="V907" s="115">
        <f>'LOE Breakdown by Year'!P257</f>
        <v>0</v>
      </c>
      <c r="W907" s="44">
        <f t="shared" si="551"/>
        <v>12</v>
      </c>
      <c r="X907" s="44">
        <f t="shared" si="558"/>
        <v>0</v>
      </c>
      <c r="Y907" s="44">
        <f t="shared" si="559"/>
        <v>0</v>
      </c>
      <c r="Z907" s="44">
        <v>0</v>
      </c>
      <c r="AA907" s="44">
        <f t="shared" si="560"/>
        <v>0</v>
      </c>
      <c r="AB907" s="222"/>
    </row>
    <row r="908" spans="1:28" hidden="1">
      <c r="A908" s="595" t="s">
        <v>1235</v>
      </c>
      <c r="B908" s="595">
        <v>70000</v>
      </c>
      <c r="C908" s="595" t="s">
        <v>747</v>
      </c>
      <c r="D908" s="8" t="str">
        <f t="shared" si="545"/>
        <v>M&amp;E Specialist</v>
      </c>
      <c r="E908" s="115">
        <f>'LOE Breakdown by Year'!P28</f>
        <v>0</v>
      </c>
      <c r="F908" s="50" t="s">
        <v>100</v>
      </c>
      <c r="G908" s="44">
        <f t="shared" si="546"/>
        <v>6</v>
      </c>
      <c r="H908" s="44">
        <f t="shared" si="546"/>
        <v>2000</v>
      </c>
      <c r="I908" s="44">
        <f t="shared" si="553"/>
        <v>0</v>
      </c>
      <c r="J908" s="115">
        <f>'LOE Breakdown by Year'!P74</f>
        <v>0</v>
      </c>
      <c r="K908" s="44">
        <f t="shared" si="547"/>
        <v>12</v>
      </c>
      <c r="L908" s="44">
        <f t="shared" si="554"/>
        <v>0</v>
      </c>
      <c r="M908" s="115">
        <f>'LOE Breakdown by Year'!P120</f>
        <v>0</v>
      </c>
      <c r="N908" s="44">
        <f t="shared" si="548"/>
        <v>12</v>
      </c>
      <c r="O908" s="44">
        <f t="shared" si="555"/>
        <v>0</v>
      </c>
      <c r="P908" s="115">
        <f>'LOE Breakdown by Year'!P166</f>
        <v>0</v>
      </c>
      <c r="Q908" s="44">
        <f t="shared" si="549"/>
        <v>12</v>
      </c>
      <c r="R908" s="44">
        <f t="shared" si="556"/>
        <v>0</v>
      </c>
      <c r="S908" s="115">
        <f>'LOE Breakdown by Year'!P212</f>
        <v>0</v>
      </c>
      <c r="T908" s="44">
        <f t="shared" si="550"/>
        <v>12</v>
      </c>
      <c r="U908" s="44">
        <f t="shared" si="557"/>
        <v>0</v>
      </c>
      <c r="V908" s="115">
        <f>'LOE Breakdown by Year'!P258</f>
        <v>0</v>
      </c>
      <c r="W908" s="44">
        <f t="shared" si="551"/>
        <v>11</v>
      </c>
      <c r="X908" s="44">
        <f t="shared" si="558"/>
        <v>0</v>
      </c>
      <c r="Y908" s="44">
        <f t="shared" si="559"/>
        <v>0</v>
      </c>
      <c r="Z908" s="44">
        <v>0</v>
      </c>
      <c r="AA908" s="44">
        <f t="shared" si="560"/>
        <v>0</v>
      </c>
      <c r="AB908" s="222"/>
    </row>
    <row r="909" spans="1:28" hidden="1">
      <c r="A909" s="595" t="s">
        <v>1236</v>
      </c>
      <c r="B909" s="595">
        <v>70000</v>
      </c>
      <c r="C909" s="595" t="s">
        <v>747</v>
      </c>
      <c r="D909" s="8" t="str">
        <f t="shared" si="545"/>
        <v>M&amp;E Officer</v>
      </c>
      <c r="E909" s="115">
        <f>'LOE Breakdown by Year'!P29</f>
        <v>0</v>
      </c>
      <c r="F909" s="50" t="s">
        <v>100</v>
      </c>
      <c r="G909" s="44">
        <f t="shared" si="546"/>
        <v>2</v>
      </c>
      <c r="H909" s="44">
        <f t="shared" si="546"/>
        <v>1250</v>
      </c>
      <c r="I909" s="44">
        <f t="shared" si="553"/>
        <v>0</v>
      </c>
      <c r="J909" s="115">
        <f>'LOE Breakdown by Year'!P75</f>
        <v>0</v>
      </c>
      <c r="K909" s="44">
        <f t="shared" si="547"/>
        <v>12</v>
      </c>
      <c r="L909" s="44">
        <f t="shared" si="554"/>
        <v>0</v>
      </c>
      <c r="M909" s="115">
        <f>'LOE Breakdown by Year'!P121</f>
        <v>0</v>
      </c>
      <c r="N909" s="44">
        <f t="shared" si="548"/>
        <v>12</v>
      </c>
      <c r="O909" s="44">
        <f t="shared" si="555"/>
        <v>0</v>
      </c>
      <c r="P909" s="115">
        <f>'LOE Breakdown by Year'!P167</f>
        <v>0</v>
      </c>
      <c r="Q909" s="44">
        <f t="shared" si="549"/>
        <v>12</v>
      </c>
      <c r="R909" s="44">
        <f t="shared" si="556"/>
        <v>0</v>
      </c>
      <c r="S909" s="115">
        <f>'LOE Breakdown by Year'!P213</f>
        <v>0</v>
      </c>
      <c r="T909" s="44">
        <f t="shared" si="550"/>
        <v>12</v>
      </c>
      <c r="U909" s="44">
        <f t="shared" si="557"/>
        <v>0</v>
      </c>
      <c r="V909" s="115">
        <f>'LOE Breakdown by Year'!P259</f>
        <v>0</v>
      </c>
      <c r="W909" s="44">
        <f t="shared" si="551"/>
        <v>3</v>
      </c>
      <c r="X909" s="44">
        <f t="shared" si="558"/>
        <v>0</v>
      </c>
      <c r="Y909" s="44">
        <f t="shared" si="559"/>
        <v>0</v>
      </c>
      <c r="Z909" s="44">
        <v>0</v>
      </c>
      <c r="AA909" s="44">
        <f t="shared" si="560"/>
        <v>0</v>
      </c>
      <c r="AB909" s="222"/>
    </row>
    <row r="910" spans="1:28">
      <c r="A910" s="595" t="s">
        <v>1237</v>
      </c>
      <c r="B910" s="595">
        <v>70000</v>
      </c>
      <c r="C910" s="595" t="s">
        <v>747</v>
      </c>
      <c r="D910" s="8" t="str">
        <f t="shared" si="545"/>
        <v>Supply Chain Manager</v>
      </c>
      <c r="E910" s="115">
        <f>'LOE Breakdown by Year'!P30</f>
        <v>1</v>
      </c>
      <c r="F910" s="50" t="s">
        <v>100</v>
      </c>
      <c r="G910" s="44">
        <f t="shared" si="546"/>
        <v>11</v>
      </c>
      <c r="H910" s="44">
        <f t="shared" si="546"/>
        <v>5000</v>
      </c>
      <c r="I910" s="44">
        <f t="shared" si="553"/>
        <v>55000</v>
      </c>
      <c r="J910" s="115">
        <f>'LOE Breakdown by Year'!P76</f>
        <v>1</v>
      </c>
      <c r="K910" s="44">
        <f t="shared" si="547"/>
        <v>12</v>
      </c>
      <c r="L910" s="44">
        <f t="shared" si="554"/>
        <v>63000</v>
      </c>
      <c r="M910" s="115">
        <f>'LOE Breakdown by Year'!P122</f>
        <v>1</v>
      </c>
      <c r="N910" s="44">
        <f t="shared" si="548"/>
        <v>12</v>
      </c>
      <c r="O910" s="44">
        <f t="shared" si="555"/>
        <v>66150</v>
      </c>
      <c r="P910" s="115">
        <f>'LOE Breakdown by Year'!P168</f>
        <v>1</v>
      </c>
      <c r="Q910" s="44">
        <f t="shared" si="549"/>
        <v>12</v>
      </c>
      <c r="R910" s="44">
        <f t="shared" si="556"/>
        <v>69457.5</v>
      </c>
      <c r="S910" s="115">
        <f>'LOE Breakdown by Year'!P214</f>
        <v>1</v>
      </c>
      <c r="T910" s="44">
        <f t="shared" si="550"/>
        <v>12</v>
      </c>
      <c r="U910" s="44">
        <f t="shared" si="557"/>
        <v>72930.375</v>
      </c>
      <c r="V910" s="115">
        <f>'LOE Breakdown by Year'!P260</f>
        <v>1</v>
      </c>
      <c r="W910" s="44">
        <f t="shared" si="551"/>
        <v>8</v>
      </c>
      <c r="X910" s="44">
        <f t="shared" si="558"/>
        <v>51051.262500000004</v>
      </c>
      <c r="Y910" s="44">
        <f t="shared" si="559"/>
        <v>377589.13750000001</v>
      </c>
      <c r="Z910" s="44">
        <v>0</v>
      </c>
      <c r="AA910" s="44">
        <f t="shared" si="560"/>
        <v>377589.13750000001</v>
      </c>
      <c r="AB910" s="222"/>
    </row>
    <row r="911" spans="1:28">
      <c r="A911" s="595" t="s">
        <v>1238</v>
      </c>
      <c r="B911" s="595">
        <v>70000</v>
      </c>
      <c r="C911" s="595" t="s">
        <v>747</v>
      </c>
      <c r="D911" s="8" t="str">
        <f t="shared" si="545"/>
        <v>In-Country Logistics Specialist</v>
      </c>
      <c r="E911" s="115">
        <f>'LOE Breakdown by Year'!P31</f>
        <v>1</v>
      </c>
      <c r="F911" s="50" t="s">
        <v>100</v>
      </c>
      <c r="G911" s="44">
        <f t="shared" ref="G911:H924" si="561">G32</f>
        <v>9</v>
      </c>
      <c r="H911" s="44">
        <f t="shared" si="561"/>
        <v>2000</v>
      </c>
      <c r="I911" s="44">
        <f t="shared" si="553"/>
        <v>18000</v>
      </c>
      <c r="J911" s="115">
        <f>'LOE Breakdown by Year'!P77</f>
        <v>1</v>
      </c>
      <c r="K911" s="44">
        <f t="shared" si="547"/>
        <v>12</v>
      </c>
      <c r="L911" s="44">
        <f t="shared" si="554"/>
        <v>25200</v>
      </c>
      <c r="M911" s="115">
        <f>'LOE Breakdown by Year'!P123</f>
        <v>1</v>
      </c>
      <c r="N911" s="44">
        <f t="shared" si="548"/>
        <v>12</v>
      </c>
      <c r="O911" s="44">
        <f t="shared" si="555"/>
        <v>26460</v>
      </c>
      <c r="P911" s="115">
        <f>'LOE Breakdown by Year'!P169</f>
        <v>1</v>
      </c>
      <c r="Q911" s="44">
        <f t="shared" si="549"/>
        <v>12</v>
      </c>
      <c r="R911" s="44">
        <f t="shared" si="556"/>
        <v>27783</v>
      </c>
      <c r="S911" s="115">
        <f>'LOE Breakdown by Year'!P215</f>
        <v>1</v>
      </c>
      <c r="T911" s="44">
        <f t="shared" si="550"/>
        <v>12</v>
      </c>
      <c r="U911" s="44">
        <f t="shared" si="557"/>
        <v>29172.15</v>
      </c>
      <c r="V911" s="115">
        <f>'LOE Breakdown by Year'!P261</f>
        <v>1</v>
      </c>
      <c r="W911" s="44">
        <f t="shared" si="551"/>
        <v>8</v>
      </c>
      <c r="X911" s="44">
        <f t="shared" si="558"/>
        <v>20420.505000000005</v>
      </c>
      <c r="Y911" s="44">
        <f t="shared" si="559"/>
        <v>147035.655</v>
      </c>
      <c r="Z911" s="44">
        <v>0</v>
      </c>
      <c r="AA911" s="44">
        <f t="shared" si="560"/>
        <v>147035.655</v>
      </c>
      <c r="AB911" s="222"/>
    </row>
    <row r="912" spans="1:28">
      <c r="A912" s="595" t="s">
        <v>1239</v>
      </c>
      <c r="B912" s="595">
        <v>70000</v>
      </c>
      <c r="C912" s="595" t="s">
        <v>747</v>
      </c>
      <c r="D912" s="8" t="str">
        <f t="shared" si="545"/>
        <v>US Commodity Logistics Specialist</v>
      </c>
      <c r="E912" s="115">
        <f>'LOE Breakdown by Year'!P32</f>
        <v>0.8</v>
      </c>
      <c r="F912" s="50" t="s">
        <v>100</v>
      </c>
      <c r="G912" s="44">
        <f t="shared" si="561"/>
        <v>9</v>
      </c>
      <c r="H912" s="44">
        <f t="shared" si="561"/>
        <v>2000</v>
      </c>
      <c r="I912" s="44">
        <f t="shared" si="553"/>
        <v>14400</v>
      </c>
      <c r="J912" s="115">
        <f>'LOE Breakdown by Year'!P78</f>
        <v>0.8</v>
      </c>
      <c r="K912" s="44">
        <f t="shared" si="547"/>
        <v>12</v>
      </c>
      <c r="L912" s="44">
        <f t="shared" si="554"/>
        <v>20160</v>
      </c>
      <c r="M912" s="115">
        <f>'LOE Breakdown by Year'!P124</f>
        <v>0.8</v>
      </c>
      <c r="N912" s="44">
        <f t="shared" si="548"/>
        <v>12</v>
      </c>
      <c r="O912" s="44">
        <f t="shared" si="555"/>
        <v>21168</v>
      </c>
      <c r="P912" s="115">
        <f>'LOE Breakdown by Year'!P170</f>
        <v>0.8</v>
      </c>
      <c r="Q912" s="44">
        <f t="shared" si="549"/>
        <v>12</v>
      </c>
      <c r="R912" s="44">
        <f t="shared" si="556"/>
        <v>22226.400000000001</v>
      </c>
      <c r="S912" s="115">
        <f>'LOE Breakdown by Year'!P216</f>
        <v>0.8</v>
      </c>
      <c r="T912" s="44">
        <f t="shared" si="550"/>
        <v>12</v>
      </c>
      <c r="U912" s="44">
        <f t="shared" si="557"/>
        <v>23337.72</v>
      </c>
      <c r="V912" s="115">
        <f>'LOE Breakdown by Year'!P262</f>
        <v>0.8</v>
      </c>
      <c r="W912" s="44">
        <f t="shared" si="551"/>
        <v>8</v>
      </c>
      <c r="X912" s="44">
        <f t="shared" si="558"/>
        <v>16336.404000000002</v>
      </c>
      <c r="Y912" s="44">
        <f t="shared" si="559"/>
        <v>117628.524</v>
      </c>
      <c r="Z912" s="44">
        <v>0</v>
      </c>
      <c r="AA912" s="44">
        <f t="shared" si="560"/>
        <v>117628.524</v>
      </c>
      <c r="AB912" s="222"/>
    </row>
    <row r="913" spans="1:28">
      <c r="A913" s="595" t="s">
        <v>1240</v>
      </c>
      <c r="B913" s="595">
        <v>70000</v>
      </c>
      <c r="C913" s="595" t="s">
        <v>747</v>
      </c>
      <c r="D913" s="8" t="str">
        <f t="shared" si="545"/>
        <v>Warehouse Manager</v>
      </c>
      <c r="E913" s="115">
        <f>'LOE Breakdown by Year'!P33</f>
        <v>1</v>
      </c>
      <c r="F913" s="50" t="s">
        <v>100</v>
      </c>
      <c r="G913" s="44">
        <f t="shared" si="561"/>
        <v>8</v>
      </c>
      <c r="H913" s="44">
        <f t="shared" si="561"/>
        <v>1250</v>
      </c>
      <c r="I913" s="44">
        <f t="shared" si="553"/>
        <v>10000</v>
      </c>
      <c r="J913" s="115">
        <f>'LOE Breakdown by Year'!P79</f>
        <v>1</v>
      </c>
      <c r="K913" s="44">
        <f t="shared" si="547"/>
        <v>12</v>
      </c>
      <c r="L913" s="44">
        <f t="shared" si="554"/>
        <v>15750</v>
      </c>
      <c r="M913" s="115">
        <f>'LOE Breakdown by Year'!P125</f>
        <v>1</v>
      </c>
      <c r="N913" s="44">
        <f t="shared" si="548"/>
        <v>12</v>
      </c>
      <c r="O913" s="44">
        <f t="shared" si="555"/>
        <v>16537.5</v>
      </c>
      <c r="P913" s="115">
        <f>'LOE Breakdown by Year'!P171</f>
        <v>1</v>
      </c>
      <c r="Q913" s="44">
        <f t="shared" si="549"/>
        <v>12</v>
      </c>
      <c r="R913" s="44">
        <f t="shared" si="556"/>
        <v>17364.375</v>
      </c>
      <c r="S913" s="115">
        <f>'LOE Breakdown by Year'!P217</f>
        <v>1</v>
      </c>
      <c r="T913" s="44">
        <f t="shared" si="550"/>
        <v>12</v>
      </c>
      <c r="U913" s="44">
        <f t="shared" si="557"/>
        <v>18232.59375</v>
      </c>
      <c r="V913" s="115">
        <f>'LOE Breakdown by Year'!P263</f>
        <v>1</v>
      </c>
      <c r="W913" s="44">
        <f t="shared" si="551"/>
        <v>8</v>
      </c>
      <c r="X913" s="44">
        <f t="shared" si="558"/>
        <v>12762.815625000001</v>
      </c>
      <c r="Y913" s="44">
        <f t="shared" si="559"/>
        <v>90647.284375000003</v>
      </c>
      <c r="Z913" s="44">
        <v>0</v>
      </c>
      <c r="AA913" s="44">
        <f t="shared" si="560"/>
        <v>90647.284375000003</v>
      </c>
      <c r="AB913" s="222"/>
    </row>
    <row r="914" spans="1:28">
      <c r="A914" s="595" t="s">
        <v>1241</v>
      </c>
      <c r="B914" s="595">
        <v>70000</v>
      </c>
      <c r="C914" s="595" t="s">
        <v>747</v>
      </c>
      <c r="D914" s="8" t="str">
        <f t="shared" si="545"/>
        <v>Warehouse Officer - (2 Individuals)</v>
      </c>
      <c r="E914" s="115">
        <f>'LOE Breakdown by Year'!P34</f>
        <v>1</v>
      </c>
      <c r="F914" s="50" t="s">
        <v>100</v>
      </c>
      <c r="G914" s="44">
        <f t="shared" si="561"/>
        <v>8</v>
      </c>
      <c r="H914" s="44">
        <f t="shared" si="561"/>
        <v>1000</v>
      </c>
      <c r="I914" s="44">
        <f t="shared" si="553"/>
        <v>8000</v>
      </c>
      <c r="J914" s="115">
        <f>'LOE Breakdown by Year'!P80</f>
        <v>1</v>
      </c>
      <c r="K914" s="44">
        <f t="shared" si="547"/>
        <v>24</v>
      </c>
      <c r="L914" s="44">
        <f t="shared" si="554"/>
        <v>25200</v>
      </c>
      <c r="M914" s="115">
        <f>'LOE Breakdown by Year'!P126</f>
        <v>1</v>
      </c>
      <c r="N914" s="44">
        <f t="shared" si="548"/>
        <v>24</v>
      </c>
      <c r="O914" s="44">
        <f t="shared" si="555"/>
        <v>26460</v>
      </c>
      <c r="P914" s="115">
        <f>'LOE Breakdown by Year'!P172</f>
        <v>1</v>
      </c>
      <c r="Q914" s="44">
        <f t="shared" si="549"/>
        <v>24</v>
      </c>
      <c r="R914" s="44">
        <f t="shared" si="556"/>
        <v>27783</v>
      </c>
      <c r="S914" s="115">
        <f>'LOE Breakdown by Year'!P218</f>
        <v>1</v>
      </c>
      <c r="T914" s="44">
        <f t="shared" si="550"/>
        <v>24</v>
      </c>
      <c r="U914" s="44">
        <f t="shared" si="557"/>
        <v>29172.15</v>
      </c>
      <c r="V914" s="115">
        <f>'LOE Breakdown by Year'!P264</f>
        <v>1</v>
      </c>
      <c r="W914" s="44">
        <f t="shared" si="551"/>
        <v>8</v>
      </c>
      <c r="X914" s="44">
        <f t="shared" si="558"/>
        <v>10210.252500000002</v>
      </c>
      <c r="Y914" s="44">
        <f t="shared" si="559"/>
        <v>126825.4025</v>
      </c>
      <c r="Z914" s="44">
        <v>0</v>
      </c>
      <c r="AA914" s="44">
        <f t="shared" si="560"/>
        <v>126825.4025</v>
      </c>
      <c r="AB914" s="569"/>
    </row>
    <row r="915" spans="1:28">
      <c r="A915" s="595" t="s">
        <v>1242</v>
      </c>
      <c r="B915" s="595">
        <v>70000</v>
      </c>
      <c r="C915" s="595" t="s">
        <v>747</v>
      </c>
      <c r="D915" s="8" t="str">
        <f t="shared" si="545"/>
        <v xml:space="preserve">LRP Technical Specialist </v>
      </c>
      <c r="E915" s="115">
        <f>'LOE Breakdown by Year'!P35</f>
        <v>1</v>
      </c>
      <c r="F915" s="50" t="s">
        <v>100</v>
      </c>
      <c r="G915" s="44">
        <f t="shared" si="561"/>
        <v>8</v>
      </c>
      <c r="H915" s="44">
        <f t="shared" si="561"/>
        <v>1500</v>
      </c>
      <c r="I915" s="44">
        <f t="shared" si="553"/>
        <v>12000</v>
      </c>
      <c r="J915" s="115">
        <f>'LOE Breakdown by Year'!P81</f>
        <v>1</v>
      </c>
      <c r="K915" s="44">
        <f t="shared" si="547"/>
        <v>12</v>
      </c>
      <c r="L915" s="44">
        <f t="shared" si="554"/>
        <v>18900</v>
      </c>
      <c r="M915" s="115">
        <f>'LOE Breakdown by Year'!P127</f>
        <v>1</v>
      </c>
      <c r="N915" s="44">
        <f t="shared" si="548"/>
        <v>12</v>
      </c>
      <c r="O915" s="44">
        <f t="shared" si="555"/>
        <v>19845</v>
      </c>
      <c r="P915" s="115">
        <f>'LOE Breakdown by Year'!P173</f>
        <v>1</v>
      </c>
      <c r="Q915" s="44">
        <f t="shared" si="549"/>
        <v>12</v>
      </c>
      <c r="R915" s="44">
        <f t="shared" si="556"/>
        <v>20837.25</v>
      </c>
      <c r="S915" s="115">
        <f>'LOE Breakdown by Year'!P219</f>
        <v>1</v>
      </c>
      <c r="T915" s="44">
        <f t="shared" si="550"/>
        <v>12</v>
      </c>
      <c r="U915" s="44">
        <f t="shared" si="557"/>
        <v>21879.112499999999</v>
      </c>
      <c r="V915" s="115">
        <f>'LOE Breakdown by Year'!P265</f>
        <v>1</v>
      </c>
      <c r="W915" s="44">
        <f t="shared" si="551"/>
        <v>0</v>
      </c>
      <c r="X915" s="44">
        <f t="shared" si="558"/>
        <v>0</v>
      </c>
      <c r="Y915" s="44">
        <f t="shared" si="559"/>
        <v>93461.362500000003</v>
      </c>
      <c r="Z915" s="44">
        <v>0</v>
      </c>
      <c r="AA915" s="44">
        <f t="shared" si="560"/>
        <v>93461.362500000003</v>
      </c>
      <c r="AB915" s="222"/>
    </row>
    <row r="916" spans="1:28" hidden="1">
      <c r="A916" s="595" t="s">
        <v>1243</v>
      </c>
      <c r="B916" s="595">
        <v>70000</v>
      </c>
      <c r="C916" s="595" t="s">
        <v>747</v>
      </c>
      <c r="D916" s="8" t="str">
        <f t="shared" si="545"/>
        <v>Finance &amp; Administration Director</v>
      </c>
      <c r="E916" s="115">
        <f>'LOE Breakdown by Year'!P36</f>
        <v>0</v>
      </c>
      <c r="F916" s="50" t="s">
        <v>100</v>
      </c>
      <c r="G916" s="44">
        <f t="shared" si="561"/>
        <v>9</v>
      </c>
      <c r="H916" s="44">
        <f t="shared" si="561"/>
        <v>5000</v>
      </c>
      <c r="I916" s="44">
        <f t="shared" si="553"/>
        <v>0</v>
      </c>
      <c r="J916" s="115">
        <f>'LOE Breakdown by Year'!P82</f>
        <v>0</v>
      </c>
      <c r="K916" s="44">
        <f t="shared" si="547"/>
        <v>12</v>
      </c>
      <c r="L916" s="44">
        <f t="shared" si="554"/>
        <v>0</v>
      </c>
      <c r="M916" s="115">
        <f>'LOE Breakdown by Year'!P128</f>
        <v>0</v>
      </c>
      <c r="N916" s="44">
        <f t="shared" si="548"/>
        <v>12</v>
      </c>
      <c r="O916" s="44">
        <f t="shared" si="555"/>
        <v>0</v>
      </c>
      <c r="P916" s="115">
        <f>'LOE Breakdown by Year'!P174</f>
        <v>0</v>
      </c>
      <c r="Q916" s="44">
        <f t="shared" si="549"/>
        <v>12</v>
      </c>
      <c r="R916" s="44">
        <f t="shared" si="556"/>
        <v>0</v>
      </c>
      <c r="S916" s="115">
        <f>'LOE Breakdown by Year'!P220</f>
        <v>0</v>
      </c>
      <c r="T916" s="44">
        <f t="shared" si="550"/>
        <v>12</v>
      </c>
      <c r="U916" s="44">
        <f t="shared" si="557"/>
        <v>0</v>
      </c>
      <c r="V916" s="115">
        <f>'LOE Breakdown by Year'!P266</f>
        <v>0</v>
      </c>
      <c r="W916" s="44">
        <f t="shared" si="551"/>
        <v>12</v>
      </c>
      <c r="X916" s="44">
        <f t="shared" si="558"/>
        <v>0</v>
      </c>
      <c r="Y916" s="44">
        <f t="shared" si="559"/>
        <v>0</v>
      </c>
      <c r="Z916" s="44">
        <v>0</v>
      </c>
      <c r="AA916" s="44">
        <f t="shared" si="560"/>
        <v>0</v>
      </c>
      <c r="AB916" s="222"/>
    </row>
    <row r="917" spans="1:28" hidden="1">
      <c r="A917" s="595" t="s">
        <v>1244</v>
      </c>
      <c r="B917" s="595">
        <v>70000</v>
      </c>
      <c r="C917" s="595" t="s">
        <v>747</v>
      </c>
      <c r="D917" s="8" t="str">
        <f t="shared" si="545"/>
        <v>Contracts &amp; Compliance Manager</v>
      </c>
      <c r="E917" s="115">
        <f>'LOE Breakdown by Year'!P37</f>
        <v>0</v>
      </c>
      <c r="F917" s="50" t="s">
        <v>100</v>
      </c>
      <c r="G917" s="44">
        <f t="shared" si="561"/>
        <v>9</v>
      </c>
      <c r="H917" s="44">
        <f t="shared" si="561"/>
        <v>2633.3333333333335</v>
      </c>
      <c r="I917" s="44">
        <f t="shared" si="553"/>
        <v>0</v>
      </c>
      <c r="J917" s="115">
        <f>'LOE Breakdown by Year'!P83</f>
        <v>0</v>
      </c>
      <c r="K917" s="44">
        <f t="shared" si="547"/>
        <v>12</v>
      </c>
      <c r="L917" s="44">
        <f t="shared" si="554"/>
        <v>0</v>
      </c>
      <c r="M917" s="115">
        <f>'LOE Breakdown by Year'!P129</f>
        <v>0</v>
      </c>
      <c r="N917" s="44">
        <f t="shared" si="548"/>
        <v>12</v>
      </c>
      <c r="O917" s="44">
        <f t="shared" si="555"/>
        <v>0</v>
      </c>
      <c r="P917" s="115">
        <f>'LOE Breakdown by Year'!P175</f>
        <v>0</v>
      </c>
      <c r="Q917" s="44">
        <f t="shared" si="549"/>
        <v>12</v>
      </c>
      <c r="R917" s="44">
        <f t="shared" si="556"/>
        <v>0</v>
      </c>
      <c r="S917" s="115">
        <f>'LOE Breakdown by Year'!P221</f>
        <v>0</v>
      </c>
      <c r="T917" s="44">
        <f t="shared" si="550"/>
        <v>12</v>
      </c>
      <c r="U917" s="44">
        <f t="shared" si="557"/>
        <v>0</v>
      </c>
      <c r="V917" s="115">
        <f>'LOE Breakdown by Year'!P267</f>
        <v>0</v>
      </c>
      <c r="W917" s="44">
        <f t="shared" si="551"/>
        <v>11</v>
      </c>
      <c r="X917" s="44">
        <f t="shared" si="558"/>
        <v>0</v>
      </c>
      <c r="Y917" s="44">
        <f t="shared" si="559"/>
        <v>0</v>
      </c>
      <c r="Z917" s="44">
        <v>0</v>
      </c>
      <c r="AA917" s="44">
        <f t="shared" si="560"/>
        <v>0</v>
      </c>
      <c r="AB917" s="222"/>
    </row>
    <row r="918" spans="1:28" hidden="1">
      <c r="A918" s="595" t="s">
        <v>1245</v>
      </c>
      <c r="B918" s="595">
        <v>70000</v>
      </c>
      <c r="C918" s="595" t="s">
        <v>747</v>
      </c>
      <c r="D918" s="8" t="str">
        <f t="shared" si="545"/>
        <v>Grants &amp; Procurement Specialist</v>
      </c>
      <c r="E918" s="115">
        <f>'LOE Breakdown by Year'!P38</f>
        <v>0</v>
      </c>
      <c r="F918" s="50" t="s">
        <v>100</v>
      </c>
      <c r="G918" s="44">
        <f t="shared" si="561"/>
        <v>6</v>
      </c>
      <c r="H918" s="44">
        <f t="shared" si="561"/>
        <v>1500</v>
      </c>
      <c r="I918" s="44">
        <f t="shared" si="553"/>
        <v>0</v>
      </c>
      <c r="J918" s="115">
        <f>'LOE Breakdown by Year'!P84</f>
        <v>0</v>
      </c>
      <c r="K918" s="44">
        <f t="shared" si="547"/>
        <v>12</v>
      </c>
      <c r="L918" s="44">
        <f t="shared" si="554"/>
        <v>0</v>
      </c>
      <c r="M918" s="115">
        <f>'LOE Breakdown by Year'!P130</f>
        <v>0</v>
      </c>
      <c r="N918" s="44">
        <f t="shared" si="548"/>
        <v>12</v>
      </c>
      <c r="O918" s="44">
        <f t="shared" si="555"/>
        <v>0</v>
      </c>
      <c r="P918" s="115">
        <f>'LOE Breakdown by Year'!P176</f>
        <v>0</v>
      </c>
      <c r="Q918" s="44">
        <f t="shared" si="549"/>
        <v>12</v>
      </c>
      <c r="R918" s="44">
        <f t="shared" si="556"/>
        <v>0</v>
      </c>
      <c r="S918" s="115">
        <f>'LOE Breakdown by Year'!P222</f>
        <v>0</v>
      </c>
      <c r="T918" s="44">
        <f t="shared" si="550"/>
        <v>12</v>
      </c>
      <c r="U918" s="44">
        <f t="shared" si="557"/>
        <v>0</v>
      </c>
      <c r="V918" s="115">
        <f>'LOE Breakdown by Year'!P268</f>
        <v>0</v>
      </c>
      <c r="W918" s="44">
        <f t="shared" si="551"/>
        <v>6</v>
      </c>
      <c r="X918" s="44">
        <f t="shared" si="558"/>
        <v>0</v>
      </c>
      <c r="Y918" s="44">
        <f t="shared" si="559"/>
        <v>0</v>
      </c>
      <c r="Z918" s="44">
        <v>0</v>
      </c>
      <c r="AA918" s="44">
        <f t="shared" si="560"/>
        <v>0</v>
      </c>
      <c r="AB918" s="222"/>
    </row>
    <row r="919" spans="1:28" hidden="1">
      <c r="A919" s="595" t="s">
        <v>1246</v>
      </c>
      <c r="B919" s="595">
        <v>70000</v>
      </c>
      <c r="C919" s="595" t="s">
        <v>747</v>
      </c>
      <c r="D919" s="8" t="str">
        <f t="shared" si="545"/>
        <v>Grants &amp; Procurement Officer</v>
      </c>
      <c r="E919" s="115">
        <f>'LOE Breakdown by Year'!P39</f>
        <v>0</v>
      </c>
      <c r="F919" s="50" t="s">
        <v>100</v>
      </c>
      <c r="G919" s="44">
        <f t="shared" si="561"/>
        <v>2</v>
      </c>
      <c r="H919" s="44">
        <f t="shared" si="561"/>
        <v>1000</v>
      </c>
      <c r="I919" s="44">
        <f t="shared" si="553"/>
        <v>0</v>
      </c>
      <c r="J919" s="115">
        <f>'LOE Breakdown by Year'!P85</f>
        <v>0</v>
      </c>
      <c r="K919" s="44">
        <f t="shared" si="547"/>
        <v>12</v>
      </c>
      <c r="L919" s="44">
        <f t="shared" si="554"/>
        <v>0</v>
      </c>
      <c r="M919" s="115">
        <f>'LOE Breakdown by Year'!P131</f>
        <v>0</v>
      </c>
      <c r="N919" s="44">
        <f t="shared" si="548"/>
        <v>12</v>
      </c>
      <c r="O919" s="44">
        <f t="shared" si="555"/>
        <v>0</v>
      </c>
      <c r="P919" s="115">
        <f>'LOE Breakdown by Year'!P177</f>
        <v>0</v>
      </c>
      <c r="Q919" s="44">
        <f t="shared" si="549"/>
        <v>12</v>
      </c>
      <c r="R919" s="44">
        <f t="shared" si="556"/>
        <v>0</v>
      </c>
      <c r="S919" s="115">
        <f>'LOE Breakdown by Year'!P223</f>
        <v>0</v>
      </c>
      <c r="T919" s="44">
        <f t="shared" si="550"/>
        <v>12</v>
      </c>
      <c r="U919" s="44">
        <f t="shared" si="557"/>
        <v>0</v>
      </c>
      <c r="V919" s="115">
        <f>'LOE Breakdown by Year'!P269</f>
        <v>0</v>
      </c>
      <c r="W919" s="44">
        <f t="shared" si="551"/>
        <v>3</v>
      </c>
      <c r="X919" s="44">
        <f t="shared" si="558"/>
        <v>0</v>
      </c>
      <c r="Y919" s="44">
        <f t="shared" si="559"/>
        <v>0</v>
      </c>
      <c r="Z919" s="44">
        <v>0</v>
      </c>
      <c r="AA919" s="44">
        <f t="shared" si="560"/>
        <v>0</v>
      </c>
      <c r="AB919" s="222"/>
    </row>
    <row r="920" spans="1:28" hidden="1">
      <c r="A920" s="595" t="s">
        <v>1247</v>
      </c>
      <c r="B920" s="595">
        <v>70000</v>
      </c>
      <c r="C920" s="595" t="s">
        <v>747</v>
      </c>
      <c r="D920" s="8" t="str">
        <f t="shared" si="545"/>
        <v>Finance Officer</v>
      </c>
      <c r="E920" s="115">
        <f>'LOE Breakdown by Year'!P40</f>
        <v>0</v>
      </c>
      <c r="F920" s="50" t="s">
        <v>100</v>
      </c>
      <c r="G920" s="44">
        <f t="shared" si="561"/>
        <v>9</v>
      </c>
      <c r="H920" s="44">
        <f t="shared" si="561"/>
        <v>1250</v>
      </c>
      <c r="I920" s="44">
        <f t="shared" si="553"/>
        <v>0</v>
      </c>
      <c r="J920" s="115">
        <f>'LOE Breakdown by Year'!P86</f>
        <v>0</v>
      </c>
      <c r="K920" s="44">
        <f t="shared" si="547"/>
        <v>12</v>
      </c>
      <c r="L920" s="44">
        <f t="shared" si="554"/>
        <v>0</v>
      </c>
      <c r="M920" s="115">
        <f>'LOE Breakdown by Year'!P132</f>
        <v>0</v>
      </c>
      <c r="N920" s="44">
        <f t="shared" si="548"/>
        <v>12</v>
      </c>
      <c r="O920" s="44">
        <f t="shared" si="555"/>
        <v>0</v>
      </c>
      <c r="P920" s="115">
        <f>'LOE Breakdown by Year'!P178</f>
        <v>0</v>
      </c>
      <c r="Q920" s="44">
        <f t="shared" si="549"/>
        <v>12</v>
      </c>
      <c r="R920" s="44">
        <f t="shared" si="556"/>
        <v>0</v>
      </c>
      <c r="S920" s="115">
        <f>'LOE Breakdown by Year'!P224</f>
        <v>0</v>
      </c>
      <c r="T920" s="44">
        <f t="shared" si="550"/>
        <v>12</v>
      </c>
      <c r="U920" s="44">
        <f t="shared" si="557"/>
        <v>0</v>
      </c>
      <c r="V920" s="115">
        <f>'LOE Breakdown by Year'!P270</f>
        <v>0</v>
      </c>
      <c r="W920" s="44">
        <f t="shared" si="551"/>
        <v>11</v>
      </c>
      <c r="X920" s="44">
        <f t="shared" si="558"/>
        <v>0</v>
      </c>
      <c r="Y920" s="44">
        <f t="shared" si="559"/>
        <v>0</v>
      </c>
      <c r="Z920" s="44">
        <v>0</v>
      </c>
      <c r="AA920" s="44">
        <f t="shared" si="560"/>
        <v>0</v>
      </c>
      <c r="AB920" s="222"/>
    </row>
    <row r="921" spans="1:28" hidden="1">
      <c r="A921" s="595" t="s">
        <v>1248</v>
      </c>
      <c r="B921" s="595">
        <v>70000</v>
      </c>
      <c r="C921" s="595" t="s">
        <v>747</v>
      </c>
      <c r="D921" s="8" t="str">
        <f t="shared" si="545"/>
        <v>Accountant</v>
      </c>
      <c r="E921" s="115">
        <f>'LOE Breakdown by Year'!P41</f>
        <v>0</v>
      </c>
      <c r="F921" s="50" t="s">
        <v>100</v>
      </c>
      <c r="G921" s="44">
        <f t="shared" si="561"/>
        <v>3</v>
      </c>
      <c r="H921" s="44">
        <f t="shared" si="561"/>
        <v>1000</v>
      </c>
      <c r="I921" s="44">
        <f t="shared" si="553"/>
        <v>0</v>
      </c>
      <c r="J921" s="115">
        <f>'LOE Breakdown by Year'!P87</f>
        <v>0</v>
      </c>
      <c r="K921" s="44">
        <f t="shared" si="547"/>
        <v>12</v>
      </c>
      <c r="L921" s="44">
        <f t="shared" si="554"/>
        <v>0</v>
      </c>
      <c r="M921" s="115">
        <f>'LOE Breakdown by Year'!P133</f>
        <v>0</v>
      </c>
      <c r="N921" s="44">
        <f t="shared" si="548"/>
        <v>12</v>
      </c>
      <c r="O921" s="44">
        <f t="shared" si="555"/>
        <v>0</v>
      </c>
      <c r="P921" s="115">
        <f>'LOE Breakdown by Year'!P179</f>
        <v>0</v>
      </c>
      <c r="Q921" s="44">
        <f t="shared" si="549"/>
        <v>12</v>
      </c>
      <c r="R921" s="44">
        <f t="shared" si="556"/>
        <v>0</v>
      </c>
      <c r="S921" s="115">
        <f>'LOE Breakdown by Year'!P225</f>
        <v>0</v>
      </c>
      <c r="T921" s="44">
        <f t="shared" si="550"/>
        <v>12</v>
      </c>
      <c r="U921" s="44">
        <f t="shared" si="557"/>
        <v>0</v>
      </c>
      <c r="V921" s="115">
        <f>'LOE Breakdown by Year'!P271</f>
        <v>0</v>
      </c>
      <c r="W921" s="44">
        <f t="shared" si="551"/>
        <v>9</v>
      </c>
      <c r="X921" s="44">
        <f t="shared" si="558"/>
        <v>0</v>
      </c>
      <c r="Y921" s="44">
        <f t="shared" si="559"/>
        <v>0</v>
      </c>
      <c r="Z921" s="44">
        <v>0</v>
      </c>
      <c r="AA921" s="44">
        <f t="shared" si="560"/>
        <v>0</v>
      </c>
      <c r="AB921" s="222"/>
    </row>
    <row r="922" spans="1:28" hidden="1">
      <c r="A922" s="595" t="s">
        <v>1249</v>
      </c>
      <c r="B922" s="595">
        <v>70000</v>
      </c>
      <c r="C922" s="595" t="s">
        <v>747</v>
      </c>
      <c r="D922" s="8" t="str">
        <f t="shared" si="545"/>
        <v>Operation &amp; HR Manager</v>
      </c>
      <c r="E922" s="115">
        <f>'LOE Breakdown by Year'!P42</f>
        <v>0</v>
      </c>
      <c r="F922" s="50" t="s">
        <v>100</v>
      </c>
      <c r="G922" s="44">
        <f t="shared" si="561"/>
        <v>9</v>
      </c>
      <c r="H922" s="44">
        <f t="shared" si="561"/>
        <v>1800</v>
      </c>
      <c r="I922" s="44">
        <f t="shared" si="553"/>
        <v>0</v>
      </c>
      <c r="J922" s="115">
        <f>'LOE Breakdown by Year'!P88</f>
        <v>0</v>
      </c>
      <c r="K922" s="44">
        <f t="shared" si="547"/>
        <v>12</v>
      </c>
      <c r="L922" s="44">
        <f t="shared" si="554"/>
        <v>0</v>
      </c>
      <c r="M922" s="115">
        <f>'LOE Breakdown by Year'!P134</f>
        <v>0</v>
      </c>
      <c r="N922" s="44">
        <f t="shared" si="548"/>
        <v>12</v>
      </c>
      <c r="O922" s="44">
        <f t="shared" si="555"/>
        <v>0</v>
      </c>
      <c r="P922" s="115">
        <f>'LOE Breakdown by Year'!P180</f>
        <v>0</v>
      </c>
      <c r="Q922" s="44">
        <f t="shared" si="549"/>
        <v>12</v>
      </c>
      <c r="R922" s="44">
        <f t="shared" si="556"/>
        <v>0</v>
      </c>
      <c r="S922" s="115">
        <f>'LOE Breakdown by Year'!P226</f>
        <v>0</v>
      </c>
      <c r="T922" s="44">
        <f t="shared" si="550"/>
        <v>12</v>
      </c>
      <c r="U922" s="44">
        <f t="shared" si="557"/>
        <v>0</v>
      </c>
      <c r="V922" s="115">
        <f>'LOE Breakdown by Year'!P272</f>
        <v>0</v>
      </c>
      <c r="W922" s="44">
        <f t="shared" si="551"/>
        <v>11</v>
      </c>
      <c r="X922" s="44">
        <f t="shared" si="558"/>
        <v>0</v>
      </c>
      <c r="Y922" s="44">
        <f t="shared" si="559"/>
        <v>0</v>
      </c>
      <c r="Z922" s="44">
        <v>0</v>
      </c>
      <c r="AA922" s="44">
        <f t="shared" si="560"/>
        <v>0</v>
      </c>
      <c r="AB922" s="222"/>
    </row>
    <row r="923" spans="1:28" hidden="1">
      <c r="A923" s="595" t="s">
        <v>1250</v>
      </c>
      <c r="B923" s="595">
        <v>70000</v>
      </c>
      <c r="C923" s="595" t="s">
        <v>747</v>
      </c>
      <c r="D923" s="8" t="str">
        <f t="shared" si="545"/>
        <v>Administrative Assistant - (2 Individuals)</v>
      </c>
      <c r="E923" s="115">
        <f>'LOE Breakdown by Year'!P43</f>
        <v>0</v>
      </c>
      <c r="F923" s="50" t="s">
        <v>100</v>
      </c>
      <c r="G923" s="44">
        <f t="shared" si="561"/>
        <v>6</v>
      </c>
      <c r="H923" s="44">
        <f t="shared" si="561"/>
        <v>750</v>
      </c>
      <c r="I923" s="44">
        <f t="shared" si="553"/>
        <v>0</v>
      </c>
      <c r="J923" s="115">
        <f>'LOE Breakdown by Year'!P89</f>
        <v>0</v>
      </c>
      <c r="K923" s="44">
        <f t="shared" si="547"/>
        <v>24</v>
      </c>
      <c r="L923" s="44">
        <f t="shared" si="554"/>
        <v>0</v>
      </c>
      <c r="M923" s="115">
        <f>'LOE Breakdown by Year'!P135</f>
        <v>0</v>
      </c>
      <c r="N923" s="44">
        <f t="shared" si="548"/>
        <v>24</v>
      </c>
      <c r="O923" s="44">
        <f t="shared" si="555"/>
        <v>0</v>
      </c>
      <c r="P923" s="115">
        <f>'LOE Breakdown by Year'!P181</f>
        <v>0</v>
      </c>
      <c r="Q923" s="44">
        <f t="shared" si="549"/>
        <v>24</v>
      </c>
      <c r="R923" s="44">
        <f t="shared" si="556"/>
        <v>0</v>
      </c>
      <c r="S923" s="115">
        <f>'LOE Breakdown by Year'!P227</f>
        <v>0</v>
      </c>
      <c r="T923" s="44">
        <f t="shared" si="550"/>
        <v>24</v>
      </c>
      <c r="U923" s="44">
        <f t="shared" si="557"/>
        <v>0</v>
      </c>
      <c r="V923" s="115">
        <f>'LOE Breakdown by Year'!P273</f>
        <v>0</v>
      </c>
      <c r="W923" s="44">
        <f t="shared" si="551"/>
        <v>10</v>
      </c>
      <c r="X923" s="44">
        <f t="shared" si="558"/>
        <v>0</v>
      </c>
      <c r="Y923" s="44">
        <f t="shared" si="559"/>
        <v>0</v>
      </c>
      <c r="Z923" s="44">
        <v>0</v>
      </c>
      <c r="AA923" s="44">
        <f t="shared" si="560"/>
        <v>0</v>
      </c>
      <c r="AB923" s="222"/>
    </row>
    <row r="924" spans="1:28" hidden="1">
      <c r="A924" s="595" t="s">
        <v>1251</v>
      </c>
      <c r="B924" s="595">
        <v>70000</v>
      </c>
      <c r="C924" s="595" t="s">
        <v>747</v>
      </c>
      <c r="D924" s="8" t="str">
        <f t="shared" si="545"/>
        <v>Driver - (2 Individuals)</v>
      </c>
      <c r="E924" s="115">
        <f>'LOE Breakdown by Year'!P44</f>
        <v>0</v>
      </c>
      <c r="F924" s="50" t="s">
        <v>100</v>
      </c>
      <c r="G924" s="44">
        <f t="shared" si="561"/>
        <v>6</v>
      </c>
      <c r="H924" s="44">
        <f t="shared" si="561"/>
        <v>500</v>
      </c>
      <c r="I924" s="44">
        <f t="shared" si="553"/>
        <v>0</v>
      </c>
      <c r="J924" s="115">
        <f>'LOE Breakdown by Year'!P90</f>
        <v>0</v>
      </c>
      <c r="K924" s="44">
        <f t="shared" si="547"/>
        <v>24</v>
      </c>
      <c r="L924" s="44">
        <f t="shared" si="554"/>
        <v>0</v>
      </c>
      <c r="M924" s="115">
        <f>'LOE Breakdown by Year'!P136</f>
        <v>0</v>
      </c>
      <c r="N924" s="44">
        <f t="shared" si="548"/>
        <v>24</v>
      </c>
      <c r="O924" s="44">
        <f t="shared" si="555"/>
        <v>0</v>
      </c>
      <c r="P924" s="115">
        <f>'LOE Breakdown by Year'!P182</f>
        <v>0</v>
      </c>
      <c r="Q924" s="44">
        <f t="shared" si="549"/>
        <v>24</v>
      </c>
      <c r="R924" s="44">
        <f t="shared" si="556"/>
        <v>0</v>
      </c>
      <c r="S924" s="115">
        <f>'LOE Breakdown by Year'!P228</f>
        <v>0</v>
      </c>
      <c r="T924" s="44">
        <f t="shared" si="550"/>
        <v>24</v>
      </c>
      <c r="U924" s="44">
        <f t="shared" si="557"/>
        <v>0</v>
      </c>
      <c r="V924" s="115">
        <f>'LOE Breakdown by Year'!P274</f>
        <v>0</v>
      </c>
      <c r="W924" s="44">
        <f t="shared" si="551"/>
        <v>18</v>
      </c>
      <c r="X924" s="44">
        <f t="shared" si="558"/>
        <v>0</v>
      </c>
      <c r="Y924" s="44">
        <f t="shared" si="559"/>
        <v>0</v>
      </c>
      <c r="Z924" s="44">
        <v>0</v>
      </c>
      <c r="AA924" s="44">
        <f t="shared" si="560"/>
        <v>0</v>
      </c>
      <c r="AB924" s="222"/>
    </row>
    <row r="925" spans="1:28">
      <c r="A925" s="607"/>
      <c r="B925" s="607"/>
      <c r="C925" s="607"/>
      <c r="D925" s="41" t="s">
        <v>485</v>
      </c>
      <c r="E925" s="127"/>
      <c r="F925" s="46"/>
      <c r="G925" s="47"/>
      <c r="H925" s="47"/>
      <c r="I925" s="48">
        <f>SUM(I891:I924)</f>
        <v>117400</v>
      </c>
      <c r="J925" s="127"/>
      <c r="K925" s="48"/>
      <c r="L925" s="48">
        <f>SUM(L891:L924)</f>
        <v>168210</v>
      </c>
      <c r="M925" s="127"/>
      <c r="N925" s="48"/>
      <c r="O925" s="48">
        <f>SUM(O891:O924)</f>
        <v>176620.5</v>
      </c>
      <c r="P925" s="127"/>
      <c r="Q925" s="48"/>
      <c r="R925" s="48">
        <f>SUM(R891:R924)</f>
        <v>185451.52499999999</v>
      </c>
      <c r="S925" s="127"/>
      <c r="T925" s="48"/>
      <c r="U925" s="48">
        <f>SUM(U891:U924)</f>
        <v>194724.10124999998</v>
      </c>
      <c r="V925" s="48"/>
      <c r="W925" s="48"/>
      <c r="X925" s="48">
        <f>SUM(X891:X924)</f>
        <v>110781.23962500003</v>
      </c>
      <c r="Y925" s="48">
        <f>SUM(Y891:Y924)</f>
        <v>953187.36587500002</v>
      </c>
      <c r="Z925" s="48">
        <f>SUM(Z891:Z924)</f>
        <v>0</v>
      </c>
      <c r="AA925" s="48">
        <f>SUM(AA891:AA924)</f>
        <v>953187.36587500002</v>
      </c>
      <c r="AB925" s="222"/>
    </row>
    <row r="926" spans="1:28">
      <c r="A926" s="608"/>
      <c r="B926" s="608"/>
      <c r="C926" s="608"/>
      <c r="D926" s="100"/>
      <c r="E926" s="128"/>
      <c r="F926" s="81"/>
      <c r="G926" s="63"/>
      <c r="H926" s="63"/>
      <c r="I926" s="63"/>
      <c r="J926" s="128"/>
      <c r="K926" s="63"/>
      <c r="L926" s="63"/>
      <c r="M926" s="128"/>
      <c r="N926" s="63"/>
      <c r="O926" s="63"/>
      <c r="P926" s="128"/>
      <c r="Q926" s="63"/>
      <c r="R926" s="63"/>
      <c r="S926" s="128"/>
      <c r="T926" s="63"/>
      <c r="U926" s="63"/>
      <c r="V926" s="128"/>
      <c r="W926" s="63"/>
      <c r="X926" s="63"/>
      <c r="Y926" s="63"/>
      <c r="Z926" s="63"/>
      <c r="AA926" s="63"/>
    </row>
    <row r="927" spans="1:28">
      <c r="A927" s="607"/>
      <c r="B927" s="607"/>
      <c r="C927" s="607"/>
      <c r="D927" s="41" t="s">
        <v>486</v>
      </c>
      <c r="E927" s="127"/>
      <c r="F927" s="46"/>
      <c r="G927" s="47"/>
      <c r="H927" s="47"/>
      <c r="I927" s="48"/>
      <c r="J927" s="127"/>
      <c r="K927" s="48"/>
      <c r="L927" s="48"/>
      <c r="M927" s="127"/>
      <c r="N927" s="48"/>
      <c r="O927" s="48"/>
      <c r="P927" s="127"/>
      <c r="Q927" s="48"/>
      <c r="R927" s="48"/>
      <c r="S927" s="127"/>
      <c r="T927" s="48"/>
      <c r="U927" s="48"/>
      <c r="V927" s="127"/>
      <c r="W927" s="48"/>
      <c r="X927" s="48"/>
      <c r="Y927" s="48"/>
      <c r="Z927" s="48"/>
      <c r="AA927" s="48"/>
    </row>
    <row r="928" spans="1:28">
      <c r="A928" s="591" t="s">
        <v>1217</v>
      </c>
      <c r="B928" s="591" t="s">
        <v>791</v>
      </c>
      <c r="C928" s="591" t="s">
        <v>747</v>
      </c>
      <c r="D928" s="8" t="str">
        <f>D56</f>
        <v>Fringe Benefits CCN - Honduras</v>
      </c>
      <c r="E928" s="116"/>
      <c r="F928" s="82" t="str">
        <f>F56</f>
        <v>%</v>
      </c>
      <c r="G928" s="44">
        <f>G56</f>
        <v>0</v>
      </c>
      <c r="H928" s="60">
        <f>H56</f>
        <v>0.48259999999999997</v>
      </c>
      <c r="I928" s="44">
        <f>(SUM(I891:I924))*$H$928</f>
        <v>56657.24</v>
      </c>
      <c r="J928" s="116"/>
      <c r="K928" s="44">
        <f>K56</f>
        <v>0</v>
      </c>
      <c r="L928" s="44">
        <f>(SUM(L891:L924))*$H$928</f>
        <v>81178.145999999993</v>
      </c>
      <c r="M928" s="116"/>
      <c r="N928" s="44">
        <f>N56</f>
        <v>0</v>
      </c>
      <c r="O928" s="44">
        <f>(SUM(O891:O924))*$H$928</f>
        <v>85237.0533</v>
      </c>
      <c r="P928" s="116"/>
      <c r="Q928" s="44">
        <f>Q56</f>
        <v>0</v>
      </c>
      <c r="R928" s="44">
        <f>(SUM(R891:R924))*$H$928</f>
        <v>89498.905964999998</v>
      </c>
      <c r="S928" s="116"/>
      <c r="T928" s="44">
        <f>T56</f>
        <v>0</v>
      </c>
      <c r="U928" s="44">
        <f>(SUM(U891:U924))*$H$928</f>
        <v>93973.851263249977</v>
      </c>
      <c r="V928" s="116"/>
      <c r="W928" s="44">
        <f>W56</f>
        <v>0</v>
      </c>
      <c r="X928" s="44">
        <f>(SUM(X891:X924))*$H$928</f>
        <v>53463.026243025015</v>
      </c>
      <c r="Y928" s="44">
        <f t="shared" ref="Y928" si="562">SUM(R928,O928,L928,I928,U928,X928)</f>
        <v>460008.22277127503</v>
      </c>
      <c r="Z928" s="63">
        <v>0</v>
      </c>
      <c r="AA928" s="44">
        <f>SUM(Y928:Z928)</f>
        <v>460008.22277127503</v>
      </c>
    </row>
    <row r="929" spans="1:27">
      <c r="A929" s="607"/>
      <c r="B929" s="607"/>
      <c r="C929" s="607"/>
      <c r="D929" s="41" t="s">
        <v>487</v>
      </c>
      <c r="E929" s="127"/>
      <c r="F929" s="46"/>
      <c r="G929" s="47"/>
      <c r="H929" s="47"/>
      <c r="I929" s="48">
        <f>SUM(I928:I928)</f>
        <v>56657.24</v>
      </c>
      <c r="J929" s="127"/>
      <c r="K929" s="48"/>
      <c r="L929" s="48">
        <f>SUM(L928:L928)</f>
        <v>81178.145999999993</v>
      </c>
      <c r="M929" s="127"/>
      <c r="N929" s="48"/>
      <c r="O929" s="48">
        <f>SUM(O928:O928)</f>
        <v>85237.0533</v>
      </c>
      <c r="P929" s="127"/>
      <c r="Q929" s="48"/>
      <c r="R929" s="48">
        <f>SUM(R928:R928)</f>
        <v>89498.905964999998</v>
      </c>
      <c r="S929" s="127"/>
      <c r="T929" s="48"/>
      <c r="U929" s="48">
        <f>SUM(U928:U928)</f>
        <v>93973.851263249977</v>
      </c>
      <c r="V929" s="127"/>
      <c r="W929" s="48"/>
      <c r="X929" s="48">
        <f>SUM(X928:X928)</f>
        <v>53463.026243025015</v>
      </c>
      <c r="Y929" s="48">
        <f>SUM(Y928:Y928)</f>
        <v>460008.22277127503</v>
      </c>
      <c r="Z929" s="48">
        <f>SUM(Z928:Z928)</f>
        <v>0</v>
      </c>
      <c r="AA929" s="48">
        <f>SUM(AA928:AA928)</f>
        <v>460008.22277127503</v>
      </c>
    </row>
    <row r="930" spans="1:27">
      <c r="A930" s="608"/>
      <c r="B930" s="608"/>
      <c r="C930" s="608"/>
      <c r="D930" s="100"/>
      <c r="E930" s="128"/>
      <c r="F930" s="81"/>
      <c r="G930" s="63"/>
      <c r="H930" s="63"/>
      <c r="I930" s="63"/>
      <c r="J930" s="128"/>
      <c r="K930" s="63"/>
      <c r="L930" s="63"/>
      <c r="M930" s="128"/>
      <c r="N930" s="63"/>
      <c r="O930" s="63"/>
      <c r="P930" s="128"/>
      <c r="Q930" s="63"/>
      <c r="R930" s="63"/>
      <c r="S930" s="128"/>
      <c r="T930" s="63"/>
      <c r="U930" s="63"/>
      <c r="V930" s="128"/>
      <c r="W930" s="63"/>
      <c r="X930" s="63"/>
      <c r="Y930" s="63"/>
      <c r="Z930" s="63"/>
      <c r="AA930" s="63"/>
    </row>
    <row r="931" spans="1:27">
      <c r="A931" s="607"/>
      <c r="B931" s="607"/>
      <c r="C931" s="607"/>
      <c r="D931" s="41" t="s">
        <v>488</v>
      </c>
      <c r="E931" s="127"/>
      <c r="F931" s="46"/>
      <c r="G931" s="47"/>
      <c r="H931" s="47"/>
      <c r="I931" s="47"/>
      <c r="J931" s="127"/>
      <c r="K931" s="47"/>
      <c r="L931" s="47"/>
      <c r="M931" s="127"/>
      <c r="N931" s="47"/>
      <c r="O931" s="47"/>
      <c r="P931" s="127"/>
      <c r="Q931" s="47"/>
      <c r="R931" s="47"/>
      <c r="S931" s="127"/>
      <c r="T931" s="47"/>
      <c r="U931" s="47"/>
      <c r="V931" s="127"/>
      <c r="W931" s="47"/>
      <c r="X931" s="47"/>
      <c r="Y931" s="47"/>
      <c r="Z931" s="47"/>
      <c r="AA931" s="47"/>
    </row>
    <row r="932" spans="1:27" ht="25.2">
      <c r="A932" s="591" t="s">
        <v>1369</v>
      </c>
      <c r="B932" s="591" t="s">
        <v>1375</v>
      </c>
      <c r="C932" s="591" t="s">
        <v>747</v>
      </c>
      <c r="D932" s="8" t="s">
        <v>489</v>
      </c>
      <c r="E932" s="120"/>
      <c r="F932" s="49" t="s">
        <v>100</v>
      </c>
      <c r="G932" s="44">
        <v>8</v>
      </c>
      <c r="H932" s="44">
        <v>300</v>
      </c>
      <c r="I932" s="44">
        <f>G932*H932</f>
        <v>2400</v>
      </c>
      <c r="J932" s="120"/>
      <c r="K932" s="44">
        <v>12</v>
      </c>
      <c r="L932" s="44">
        <f>K932*H932</f>
        <v>3600</v>
      </c>
      <c r="M932" s="120"/>
      <c r="N932" s="44">
        <v>12</v>
      </c>
      <c r="O932" s="44">
        <f>N932*H932</f>
        <v>3600</v>
      </c>
      <c r="P932" s="120"/>
      <c r="Q932" s="44">
        <v>12</v>
      </c>
      <c r="R932" s="44">
        <f>Q932*H932</f>
        <v>3600</v>
      </c>
      <c r="S932" s="120"/>
      <c r="T932" s="44">
        <v>12</v>
      </c>
      <c r="U932" s="44">
        <f>T932*H932</f>
        <v>3600</v>
      </c>
      <c r="V932" s="120"/>
      <c r="W932" s="44">
        <v>6</v>
      </c>
      <c r="X932" s="44">
        <f>W932*H932</f>
        <v>1800</v>
      </c>
      <c r="Y932" s="44">
        <f t="shared" ref="Y932" si="563">SUM(R932,O932,L932,I932,U932,X932)</f>
        <v>18600</v>
      </c>
      <c r="Z932" s="44">
        <v>0</v>
      </c>
      <c r="AA932" s="44">
        <f>Y932+Z932</f>
        <v>18600</v>
      </c>
    </row>
    <row r="933" spans="1:27" ht="25.2">
      <c r="A933" s="591" t="s">
        <v>1370</v>
      </c>
      <c r="B933" s="591" t="s">
        <v>1374</v>
      </c>
      <c r="C933" s="591" t="s">
        <v>747</v>
      </c>
      <c r="D933" s="8" t="s">
        <v>490</v>
      </c>
      <c r="E933" s="120"/>
      <c r="F933" s="49" t="s">
        <v>491</v>
      </c>
      <c r="G933" s="44">
        <v>1</v>
      </c>
      <c r="H933" s="44">
        <v>2500</v>
      </c>
      <c r="I933" s="44">
        <f t="shared" ref="I933" si="564">G933*H933</f>
        <v>2500</v>
      </c>
      <c r="J933" s="120"/>
      <c r="K933" s="44">
        <v>1</v>
      </c>
      <c r="L933" s="44">
        <f t="shared" ref="L933" si="565">K933*H933</f>
        <v>2500</v>
      </c>
      <c r="M933" s="120"/>
      <c r="N933" s="44">
        <v>1</v>
      </c>
      <c r="O933" s="44">
        <f t="shared" ref="O933" si="566">N933*H933</f>
        <v>2500</v>
      </c>
      <c r="P933" s="120"/>
      <c r="Q933" s="44">
        <v>1</v>
      </c>
      <c r="R933" s="44">
        <f t="shared" ref="R933" si="567">Q933*H933</f>
        <v>2500</v>
      </c>
      <c r="S933" s="120"/>
      <c r="T933" s="44">
        <v>1</v>
      </c>
      <c r="U933" s="44">
        <f t="shared" ref="U933" si="568">T933*H933</f>
        <v>2500</v>
      </c>
      <c r="V933" s="120"/>
      <c r="W933" s="44">
        <v>1</v>
      </c>
      <c r="X933" s="44">
        <f>W933*H933</f>
        <v>2500</v>
      </c>
      <c r="Y933" s="44">
        <f>SUM(R933,O933,L933,I933,U933,X933)</f>
        <v>15000</v>
      </c>
      <c r="Z933" s="44">
        <v>0</v>
      </c>
      <c r="AA933" s="44">
        <f>Y933+Z933</f>
        <v>15000</v>
      </c>
    </row>
    <row r="934" spans="1:27" ht="25.2">
      <c r="A934" s="591" t="s">
        <v>1371</v>
      </c>
      <c r="B934" s="591" t="s">
        <v>1322</v>
      </c>
      <c r="C934" s="591" t="s">
        <v>747</v>
      </c>
      <c r="D934" s="8" t="s">
        <v>492</v>
      </c>
      <c r="E934" s="120"/>
      <c r="F934" s="49" t="s">
        <v>491</v>
      </c>
      <c r="G934" s="44">
        <v>1</v>
      </c>
      <c r="H934" s="44">
        <v>30000</v>
      </c>
      <c r="I934" s="44">
        <f t="shared" ref="I934" si="569">G934*H934</f>
        <v>30000</v>
      </c>
      <c r="J934" s="120"/>
      <c r="K934" s="44">
        <v>1</v>
      </c>
      <c r="L934" s="44">
        <f t="shared" ref="L934" si="570">K934*H934</f>
        <v>30000</v>
      </c>
      <c r="M934" s="120"/>
      <c r="N934" s="44">
        <v>1</v>
      </c>
      <c r="O934" s="44">
        <f t="shared" ref="O934" si="571">N934*H934</f>
        <v>30000</v>
      </c>
      <c r="P934" s="120"/>
      <c r="Q934" s="44">
        <v>1</v>
      </c>
      <c r="R934" s="44">
        <f t="shared" ref="R934" si="572">Q934*H934</f>
        <v>30000</v>
      </c>
      <c r="S934" s="120"/>
      <c r="T934" s="44">
        <v>1</v>
      </c>
      <c r="U934" s="44">
        <f t="shared" ref="U934" si="573">T934*H934</f>
        <v>30000</v>
      </c>
      <c r="V934" s="120"/>
      <c r="W934" s="44">
        <v>1</v>
      </c>
      <c r="X934" s="44">
        <f>W934*H934</f>
        <v>30000</v>
      </c>
      <c r="Y934" s="44">
        <f>SUM(R934,O934,L934,I934,U934,X934)</f>
        <v>180000</v>
      </c>
      <c r="Z934" s="44">
        <v>0</v>
      </c>
      <c r="AA934" s="44">
        <f>Y934+Z934</f>
        <v>180000</v>
      </c>
    </row>
    <row r="935" spans="1:27">
      <c r="A935" s="591" t="s">
        <v>1372</v>
      </c>
      <c r="B935" s="591" t="s">
        <v>1293</v>
      </c>
      <c r="C935" s="591" t="s">
        <v>747</v>
      </c>
      <c r="D935" s="8" t="s">
        <v>493</v>
      </c>
      <c r="E935" s="120"/>
      <c r="F935" s="49" t="s">
        <v>151</v>
      </c>
      <c r="G935" s="44">
        <v>90</v>
      </c>
      <c r="H935" s="44">
        <v>600</v>
      </c>
      <c r="I935" s="44">
        <f>G935*H935</f>
        <v>54000</v>
      </c>
      <c r="J935" s="120"/>
      <c r="K935" s="44">
        <v>0</v>
      </c>
      <c r="L935" s="44">
        <f>K935*H935</f>
        <v>0</v>
      </c>
      <c r="M935" s="120"/>
      <c r="N935" s="44">
        <v>0</v>
      </c>
      <c r="O935" s="44">
        <f>N935*H935</f>
        <v>0</v>
      </c>
      <c r="P935" s="120"/>
      <c r="Q935" s="44">
        <v>0</v>
      </c>
      <c r="R935" s="44">
        <f>Q935*H935</f>
        <v>0</v>
      </c>
      <c r="S935" s="120"/>
      <c r="T935" s="44">
        <v>0</v>
      </c>
      <c r="U935" s="44">
        <f>T935*H935</f>
        <v>0</v>
      </c>
      <c r="V935" s="120"/>
      <c r="W935" s="44">
        <v>0</v>
      </c>
      <c r="X935" s="44">
        <f>W935*H935</f>
        <v>0</v>
      </c>
      <c r="Y935" s="44">
        <f>SUM(R935,O935,L935,I935,U935,X935)</f>
        <v>54000</v>
      </c>
      <c r="Z935" s="44">
        <v>0</v>
      </c>
      <c r="AA935" s="575">
        <f>Y935+Z935</f>
        <v>54000</v>
      </c>
    </row>
    <row r="936" spans="1:27">
      <c r="A936" s="591" t="s">
        <v>1373</v>
      </c>
      <c r="B936" s="591" t="s">
        <v>1293</v>
      </c>
      <c r="C936" s="591" t="s">
        <v>747</v>
      </c>
      <c r="D936" s="8" t="s">
        <v>494</v>
      </c>
      <c r="E936" s="120"/>
      <c r="F936" s="49" t="s">
        <v>151</v>
      </c>
      <c r="G936" s="44">
        <v>10</v>
      </c>
      <c r="H936" s="44">
        <v>600</v>
      </c>
      <c r="I936" s="44">
        <f>G936*H936</f>
        <v>6000</v>
      </c>
      <c r="J936" s="120"/>
      <c r="K936" s="44">
        <v>10</v>
      </c>
      <c r="L936" s="44">
        <f>K936*H936</f>
        <v>6000</v>
      </c>
      <c r="M936" s="120"/>
      <c r="N936" s="44">
        <v>0</v>
      </c>
      <c r="O936" s="44">
        <f>N936*H936</f>
        <v>0</v>
      </c>
      <c r="P936" s="120"/>
      <c r="Q936" s="44">
        <v>0</v>
      </c>
      <c r="R936" s="44">
        <f>Q936*H936</f>
        <v>0</v>
      </c>
      <c r="S936" s="120"/>
      <c r="T936" s="44">
        <v>0</v>
      </c>
      <c r="U936" s="44">
        <f>T936*H936</f>
        <v>0</v>
      </c>
      <c r="V936" s="120"/>
      <c r="W936" s="44">
        <v>0</v>
      </c>
      <c r="X936" s="44">
        <f>W936*H936</f>
        <v>0</v>
      </c>
      <c r="Y936" s="44">
        <f>SUM(R936,O936,L936,I936,U936,X936)</f>
        <v>12000</v>
      </c>
      <c r="Z936" s="44">
        <v>0</v>
      </c>
      <c r="AA936" s="575">
        <f>Y936+Z936</f>
        <v>12000</v>
      </c>
    </row>
    <row r="937" spans="1:27">
      <c r="A937" s="607"/>
      <c r="B937" s="607"/>
      <c r="C937" s="607"/>
      <c r="D937" s="41" t="s">
        <v>495</v>
      </c>
      <c r="E937" s="127"/>
      <c r="F937" s="46"/>
      <c r="G937" s="47"/>
      <c r="H937" s="47"/>
      <c r="I937" s="48">
        <f>SUM(I932:I936)</f>
        <v>94900</v>
      </c>
      <c r="J937" s="127"/>
      <c r="K937" s="48"/>
      <c r="L937" s="48">
        <f>SUM(L932:L936)</f>
        <v>42100</v>
      </c>
      <c r="M937" s="127"/>
      <c r="N937" s="48"/>
      <c r="O937" s="48">
        <f>SUM(O932:O936)</f>
        <v>36100</v>
      </c>
      <c r="P937" s="127"/>
      <c r="Q937" s="48"/>
      <c r="R937" s="48">
        <f>SUM(R932:R936)</f>
        <v>36100</v>
      </c>
      <c r="S937" s="127"/>
      <c r="T937" s="48"/>
      <c r="U937" s="48">
        <f>SUM(U932:U936)</f>
        <v>36100</v>
      </c>
      <c r="V937" s="127"/>
      <c r="W937" s="48"/>
      <c r="X937" s="48">
        <f>SUM(X932:X936)</f>
        <v>34300</v>
      </c>
      <c r="Y937" s="48">
        <f t="shared" ref="Y937:Z937" si="574">SUM(Y932:Y936)</f>
        <v>279600</v>
      </c>
      <c r="Z937" s="48">
        <f t="shared" si="574"/>
        <v>0</v>
      </c>
      <c r="AA937" s="48">
        <f>SUM(AA932:AA936)</f>
        <v>279600</v>
      </c>
    </row>
    <row r="938" spans="1:27">
      <c r="A938" s="608"/>
      <c r="B938" s="608"/>
      <c r="C938" s="608"/>
      <c r="D938" s="100"/>
      <c r="E938" s="128"/>
      <c r="F938" s="81"/>
      <c r="G938" s="63"/>
      <c r="H938" s="63"/>
      <c r="I938" s="63"/>
      <c r="J938" s="128"/>
      <c r="K938" s="63"/>
      <c r="L938" s="63"/>
      <c r="M938" s="128"/>
      <c r="N938" s="63"/>
      <c r="O938" s="63"/>
      <c r="P938" s="128"/>
      <c r="Q938" s="63"/>
      <c r="R938" s="63"/>
      <c r="S938" s="128"/>
      <c r="T938" s="63"/>
      <c r="U938" s="63"/>
      <c r="V938" s="128"/>
      <c r="W938" s="63"/>
      <c r="X938" s="63"/>
      <c r="Y938" s="63"/>
      <c r="Z938" s="63"/>
      <c r="AA938" s="63"/>
    </row>
    <row r="939" spans="1:27">
      <c r="A939" s="607"/>
      <c r="B939" s="607"/>
      <c r="C939" s="607"/>
      <c r="D939" s="41" t="s">
        <v>496</v>
      </c>
      <c r="E939" s="127"/>
      <c r="F939" s="46"/>
      <c r="G939" s="47"/>
      <c r="H939" s="47"/>
      <c r="I939" s="47"/>
      <c r="J939" s="127"/>
      <c r="K939" s="47"/>
      <c r="L939" s="47"/>
      <c r="M939" s="127"/>
      <c r="N939" s="47"/>
      <c r="O939" s="47"/>
      <c r="P939" s="127"/>
      <c r="Q939" s="47"/>
      <c r="R939" s="47"/>
      <c r="S939" s="127"/>
      <c r="T939" s="47"/>
      <c r="U939" s="47"/>
      <c r="V939" s="127"/>
      <c r="W939" s="47"/>
      <c r="X939" s="47"/>
      <c r="Y939" s="47"/>
      <c r="Z939" s="47"/>
      <c r="AA939" s="47"/>
    </row>
    <row r="940" spans="1:27" ht="25.2">
      <c r="A940" s="591" t="s">
        <v>1377</v>
      </c>
      <c r="B940" s="591" t="s">
        <v>1376</v>
      </c>
      <c r="C940" s="591" t="s">
        <v>747</v>
      </c>
      <c r="D940" s="8" t="s">
        <v>497</v>
      </c>
      <c r="E940" s="120"/>
      <c r="F940" s="8" t="s">
        <v>173</v>
      </c>
      <c r="G940" s="44">
        <v>1</v>
      </c>
      <c r="H940" s="44">
        <f>'Commodity Calculator'!R30/5.5</f>
        <v>66728</v>
      </c>
      <c r="I940" s="44">
        <f t="shared" ref="I940:I947" si="575">G940*H940</f>
        <v>66728</v>
      </c>
      <c r="J940" s="120"/>
      <c r="K940" s="44">
        <v>1</v>
      </c>
      <c r="L940" s="44">
        <f t="shared" ref="L940:L947" si="576">K940*H940</f>
        <v>66728</v>
      </c>
      <c r="M940" s="120"/>
      <c r="N940" s="44">
        <v>1</v>
      </c>
      <c r="O940" s="44">
        <f t="shared" ref="O940:O947" si="577">N940*H940</f>
        <v>66728</v>
      </c>
      <c r="P940" s="120"/>
      <c r="Q940" s="44">
        <v>1</v>
      </c>
      <c r="R940" s="44">
        <f t="shared" ref="R940:R947" si="578">Q940*H940</f>
        <v>66728</v>
      </c>
      <c r="S940" s="120"/>
      <c r="T940" s="44">
        <v>1</v>
      </c>
      <c r="U940" s="44">
        <f t="shared" ref="U940:U947" si="579">T940*H940</f>
        <v>66728</v>
      </c>
      <c r="V940" s="120"/>
      <c r="W940" s="153">
        <v>0.5</v>
      </c>
      <c r="X940" s="44">
        <f t="shared" ref="X940:X946" si="580">W940*H940</f>
        <v>33364</v>
      </c>
      <c r="Y940" s="44">
        <f t="shared" ref="Y940" si="581">SUM(R940,O940,L940,I940,U940,X940)</f>
        <v>367004</v>
      </c>
      <c r="Z940" s="44">
        <v>0</v>
      </c>
      <c r="AA940" s="44">
        <f t="shared" ref="AA940:AA947" si="582">Y940+Z940</f>
        <v>367004</v>
      </c>
    </row>
    <row r="941" spans="1:27">
      <c r="A941" s="591" t="s">
        <v>1379</v>
      </c>
      <c r="B941" s="591" t="s">
        <v>802</v>
      </c>
      <c r="C941" s="591" t="s">
        <v>747</v>
      </c>
      <c r="D941" s="8" t="s">
        <v>498</v>
      </c>
      <c r="F941" s="8" t="s">
        <v>166</v>
      </c>
      <c r="G941" s="44">
        <v>1</v>
      </c>
      <c r="H941" s="44">
        <f>4000+8900</f>
        <v>12900</v>
      </c>
      <c r="I941" s="44">
        <f t="shared" si="575"/>
        <v>12900</v>
      </c>
      <c r="J941" s="123"/>
      <c r="K941" s="44">
        <f>G941</f>
        <v>1</v>
      </c>
      <c r="L941" s="44">
        <f t="shared" si="576"/>
        <v>12900</v>
      </c>
      <c r="M941" s="123"/>
      <c r="N941" s="44">
        <f>G941</f>
        <v>1</v>
      </c>
      <c r="O941" s="44">
        <f t="shared" si="577"/>
        <v>12900</v>
      </c>
      <c r="P941" s="123"/>
      <c r="Q941" s="44">
        <f>G941</f>
        <v>1</v>
      </c>
      <c r="R941" s="44">
        <f t="shared" si="578"/>
        <v>12900</v>
      </c>
      <c r="S941" s="123"/>
      <c r="T941" s="44">
        <f>G941</f>
        <v>1</v>
      </c>
      <c r="U941" s="44">
        <f t="shared" si="579"/>
        <v>12900</v>
      </c>
      <c r="V941" s="123"/>
      <c r="W941" s="44">
        <v>1</v>
      </c>
      <c r="X941" s="44">
        <f t="shared" si="580"/>
        <v>12900</v>
      </c>
      <c r="Y941" s="44">
        <f t="shared" ref="Y941:Y947" si="583">SUM(R941,O941,L941,I941,U941,X941)</f>
        <v>77400</v>
      </c>
      <c r="Z941" s="44">
        <v>0</v>
      </c>
      <c r="AA941" s="44">
        <f t="shared" si="582"/>
        <v>77400</v>
      </c>
    </row>
    <row r="942" spans="1:27">
      <c r="A942" s="591" t="s">
        <v>1378</v>
      </c>
      <c r="B942" s="591" t="s">
        <v>802</v>
      </c>
      <c r="C942" s="591" t="s">
        <v>747</v>
      </c>
      <c r="D942" s="8" t="s">
        <v>499</v>
      </c>
      <c r="F942" s="8" t="s">
        <v>100</v>
      </c>
      <c r="G942" s="44">
        <v>3</v>
      </c>
      <c r="H942" s="44">
        <v>3100</v>
      </c>
      <c r="I942" s="44">
        <f t="shared" si="575"/>
        <v>9300</v>
      </c>
      <c r="J942" s="123"/>
      <c r="K942" s="44">
        <v>3</v>
      </c>
      <c r="L942" s="44">
        <f t="shared" si="576"/>
        <v>9300</v>
      </c>
      <c r="M942" s="123"/>
      <c r="N942" s="44">
        <f>G942</f>
        <v>3</v>
      </c>
      <c r="O942" s="44">
        <f t="shared" si="577"/>
        <v>9300</v>
      </c>
      <c r="P942" s="123"/>
      <c r="Q942" s="44">
        <f>G942</f>
        <v>3</v>
      </c>
      <c r="R942" s="44">
        <f t="shared" si="578"/>
        <v>9300</v>
      </c>
      <c r="S942" s="123"/>
      <c r="T942" s="44">
        <f>G942</f>
        <v>3</v>
      </c>
      <c r="U942" s="44">
        <f t="shared" si="579"/>
        <v>9300</v>
      </c>
      <c r="V942" s="123"/>
      <c r="W942" s="44">
        <v>1</v>
      </c>
      <c r="X942" s="44">
        <f t="shared" si="580"/>
        <v>3100</v>
      </c>
      <c r="Y942" s="44">
        <f t="shared" ref="Y942" si="584">SUM(R942,O942,L942,I942,U942,X942)</f>
        <v>49600</v>
      </c>
      <c r="Z942" s="44">
        <v>0</v>
      </c>
      <c r="AA942" s="44">
        <f t="shared" si="582"/>
        <v>49600</v>
      </c>
    </row>
    <row r="943" spans="1:27">
      <c r="A943" s="591" t="s">
        <v>1380</v>
      </c>
      <c r="B943" s="591">
        <v>82420</v>
      </c>
      <c r="C943" s="591" t="s">
        <v>747</v>
      </c>
      <c r="D943" s="8" t="s">
        <v>500</v>
      </c>
      <c r="F943" s="8" t="s">
        <v>244</v>
      </c>
      <c r="G943" s="44">
        <v>36</v>
      </c>
      <c r="H943" s="44">
        <v>25</v>
      </c>
      <c r="I943" s="44">
        <f t="shared" si="575"/>
        <v>900</v>
      </c>
      <c r="J943" s="123"/>
      <c r="K943" s="44">
        <f>G943</f>
        <v>36</v>
      </c>
      <c r="L943" s="44">
        <f t="shared" si="576"/>
        <v>900</v>
      </c>
      <c r="M943" s="123"/>
      <c r="N943" s="44">
        <f>G943</f>
        <v>36</v>
      </c>
      <c r="O943" s="44">
        <f t="shared" si="577"/>
        <v>900</v>
      </c>
      <c r="P943" s="123"/>
      <c r="Q943" s="44">
        <f>G943</f>
        <v>36</v>
      </c>
      <c r="R943" s="44">
        <f t="shared" si="578"/>
        <v>900</v>
      </c>
      <c r="S943" s="123"/>
      <c r="T943" s="44">
        <f>G943</f>
        <v>36</v>
      </c>
      <c r="U943" s="44">
        <f t="shared" si="579"/>
        <v>900</v>
      </c>
      <c r="V943" s="123"/>
      <c r="W943" s="44">
        <f>T943</f>
        <v>36</v>
      </c>
      <c r="X943" s="44">
        <f t="shared" si="580"/>
        <v>900</v>
      </c>
      <c r="Y943" s="44">
        <f>SUM(R943,O943,L943,I943,U943,X943)</f>
        <v>5400</v>
      </c>
      <c r="Z943" s="44">
        <v>0</v>
      </c>
      <c r="AA943" s="44">
        <f t="shared" si="582"/>
        <v>5400</v>
      </c>
    </row>
    <row r="944" spans="1:27">
      <c r="A944" s="591" t="s">
        <v>1381</v>
      </c>
      <c r="B944" s="591" t="s">
        <v>802</v>
      </c>
      <c r="C944" s="591" t="s">
        <v>747</v>
      </c>
      <c r="D944" s="8" t="s">
        <v>501</v>
      </c>
      <c r="F944" s="8" t="s">
        <v>166</v>
      </c>
      <c r="G944" s="44">
        <v>1</v>
      </c>
      <c r="H944" s="44">
        <v>3000</v>
      </c>
      <c r="I944" s="44">
        <f t="shared" si="575"/>
        <v>3000</v>
      </c>
      <c r="J944" s="120"/>
      <c r="K944" s="44">
        <v>1</v>
      </c>
      <c r="L944" s="44">
        <f t="shared" si="576"/>
        <v>3000</v>
      </c>
      <c r="M944" s="120"/>
      <c r="N944" s="44">
        <v>1</v>
      </c>
      <c r="O944" s="44">
        <f t="shared" si="577"/>
        <v>3000</v>
      </c>
      <c r="P944" s="120"/>
      <c r="Q944" s="44">
        <v>1</v>
      </c>
      <c r="R944" s="44">
        <f t="shared" si="578"/>
        <v>3000</v>
      </c>
      <c r="S944" s="120"/>
      <c r="T944" s="44">
        <v>1</v>
      </c>
      <c r="U944" s="44">
        <f t="shared" si="579"/>
        <v>3000</v>
      </c>
      <c r="V944" s="120"/>
      <c r="W944" s="153">
        <v>0.5</v>
      </c>
      <c r="X944" s="44">
        <f t="shared" si="580"/>
        <v>1500</v>
      </c>
      <c r="Y944" s="44">
        <f t="shared" si="583"/>
        <v>16500</v>
      </c>
      <c r="Z944" s="44">
        <v>0</v>
      </c>
      <c r="AA944" s="44">
        <f t="shared" si="582"/>
        <v>16500</v>
      </c>
    </row>
    <row r="945" spans="1:27" ht="25.2">
      <c r="A945" s="591" t="s">
        <v>1383</v>
      </c>
      <c r="B945" s="591" t="s">
        <v>1382</v>
      </c>
      <c r="C945" s="591" t="s">
        <v>747</v>
      </c>
      <c r="D945" s="8" t="s">
        <v>502</v>
      </c>
      <c r="F945" s="8" t="s">
        <v>304</v>
      </c>
      <c r="G945" s="44">
        <v>1953</v>
      </c>
      <c r="H945" s="44">
        <v>4</v>
      </c>
      <c r="I945" s="44">
        <f t="shared" si="575"/>
        <v>7812</v>
      </c>
      <c r="J945" s="123"/>
      <c r="K945" s="44">
        <f>G945</f>
        <v>1953</v>
      </c>
      <c r="L945" s="44">
        <f t="shared" si="576"/>
        <v>7812</v>
      </c>
      <c r="M945" s="123"/>
      <c r="N945" s="44">
        <f>G945</f>
        <v>1953</v>
      </c>
      <c r="O945" s="44">
        <f t="shared" si="577"/>
        <v>7812</v>
      </c>
      <c r="P945" s="123"/>
      <c r="Q945" s="44">
        <f>G945</f>
        <v>1953</v>
      </c>
      <c r="R945" s="44">
        <f t="shared" si="578"/>
        <v>7812</v>
      </c>
      <c r="S945" s="123"/>
      <c r="T945" s="44">
        <f>G945</f>
        <v>1953</v>
      </c>
      <c r="U945" s="44">
        <f t="shared" si="579"/>
        <v>7812</v>
      </c>
      <c r="V945" s="123"/>
      <c r="W945" s="44">
        <f>T945</f>
        <v>1953</v>
      </c>
      <c r="X945" s="44">
        <f t="shared" si="580"/>
        <v>7812</v>
      </c>
      <c r="Y945" s="44">
        <f t="shared" si="583"/>
        <v>46872</v>
      </c>
      <c r="Z945" s="44">
        <v>0</v>
      </c>
      <c r="AA945" s="44">
        <f t="shared" si="582"/>
        <v>46872</v>
      </c>
    </row>
    <row r="946" spans="1:27" ht="25.2">
      <c r="A946" s="591" t="s">
        <v>1384</v>
      </c>
      <c r="B946" s="591" t="s">
        <v>1382</v>
      </c>
      <c r="C946" s="591" t="s">
        <v>747</v>
      </c>
      <c r="D946" s="8" t="s">
        <v>503</v>
      </c>
      <c r="F946" s="8" t="s">
        <v>304</v>
      </c>
      <c r="G946" s="44">
        <v>650</v>
      </c>
      <c r="H946" s="44">
        <v>6</v>
      </c>
      <c r="I946" s="44">
        <f t="shared" si="575"/>
        <v>3900</v>
      </c>
      <c r="J946" s="123"/>
      <c r="K946" s="44">
        <f>G946</f>
        <v>650</v>
      </c>
      <c r="L946" s="44">
        <f t="shared" si="576"/>
        <v>3900</v>
      </c>
      <c r="M946" s="123"/>
      <c r="N946" s="44">
        <f>G946</f>
        <v>650</v>
      </c>
      <c r="O946" s="44">
        <f t="shared" si="577"/>
        <v>3900</v>
      </c>
      <c r="P946" s="123"/>
      <c r="Q946" s="44">
        <f>G946</f>
        <v>650</v>
      </c>
      <c r="R946" s="44">
        <f t="shared" si="578"/>
        <v>3900</v>
      </c>
      <c r="S946" s="123"/>
      <c r="T946" s="44">
        <f>G946</f>
        <v>650</v>
      </c>
      <c r="U946" s="44">
        <f t="shared" si="579"/>
        <v>3900</v>
      </c>
      <c r="V946" s="123"/>
      <c r="W946" s="44">
        <f>T946</f>
        <v>650</v>
      </c>
      <c r="X946" s="44">
        <f t="shared" si="580"/>
        <v>3900</v>
      </c>
      <c r="Y946" s="44">
        <f>SUM(R946,O946,L946,I946,U946,X946)</f>
        <v>23400</v>
      </c>
      <c r="Z946" s="44">
        <v>0</v>
      </c>
      <c r="AA946" s="44">
        <f t="shared" si="582"/>
        <v>23400</v>
      </c>
    </row>
    <row r="947" spans="1:27" ht="25.2">
      <c r="A947" s="591" t="s">
        <v>1385</v>
      </c>
      <c r="B947" s="591" t="s">
        <v>1297</v>
      </c>
      <c r="C947" s="591" t="s">
        <v>747</v>
      </c>
      <c r="D947" s="8" t="s">
        <v>504</v>
      </c>
      <c r="E947" s="120"/>
      <c r="F947" s="8" t="s">
        <v>244</v>
      </c>
      <c r="G947" s="44">
        <v>36</v>
      </c>
      <c r="H947" s="44">
        <v>10</v>
      </c>
      <c r="I947" s="44">
        <f t="shared" si="575"/>
        <v>360</v>
      </c>
      <c r="J947" s="120"/>
      <c r="K947" s="44">
        <f>G947</f>
        <v>36</v>
      </c>
      <c r="L947" s="44">
        <f t="shared" si="576"/>
        <v>360</v>
      </c>
      <c r="M947" s="120"/>
      <c r="N947" s="44">
        <f>G947</f>
        <v>36</v>
      </c>
      <c r="O947" s="44">
        <f t="shared" si="577"/>
        <v>360</v>
      </c>
      <c r="P947" s="120"/>
      <c r="Q947" s="44">
        <f>G947</f>
        <v>36</v>
      </c>
      <c r="R947" s="44">
        <f t="shared" si="578"/>
        <v>360</v>
      </c>
      <c r="S947" s="120"/>
      <c r="T947" s="44">
        <f>G947</f>
        <v>36</v>
      </c>
      <c r="U947" s="44">
        <f t="shared" si="579"/>
        <v>360</v>
      </c>
      <c r="V947" s="120"/>
      <c r="W947" s="44">
        <f>T947</f>
        <v>36</v>
      </c>
      <c r="X947" s="44">
        <f t="shared" ref="X947" si="585">W947*H947</f>
        <v>360</v>
      </c>
      <c r="Y947" s="44">
        <f t="shared" si="583"/>
        <v>2160</v>
      </c>
      <c r="Z947" s="44">
        <v>0</v>
      </c>
      <c r="AA947" s="44">
        <f t="shared" si="582"/>
        <v>2160</v>
      </c>
    </row>
    <row r="948" spans="1:27">
      <c r="A948" s="607"/>
      <c r="B948" s="607"/>
      <c r="C948" s="607"/>
      <c r="D948" s="41" t="s">
        <v>505</v>
      </c>
      <c r="E948" s="127"/>
      <c r="F948" s="46"/>
      <c r="G948" s="47"/>
      <c r="H948" s="47"/>
      <c r="I948" s="48">
        <f>SUM(I940:I947)</f>
        <v>104900</v>
      </c>
      <c r="J948" s="127"/>
      <c r="K948" s="47"/>
      <c r="L948" s="48">
        <f>SUM(L940:L947)</f>
        <v>104900</v>
      </c>
      <c r="M948" s="127"/>
      <c r="N948" s="47"/>
      <c r="O948" s="48">
        <f>SUM(O940:O947)</f>
        <v>104900</v>
      </c>
      <c r="P948" s="127"/>
      <c r="Q948" s="47"/>
      <c r="R948" s="48">
        <f>SUM(R940:R947)</f>
        <v>104900</v>
      </c>
      <c r="S948" s="127"/>
      <c r="T948" s="47"/>
      <c r="U948" s="48">
        <f>SUM(U940:U947)</f>
        <v>104900</v>
      </c>
      <c r="V948" s="127"/>
      <c r="W948" s="47"/>
      <c r="X948" s="48">
        <f>SUM(X940:X947)</f>
        <v>63836</v>
      </c>
      <c r="Y948" s="48">
        <f>SUM(Y940:Y947)</f>
        <v>588336</v>
      </c>
      <c r="Z948" s="48">
        <f>SUM(Z940:Z947)</f>
        <v>0</v>
      </c>
      <c r="AA948" s="48">
        <f>SUM(AA940:AA947)</f>
        <v>588336</v>
      </c>
    </row>
    <row r="949" spans="1:27">
      <c r="A949" s="608"/>
      <c r="B949" s="608"/>
      <c r="C949" s="608"/>
      <c r="D949" s="100"/>
      <c r="E949" s="154"/>
      <c r="F949" s="81"/>
      <c r="G949" s="63"/>
      <c r="H949" s="63"/>
      <c r="I949" s="63"/>
      <c r="J949" s="154"/>
      <c r="K949" s="63"/>
      <c r="L949" s="63"/>
      <c r="M949" s="154"/>
      <c r="N949" s="63"/>
      <c r="O949" s="63"/>
      <c r="P949" s="154"/>
      <c r="Q949" s="63"/>
      <c r="R949" s="63"/>
      <c r="S949" s="154"/>
      <c r="T949" s="63"/>
      <c r="U949" s="63"/>
      <c r="V949" s="154"/>
      <c r="W949" s="63"/>
      <c r="X949" s="63"/>
      <c r="Y949" s="63"/>
      <c r="Z949" s="63"/>
      <c r="AA949" s="63"/>
    </row>
    <row r="950" spans="1:27">
      <c r="A950" s="607"/>
      <c r="B950" s="607"/>
      <c r="C950" s="607"/>
      <c r="D950" s="41" t="s">
        <v>506</v>
      </c>
      <c r="E950" s="127"/>
      <c r="F950" s="46"/>
      <c r="G950" s="47"/>
      <c r="H950" s="47"/>
      <c r="I950" s="47"/>
      <c r="J950" s="127"/>
      <c r="K950" s="47"/>
      <c r="L950" s="47"/>
      <c r="M950" s="127"/>
      <c r="N950" s="47"/>
      <c r="O950" s="47"/>
      <c r="P950" s="127"/>
      <c r="Q950" s="47"/>
      <c r="R950" s="47"/>
      <c r="S950" s="127"/>
      <c r="T950" s="47"/>
      <c r="U950" s="47"/>
      <c r="V950" s="127"/>
      <c r="W950" s="47"/>
      <c r="X950" s="47"/>
      <c r="Y950" s="47"/>
      <c r="Z950" s="47"/>
      <c r="AA950" s="47"/>
    </row>
    <row r="951" spans="1:27">
      <c r="A951" s="591" t="s">
        <v>1368</v>
      </c>
      <c r="B951" s="591">
        <v>82401</v>
      </c>
      <c r="C951" s="591" t="s">
        <v>747</v>
      </c>
      <c r="D951" s="8" t="s">
        <v>507</v>
      </c>
      <c r="E951" s="120"/>
      <c r="F951" s="50" t="s">
        <v>173</v>
      </c>
      <c r="G951" s="44">
        <v>7</v>
      </c>
      <c r="H951" s="44">
        <v>350</v>
      </c>
      <c r="I951" s="44">
        <f>G951*H951</f>
        <v>2450</v>
      </c>
      <c r="J951" s="120"/>
      <c r="K951" s="44">
        <v>0</v>
      </c>
      <c r="L951" s="44">
        <f>K951*H951</f>
        <v>0</v>
      </c>
      <c r="M951" s="120"/>
      <c r="N951" s="44">
        <v>0</v>
      </c>
      <c r="O951" s="44">
        <f>N951*H951</f>
        <v>0</v>
      </c>
      <c r="P951" s="120"/>
      <c r="Q951" s="44">
        <v>0</v>
      </c>
      <c r="R951" s="44">
        <f>Q951*H951</f>
        <v>0</v>
      </c>
      <c r="S951" s="120"/>
      <c r="T951" s="44">
        <v>0</v>
      </c>
      <c r="U951" s="44">
        <f>T951*K951</f>
        <v>0</v>
      </c>
      <c r="V951" s="120"/>
      <c r="W951" s="44">
        <v>0</v>
      </c>
      <c r="X951" s="44">
        <f t="shared" ref="X951" si="586">W951*H951</f>
        <v>0</v>
      </c>
      <c r="Y951" s="44">
        <f t="shared" ref="Y951" si="587">SUM(R951,O951,L951,I951,U951,X951)</f>
        <v>2450</v>
      </c>
      <c r="Z951" s="44">
        <v>0</v>
      </c>
      <c r="AA951" s="44">
        <f>Y951+Z951</f>
        <v>2450</v>
      </c>
    </row>
    <row r="952" spans="1:27">
      <c r="A952" s="607"/>
      <c r="B952" s="607"/>
      <c r="C952" s="607"/>
      <c r="D952" s="41" t="s">
        <v>508</v>
      </c>
      <c r="E952" s="127"/>
      <c r="F952" s="46"/>
      <c r="G952" s="47"/>
      <c r="H952" s="48"/>
      <c r="I952" s="48">
        <f>SUM(I951:I951)</f>
        <v>2450</v>
      </c>
      <c r="J952" s="130"/>
      <c r="K952" s="48"/>
      <c r="L952" s="48">
        <f>SUM(L951:L951)</f>
        <v>0</v>
      </c>
      <c r="M952" s="130"/>
      <c r="N952" s="48"/>
      <c r="O952" s="48">
        <f>SUM(O951:O951)</f>
        <v>0</v>
      </c>
      <c r="P952" s="130"/>
      <c r="Q952" s="48"/>
      <c r="R952" s="48">
        <f>SUM(R951:R951)</f>
        <v>0</v>
      </c>
      <c r="S952" s="130"/>
      <c r="T952" s="48"/>
      <c r="U952" s="48">
        <f>SUM(U951:U951)</f>
        <v>0</v>
      </c>
      <c r="V952" s="130"/>
      <c r="W952" s="48"/>
      <c r="X952" s="48">
        <f>SUM(X951:X951)</f>
        <v>0</v>
      </c>
      <c r="Y952" s="48">
        <f>SUM(Y951:Y951)</f>
        <v>2450</v>
      </c>
      <c r="Z952" s="48">
        <f>SUM(Z951:Z951)</f>
        <v>0</v>
      </c>
      <c r="AA952" s="48">
        <f>SUM(AA951:AA951)</f>
        <v>2450</v>
      </c>
    </row>
    <row r="953" spans="1:27">
      <c r="A953" s="608"/>
      <c r="B953" s="608"/>
      <c r="C953" s="608"/>
      <c r="D953" s="100"/>
      <c r="E953" s="128"/>
      <c r="F953" s="81"/>
      <c r="G953" s="63"/>
      <c r="H953" s="63"/>
      <c r="I953" s="63"/>
      <c r="J953" s="128"/>
      <c r="K953" s="63"/>
      <c r="L953" s="63"/>
      <c r="M953" s="128"/>
      <c r="N953" s="63"/>
      <c r="O953" s="63"/>
      <c r="P953" s="128"/>
      <c r="Q953" s="63"/>
      <c r="R953" s="63"/>
      <c r="S953" s="128"/>
      <c r="T953" s="63"/>
      <c r="U953" s="63"/>
      <c r="V953" s="128"/>
      <c r="W953" s="63"/>
      <c r="X953" s="63"/>
      <c r="Y953" s="63"/>
      <c r="Z953" s="63"/>
      <c r="AA953" s="63"/>
    </row>
    <row r="954" spans="1:27">
      <c r="A954" s="607"/>
      <c r="B954" s="607"/>
      <c r="C954" s="607"/>
      <c r="D954" s="41" t="s">
        <v>509</v>
      </c>
      <c r="E954" s="127"/>
      <c r="F954" s="46"/>
      <c r="G954" s="47"/>
      <c r="H954" s="47"/>
      <c r="I954" s="47"/>
      <c r="J954" s="127"/>
      <c r="K954" s="47"/>
      <c r="L954" s="47"/>
      <c r="M954" s="127"/>
      <c r="N954" s="47"/>
      <c r="O954" s="47"/>
      <c r="P954" s="127"/>
      <c r="Q954" s="47"/>
      <c r="R954" s="47"/>
      <c r="S954" s="127"/>
      <c r="T954" s="47"/>
      <c r="U954" s="47"/>
      <c r="V954" s="127"/>
      <c r="W954" s="47"/>
      <c r="X954" s="47"/>
      <c r="Y954" s="47"/>
      <c r="Z954" s="47"/>
      <c r="AA954" s="47"/>
    </row>
    <row r="955" spans="1:27">
      <c r="A955" s="591" t="s">
        <v>1366</v>
      </c>
      <c r="B955" s="591" t="s">
        <v>1265</v>
      </c>
      <c r="C955" s="591" t="s">
        <v>747</v>
      </c>
      <c r="D955" s="8" t="s">
        <v>160</v>
      </c>
      <c r="F955" s="8" t="s">
        <v>100</v>
      </c>
      <c r="G955" s="44">
        <v>3</v>
      </c>
      <c r="H955" s="44">
        <v>150</v>
      </c>
      <c r="I955" s="44">
        <f>G955*H955</f>
        <v>450</v>
      </c>
      <c r="J955" s="44"/>
      <c r="K955" s="44">
        <v>12</v>
      </c>
      <c r="L955" s="44">
        <f>H955*K955*$E$6</f>
        <v>1890</v>
      </c>
      <c r="M955" s="123"/>
      <c r="N955" s="44">
        <v>12</v>
      </c>
      <c r="O955" s="44">
        <f>H955*N955*$E$6*$E$6</f>
        <v>1984.5</v>
      </c>
      <c r="P955" s="123"/>
      <c r="Q955" s="44">
        <v>12</v>
      </c>
      <c r="R955" s="44">
        <f>H955*Q955*$E$6*$E$6*$E$6</f>
        <v>2083.7249999999999</v>
      </c>
      <c r="S955" s="123"/>
      <c r="T955" s="44">
        <v>12</v>
      </c>
      <c r="U955" s="44">
        <f>H955*T955*$E$6*$E$6*$E$6*$E$6</f>
        <v>2187.9112500000001</v>
      </c>
      <c r="V955" s="123"/>
      <c r="W955" s="44">
        <v>9</v>
      </c>
      <c r="X955" s="44">
        <f t="shared" ref="X955" si="588">W955*H955*$E$6*$E$6*$E$6*$E$6*$E$6</f>
        <v>1722.9801093750002</v>
      </c>
      <c r="Y955" s="44">
        <f t="shared" ref="Y955" si="589">SUM(R955,O955,L955,I955,U955,X955)</f>
        <v>10319.116359374999</v>
      </c>
      <c r="Z955" s="44" t="s">
        <v>149</v>
      </c>
      <c r="AA955" s="44">
        <f>SUM(Y955:Z955)</f>
        <v>10319.116359374999</v>
      </c>
    </row>
    <row r="956" spans="1:27">
      <c r="A956" s="591" t="s">
        <v>1367</v>
      </c>
      <c r="B956" s="591" t="s">
        <v>1265</v>
      </c>
      <c r="C956" s="591" t="s">
        <v>747</v>
      </c>
      <c r="D956" s="8" t="s">
        <v>510</v>
      </c>
      <c r="F956" s="8" t="s">
        <v>148</v>
      </c>
      <c r="G956" s="44">
        <v>6</v>
      </c>
      <c r="H956" s="44">
        <v>35</v>
      </c>
      <c r="I956" s="44">
        <f>G956*H956</f>
        <v>210</v>
      </c>
      <c r="J956" s="44"/>
      <c r="K956" s="44">
        <v>12</v>
      </c>
      <c r="L956" s="44">
        <f>H956*K956*$E$6</f>
        <v>441</v>
      </c>
      <c r="M956" s="123"/>
      <c r="N956" s="44">
        <v>12</v>
      </c>
      <c r="O956" s="44">
        <f>H956*N956*$E$6*$E$6</f>
        <v>463.05</v>
      </c>
      <c r="P956" s="123"/>
      <c r="Q956" s="44">
        <v>12</v>
      </c>
      <c r="R956" s="44">
        <f>H956*Q956*$E$6*$E$6*$E$6</f>
        <v>486.20250000000004</v>
      </c>
      <c r="S956" s="123"/>
      <c r="T956" s="44">
        <v>12</v>
      </c>
      <c r="U956" s="44">
        <f>H956*T956*$E$6*$E$6*$E$6*$E$6</f>
        <v>510.51262500000007</v>
      </c>
      <c r="V956" s="123"/>
      <c r="W956" s="44">
        <v>9</v>
      </c>
      <c r="X956" s="44">
        <f t="shared" ref="X956:X957" si="590">W956*H956*$E$6*$E$6*$E$6*$E$6*$E$6</f>
        <v>402.0286921875001</v>
      </c>
      <c r="Y956" s="44">
        <f t="shared" ref="Y956:Y957" si="591">SUM(R956,O956,L956,I956,U956,X956)</f>
        <v>2512.7938171874998</v>
      </c>
      <c r="Z956" s="44" t="s">
        <v>149</v>
      </c>
      <c r="AA956" s="44">
        <f>SUM(Y956:Z956)</f>
        <v>2512.7938171874998</v>
      </c>
    </row>
    <row r="957" spans="1:27" ht="25.2">
      <c r="A957" s="591" t="s">
        <v>1367</v>
      </c>
      <c r="B957" s="45" t="s">
        <v>794</v>
      </c>
      <c r="C957" s="591" t="s">
        <v>747</v>
      </c>
      <c r="D957" s="8" t="s">
        <v>511</v>
      </c>
      <c r="F957" s="8" t="s">
        <v>151</v>
      </c>
      <c r="G957" s="44">
        <f>G956*3</f>
        <v>18</v>
      </c>
      <c r="H957" s="44">
        <f xml:space="preserve"> 75 +  + (0.5*80)</f>
        <v>115</v>
      </c>
      <c r="I957" s="44">
        <f>G957*H957</f>
        <v>2070</v>
      </c>
      <c r="J957" s="44"/>
      <c r="K957" s="44">
        <f>K956*3</f>
        <v>36</v>
      </c>
      <c r="L957" s="44">
        <f>H957*K957*$E$6</f>
        <v>4347</v>
      </c>
      <c r="M957" s="123"/>
      <c r="N957" s="44">
        <f>N956*3</f>
        <v>36</v>
      </c>
      <c r="O957" s="44">
        <f>H957*N957*$E$6*$E$6</f>
        <v>4564.3500000000004</v>
      </c>
      <c r="P957" s="123"/>
      <c r="Q957" s="44">
        <f>Q956*3</f>
        <v>36</v>
      </c>
      <c r="R957" s="44">
        <f>H957*Q957*$E$6*$E$6*$E$6</f>
        <v>4792.567500000001</v>
      </c>
      <c r="S957" s="123"/>
      <c r="T957" s="44">
        <f>T956*3</f>
        <v>36</v>
      </c>
      <c r="U957" s="44">
        <f>H957*T957*$E$6*$E$6*$E$6*$E$6</f>
        <v>5032.1958750000013</v>
      </c>
      <c r="V957" s="123"/>
      <c r="W957" s="44">
        <f>W956*3</f>
        <v>27</v>
      </c>
      <c r="X957" s="44">
        <f t="shared" si="590"/>
        <v>3962.8542515625008</v>
      </c>
      <c r="Y957" s="44">
        <f t="shared" si="591"/>
        <v>24768.967626562502</v>
      </c>
      <c r="Z957" s="44" t="s">
        <v>149</v>
      </c>
      <c r="AA957" s="44">
        <f>SUM(Y957:Z957)</f>
        <v>24768.967626562502</v>
      </c>
    </row>
    <row r="958" spans="1:27">
      <c r="A958" s="607"/>
      <c r="B958" s="607"/>
      <c r="C958" s="607"/>
      <c r="D958" s="41" t="s">
        <v>512</v>
      </c>
      <c r="E958" s="127"/>
      <c r="F958" s="46"/>
      <c r="G958" s="47"/>
      <c r="H958" s="47"/>
      <c r="I958" s="48">
        <f>SUM(I955:I957)</f>
        <v>2730</v>
      </c>
      <c r="J958" s="127"/>
      <c r="K958" s="47"/>
      <c r="L958" s="48">
        <f>SUM(L955:L957)</f>
        <v>6678</v>
      </c>
      <c r="M958" s="127"/>
      <c r="N958" s="47"/>
      <c r="O958" s="48">
        <f>SUM(O955:O957)</f>
        <v>7011.9000000000005</v>
      </c>
      <c r="P958" s="127"/>
      <c r="Q958" s="47"/>
      <c r="R958" s="48">
        <f>SUM(R955:R957)</f>
        <v>7362.4950000000008</v>
      </c>
      <c r="S958" s="127"/>
      <c r="T958" s="47"/>
      <c r="U958" s="48">
        <f>SUM(U955:U957)</f>
        <v>7730.6197500000017</v>
      </c>
      <c r="V958" s="127"/>
      <c r="W958" s="47"/>
      <c r="X958" s="48">
        <f>SUM(X955:X957)</f>
        <v>6087.863053125001</v>
      </c>
      <c r="Y958" s="48">
        <f>SUM(Y955:Y957)</f>
        <v>37600.877803124997</v>
      </c>
      <c r="Z958" s="48">
        <f>SUM(Z955:Z957)</f>
        <v>0</v>
      </c>
      <c r="AA958" s="48">
        <f>SUM(AA955:AA957)</f>
        <v>37600.877803124997</v>
      </c>
    </row>
    <row r="959" spans="1:27">
      <c r="A959" s="608"/>
      <c r="B959" s="608"/>
      <c r="C959" s="608"/>
      <c r="D959" s="100"/>
      <c r="E959" s="128"/>
      <c r="F959" s="81"/>
      <c r="G959" s="63"/>
      <c r="H959" s="63"/>
      <c r="I959" s="63"/>
      <c r="J959" s="128"/>
      <c r="K959" s="63"/>
      <c r="L959" s="63"/>
      <c r="M959" s="128"/>
      <c r="N959" s="63"/>
      <c r="O959" s="63"/>
      <c r="P959" s="128"/>
      <c r="Q959" s="63"/>
      <c r="R959" s="63"/>
      <c r="S959" s="128"/>
      <c r="T959" s="63"/>
      <c r="U959" s="63"/>
      <c r="V959" s="128"/>
      <c r="W959" s="63"/>
      <c r="X959" s="63"/>
      <c r="Y959" s="63"/>
      <c r="Z959" s="63"/>
      <c r="AA959" s="63"/>
    </row>
    <row r="960" spans="1:27">
      <c r="A960" s="607"/>
      <c r="B960" s="607"/>
      <c r="C960" s="607"/>
      <c r="D960" s="41" t="s">
        <v>513</v>
      </c>
      <c r="E960" s="127"/>
      <c r="F960" s="46"/>
      <c r="G960" s="47"/>
      <c r="H960" s="47"/>
      <c r="I960" s="47"/>
      <c r="J960" s="127"/>
      <c r="K960" s="47"/>
      <c r="L960" s="47"/>
      <c r="M960" s="127"/>
      <c r="N960" s="47"/>
      <c r="O960" s="47"/>
      <c r="P960" s="127"/>
      <c r="Q960" s="47"/>
      <c r="R960" s="47"/>
      <c r="S960" s="127"/>
      <c r="T960" s="47"/>
      <c r="U960" s="47"/>
      <c r="V960" s="127"/>
      <c r="W960" s="47"/>
      <c r="X960" s="47"/>
      <c r="Y960" s="47"/>
      <c r="Z960" s="47"/>
      <c r="AA960" s="47"/>
    </row>
    <row r="961" spans="1:29">
      <c r="A961" s="591" t="s">
        <v>1274</v>
      </c>
      <c r="B961" s="591" t="s">
        <v>1265</v>
      </c>
      <c r="C961" s="591" t="s">
        <v>747</v>
      </c>
      <c r="D961" s="8" t="s">
        <v>514</v>
      </c>
      <c r="F961" s="8" t="s">
        <v>173</v>
      </c>
      <c r="G961" s="44">
        <f>(8780/6)</f>
        <v>1463.3333333333333</v>
      </c>
      <c r="H961" s="44">
        <v>40</v>
      </c>
      <c r="I961" s="44">
        <f>G961*H961</f>
        <v>58533.333333333328</v>
      </c>
      <c r="J961" s="123"/>
      <c r="K961" s="44">
        <f>(8780/6)</f>
        <v>1463.3333333333333</v>
      </c>
      <c r="L961" s="44">
        <f>H961*K961</f>
        <v>58533.333333333328</v>
      </c>
      <c r="M961" s="123"/>
      <c r="N961" s="44">
        <f>(8780/6)</f>
        <v>1463.3333333333333</v>
      </c>
      <c r="O961" s="44">
        <f>H961*N961</f>
        <v>58533.333333333328</v>
      </c>
      <c r="P961" s="123"/>
      <c r="Q961" s="44">
        <f>(8780/6)</f>
        <v>1463.3333333333333</v>
      </c>
      <c r="R961" s="44">
        <f>H961*Q961</f>
        <v>58533.333333333328</v>
      </c>
      <c r="S961" s="123"/>
      <c r="T961" s="44">
        <f>(8780/6)</f>
        <v>1463.3333333333333</v>
      </c>
      <c r="U961" s="44">
        <f>H961*T961</f>
        <v>58533.333333333328</v>
      </c>
      <c r="V961" s="123"/>
      <c r="W961" s="44">
        <f>(8780/6)</f>
        <v>1463.3333333333333</v>
      </c>
      <c r="X961" s="44">
        <f t="shared" ref="X961" si="592">W961*H961</f>
        <v>58533.333333333328</v>
      </c>
      <c r="Y961" s="44">
        <f>SUM(R961,O961,L961,I961,U961,X961)</f>
        <v>351199.99999999994</v>
      </c>
      <c r="Z961" s="44">
        <v>0</v>
      </c>
      <c r="AA961" s="44">
        <f t="shared" ref="AA961" si="593">SUM(Y961:Z961)</f>
        <v>351199.99999999994</v>
      </c>
    </row>
    <row r="962" spans="1:29">
      <c r="A962" s="591" t="s">
        <v>1273</v>
      </c>
      <c r="B962" s="591" t="s">
        <v>1265</v>
      </c>
      <c r="C962" s="591" t="s">
        <v>747</v>
      </c>
      <c r="D962" s="8" t="s">
        <v>515</v>
      </c>
      <c r="F962" s="8" t="s">
        <v>173</v>
      </c>
      <c r="G962" s="44">
        <f>G974</f>
        <v>201.66666666666666</v>
      </c>
      <c r="H962" s="44">
        <v>25</v>
      </c>
      <c r="I962" s="44">
        <f>G962*H962</f>
        <v>5041.6666666666661</v>
      </c>
      <c r="J962" s="123"/>
      <c r="K962" s="44">
        <f>K974</f>
        <v>201.66666666666666</v>
      </c>
      <c r="L962" s="44">
        <f>H962*K962</f>
        <v>5041.6666666666661</v>
      </c>
      <c r="M962" s="123"/>
      <c r="N962" s="44">
        <f>N974</f>
        <v>201.66666666666666</v>
      </c>
      <c r="O962" s="44">
        <f>H962*N962</f>
        <v>5041.6666666666661</v>
      </c>
      <c r="P962" s="123"/>
      <c r="Q962" s="44">
        <f>Q974</f>
        <v>201.66666666666666</v>
      </c>
      <c r="R962" s="44">
        <f>H962*Q962</f>
        <v>5041.6666666666661</v>
      </c>
      <c r="S962" s="123"/>
      <c r="T962" s="44">
        <f>T974</f>
        <v>201.66666666666666</v>
      </c>
      <c r="U962" s="44">
        <f>H962*T962</f>
        <v>5041.6666666666661</v>
      </c>
      <c r="V962" s="123"/>
      <c r="W962" s="44">
        <f>W974</f>
        <v>201.66666666666666</v>
      </c>
      <c r="X962" s="44">
        <f>W962*H962</f>
        <v>5041.6666666666661</v>
      </c>
      <c r="Y962" s="44">
        <f>SUM(R962,O962,L962,I962,U962,X962)</f>
        <v>30249.999999999993</v>
      </c>
      <c r="Z962" s="44">
        <v>0</v>
      </c>
      <c r="AA962" s="44">
        <f>SUM(Y962:Z962)</f>
        <v>30249.999999999993</v>
      </c>
    </row>
    <row r="963" spans="1:29">
      <c r="A963" s="607"/>
      <c r="B963" s="607"/>
      <c r="C963" s="607"/>
      <c r="D963" s="41" t="s">
        <v>516</v>
      </c>
      <c r="E963" s="127"/>
      <c r="F963" s="46"/>
      <c r="G963" s="47"/>
      <c r="H963" s="47"/>
      <c r="I963" s="48">
        <f>SUM(I961:I962)</f>
        <v>63574.999999999993</v>
      </c>
      <c r="J963" s="127"/>
      <c r="K963" s="48"/>
      <c r="L963" s="48">
        <f>SUM(L961:L962)</f>
        <v>63574.999999999993</v>
      </c>
      <c r="M963" s="127"/>
      <c r="N963" s="48"/>
      <c r="O963" s="48">
        <f>SUM(O961:O962)</f>
        <v>63574.999999999993</v>
      </c>
      <c r="P963" s="127"/>
      <c r="Q963" s="48"/>
      <c r="R963" s="48">
        <f>SUM(R961:R962)</f>
        <v>63574.999999999993</v>
      </c>
      <c r="S963" s="127"/>
      <c r="T963" s="48"/>
      <c r="U963" s="48">
        <f>SUM(U961:U962)</f>
        <v>63574.999999999993</v>
      </c>
      <c r="V963" s="127"/>
      <c r="W963" s="48"/>
      <c r="X963" s="48">
        <f>SUM(X961:X962)</f>
        <v>63574.999999999993</v>
      </c>
      <c r="Y963" s="48">
        <f>SUM(Y961:Y962)</f>
        <v>381449.99999999994</v>
      </c>
      <c r="Z963" s="48">
        <f>SUM(Z961:Z962)</f>
        <v>0</v>
      </c>
      <c r="AA963" s="48">
        <f>SUM(AA961:AA962)</f>
        <v>381449.99999999994</v>
      </c>
    </row>
    <row r="964" spans="1:29" hidden="1">
      <c r="A964" s="608"/>
      <c r="B964" s="608"/>
      <c r="C964" s="608"/>
      <c r="D964" s="100"/>
      <c r="E964" s="128"/>
      <c r="F964" s="81"/>
      <c r="G964" s="63"/>
      <c r="H964" s="63"/>
      <c r="I964" s="63"/>
      <c r="J964" s="128"/>
      <c r="K964" s="63"/>
      <c r="L964" s="63"/>
      <c r="M964" s="128"/>
      <c r="N964" s="63"/>
      <c r="O964" s="63"/>
      <c r="P964" s="128"/>
      <c r="Q964" s="63"/>
      <c r="R964" s="63"/>
      <c r="S964" s="128"/>
      <c r="T964" s="63"/>
      <c r="U964" s="63"/>
      <c r="V964" s="128"/>
      <c r="W964" s="63"/>
      <c r="X964" s="63"/>
      <c r="Y964" s="63"/>
      <c r="Z964" s="63"/>
      <c r="AA964" s="63"/>
    </row>
    <row r="965" spans="1:29" hidden="1">
      <c r="A965" s="607"/>
      <c r="B965" s="607"/>
      <c r="C965" s="607"/>
      <c r="D965" s="41" t="s">
        <v>517</v>
      </c>
      <c r="E965" s="127"/>
      <c r="F965" s="46"/>
      <c r="G965" s="47"/>
      <c r="H965" s="47"/>
      <c r="I965" s="47"/>
      <c r="J965" s="127"/>
      <c r="K965" s="47"/>
      <c r="L965" s="47"/>
      <c r="M965" s="127"/>
      <c r="N965" s="47"/>
      <c r="O965" s="47"/>
      <c r="P965" s="127"/>
      <c r="Q965" s="47"/>
      <c r="R965" s="47"/>
      <c r="S965" s="127"/>
      <c r="T965" s="47"/>
      <c r="U965" s="47"/>
      <c r="V965" s="127"/>
      <c r="W965" s="47"/>
      <c r="X965" s="47"/>
      <c r="Y965" s="47"/>
      <c r="Z965" s="47"/>
      <c r="AA965" s="47"/>
    </row>
    <row r="966" spans="1:29" hidden="1">
      <c r="D966" s="8" t="s">
        <v>518</v>
      </c>
      <c r="F966" s="8" t="s">
        <v>173</v>
      </c>
      <c r="G966" s="44">
        <v>0</v>
      </c>
      <c r="H966" s="44">
        <v>0</v>
      </c>
      <c r="I966" s="44">
        <f>G966*H966</f>
        <v>0</v>
      </c>
      <c r="J966" s="123"/>
      <c r="K966" s="44">
        <f>G966</f>
        <v>0</v>
      </c>
      <c r="L966" s="44">
        <f>H966*K966</f>
        <v>0</v>
      </c>
      <c r="M966" s="123"/>
      <c r="N966" s="44">
        <f>G966</f>
        <v>0</v>
      </c>
      <c r="O966" s="44">
        <f>H966*N966</f>
        <v>0</v>
      </c>
      <c r="P966" s="123"/>
      <c r="Q966" s="44">
        <f>G966</f>
        <v>0</v>
      </c>
      <c r="R966" s="44">
        <f>H966*Q966</f>
        <v>0</v>
      </c>
      <c r="S966" s="123"/>
      <c r="T966" s="44">
        <f>G966</f>
        <v>0</v>
      </c>
      <c r="U966" s="44">
        <f>H966*T966</f>
        <v>0</v>
      </c>
      <c r="V966" s="123"/>
      <c r="W966" s="44">
        <f>G966</f>
        <v>0</v>
      </c>
      <c r="X966" s="44">
        <f t="shared" ref="X966" si="594">W966*H966</f>
        <v>0</v>
      </c>
      <c r="Y966" s="44">
        <f>SUM(R966,O966,L966,I966,U966,X966)</f>
        <v>0</v>
      </c>
      <c r="Z966" s="44">
        <v>0</v>
      </c>
      <c r="AA966" s="44">
        <f t="shared" ref="AA966" si="595">SUM(Y966:Z966)</f>
        <v>0</v>
      </c>
    </row>
    <row r="967" spans="1:29" hidden="1">
      <c r="A967" s="607"/>
      <c r="B967" s="607"/>
      <c r="C967" s="607"/>
      <c r="D967" s="41" t="s">
        <v>519</v>
      </c>
      <c r="E967" s="127"/>
      <c r="F967" s="46"/>
      <c r="G967" s="47"/>
      <c r="H967" s="47"/>
      <c r="I967" s="48">
        <f>SUM(I966:I966)</f>
        <v>0</v>
      </c>
      <c r="J967" s="127"/>
      <c r="K967" s="48"/>
      <c r="L967" s="48">
        <f>SUM(L966:L966)</f>
        <v>0</v>
      </c>
      <c r="M967" s="127"/>
      <c r="N967" s="48"/>
      <c r="O967" s="48">
        <f>SUM(O966:O966)</f>
        <v>0</v>
      </c>
      <c r="P967" s="127"/>
      <c r="Q967" s="48"/>
      <c r="R967" s="48">
        <f>SUM(R966:R966)</f>
        <v>0</v>
      </c>
      <c r="S967" s="127"/>
      <c r="T967" s="48"/>
      <c r="U967" s="48">
        <f>SUM(U966:U966)</f>
        <v>0</v>
      </c>
      <c r="V967" s="127"/>
      <c r="W967" s="48"/>
      <c r="X967" s="48">
        <f>SUM(X966:X966)</f>
        <v>0</v>
      </c>
      <c r="Y967" s="48">
        <f>SUM(Y966:Y966)</f>
        <v>0</v>
      </c>
      <c r="Z967" s="48">
        <f>SUM(Z966:Z966)</f>
        <v>0</v>
      </c>
      <c r="AA967" s="48">
        <f>SUM(AA966:AA966)</f>
        <v>0</v>
      </c>
    </row>
    <row r="968" spans="1:29">
      <c r="A968" s="608"/>
      <c r="B968" s="608"/>
      <c r="C968" s="608"/>
      <c r="D968" s="100"/>
      <c r="E968" s="128"/>
      <c r="F968" s="81"/>
      <c r="G968" s="63"/>
      <c r="H968" s="63"/>
      <c r="I968" s="63"/>
      <c r="J968" s="128"/>
      <c r="K968" s="63"/>
      <c r="L968" s="63"/>
      <c r="M968" s="128"/>
      <c r="N968" s="63"/>
      <c r="O968" s="63"/>
      <c r="P968" s="128"/>
      <c r="Q968" s="63"/>
      <c r="R968" s="63"/>
      <c r="S968" s="128"/>
      <c r="T968" s="63"/>
      <c r="U968" s="63"/>
      <c r="V968" s="128"/>
      <c r="W968" s="63"/>
      <c r="X968" s="63"/>
      <c r="Y968" s="63"/>
      <c r="Z968" s="63"/>
      <c r="AA968" s="63"/>
    </row>
    <row r="969" spans="1:29" ht="12.9" thickBot="1">
      <c r="A969" s="596"/>
      <c r="B969" s="596"/>
      <c r="C969" s="596"/>
      <c r="D969" s="54" t="s">
        <v>520</v>
      </c>
      <c r="E969" s="121"/>
      <c r="F969" s="54"/>
      <c r="G969" s="69"/>
      <c r="H969" s="69"/>
      <c r="I969" s="65">
        <f>I967+I958+I952+I948+I929+I937+I925+I963</f>
        <v>442612.24</v>
      </c>
      <c r="J969" s="121"/>
      <c r="K969" s="65"/>
      <c r="L969" s="65">
        <f>L967+L958+L952+L948+L929+L937+L925+L963</f>
        <v>466641.14600000001</v>
      </c>
      <c r="M969" s="121"/>
      <c r="N969" s="65"/>
      <c r="O969" s="65">
        <f>O967+O958+O952+O948+O929+O937+O925+O963</f>
        <v>473444.45329999999</v>
      </c>
      <c r="P969" s="121"/>
      <c r="Q969" s="65"/>
      <c r="R969" s="65">
        <f>R967+R958+R952+R948+R929+R937+R925+R963</f>
        <v>486887.92596499994</v>
      </c>
      <c r="S969" s="121"/>
      <c r="T969" s="65"/>
      <c r="U969" s="65">
        <f>U967+U958+U952+U948+U929+U937+U925+U963</f>
        <v>501003.57226324995</v>
      </c>
      <c r="V969" s="121"/>
      <c r="W969" s="65"/>
      <c r="X969" s="65">
        <f>X967+X958+X952+X948+X929+X937+X925+X963</f>
        <v>332043.12892115006</v>
      </c>
      <c r="Y969" s="65">
        <f>Y967+Y958+Y952+Y948+Y929+Y937+Y925+Y963</f>
        <v>2702632.4664493999</v>
      </c>
      <c r="Z969" s="65">
        <f>Z967+Z958+Z952+Z948+Z929+Z937+Z925+Z963</f>
        <v>0</v>
      </c>
      <c r="AA969" s="65">
        <f>AA967+AA958+AA952+AA948+AA929+AA937+AA925+AA963</f>
        <v>2702632.4664493999</v>
      </c>
      <c r="AC969" s="566"/>
    </row>
    <row r="970" spans="1:29">
      <c r="A970" s="609"/>
      <c r="B970" s="609"/>
      <c r="C970" s="609"/>
      <c r="D970" s="59"/>
      <c r="E970" s="131"/>
      <c r="H970" s="43"/>
      <c r="I970" s="43"/>
      <c r="J970" s="131"/>
      <c r="K970" s="43"/>
      <c r="L970" s="43"/>
      <c r="M970" s="131"/>
      <c r="N970" s="43"/>
      <c r="O970" s="43"/>
      <c r="P970" s="131"/>
      <c r="Q970" s="43"/>
      <c r="R970" s="43"/>
      <c r="S970" s="131"/>
      <c r="T970" s="43"/>
      <c r="U970" s="43"/>
      <c r="V970" s="131"/>
      <c r="W970" s="43"/>
      <c r="X970" s="43"/>
      <c r="Y970" s="43"/>
      <c r="Z970" s="44"/>
      <c r="AA970" s="43"/>
    </row>
    <row r="971" spans="1:29">
      <c r="A971" s="605"/>
      <c r="B971" s="605"/>
      <c r="C971" s="605"/>
      <c r="D971" s="94" t="s">
        <v>51</v>
      </c>
      <c r="E971" s="125"/>
      <c r="F971" s="38"/>
      <c r="G971" s="38"/>
      <c r="H971" s="39"/>
      <c r="I971" s="95"/>
      <c r="J971" s="125"/>
      <c r="K971" s="95"/>
      <c r="L971" s="95"/>
      <c r="M971" s="125"/>
      <c r="N971" s="95"/>
      <c r="O971" s="95"/>
      <c r="P971" s="125"/>
      <c r="Q971" s="95"/>
      <c r="R971" s="95"/>
      <c r="S971" s="125"/>
      <c r="T971" s="95"/>
      <c r="U971" s="95"/>
      <c r="V971" s="125"/>
      <c r="W971" s="95"/>
      <c r="X971" s="95"/>
      <c r="Y971" s="95"/>
      <c r="Z971" s="96"/>
      <c r="AA971" s="95"/>
    </row>
    <row r="972" spans="1:29">
      <c r="A972" s="606"/>
      <c r="B972" s="606"/>
      <c r="C972" s="606"/>
      <c r="D972" s="97" t="s">
        <v>227</v>
      </c>
      <c r="E972" s="126"/>
      <c r="F972" s="98"/>
      <c r="G972" s="99"/>
      <c r="H972" s="99"/>
      <c r="I972" s="99"/>
      <c r="J972" s="126"/>
      <c r="K972" s="99"/>
      <c r="L972" s="99"/>
      <c r="M972" s="126"/>
      <c r="N972" s="99"/>
      <c r="O972" s="99"/>
      <c r="P972" s="126"/>
      <c r="Q972" s="99"/>
      <c r="R972" s="99"/>
      <c r="S972" s="126"/>
      <c r="T972" s="99"/>
      <c r="U972" s="99"/>
      <c r="V972" s="126"/>
      <c r="W972" s="99"/>
      <c r="X972" s="99"/>
      <c r="Y972" s="99"/>
      <c r="Z972" s="99"/>
      <c r="AA972" s="99"/>
    </row>
    <row r="973" spans="1:29">
      <c r="A973" s="607"/>
      <c r="B973" s="607"/>
      <c r="C973" s="607"/>
      <c r="D973" s="41" t="s">
        <v>51</v>
      </c>
      <c r="E973" s="127"/>
      <c r="F973" s="46"/>
      <c r="G973" s="47"/>
      <c r="H973" s="47"/>
      <c r="I973" s="47"/>
      <c r="J973" s="127"/>
      <c r="K973" s="47"/>
      <c r="L973" s="47"/>
      <c r="M973" s="127"/>
      <c r="N973" s="47"/>
      <c r="O973" s="47"/>
      <c r="P973" s="127"/>
      <c r="Q973" s="47"/>
      <c r="R973" s="47"/>
      <c r="S973" s="127"/>
      <c r="T973" s="47"/>
      <c r="U973" s="47"/>
      <c r="V973" s="127"/>
      <c r="W973" s="47"/>
      <c r="X973" s="47"/>
      <c r="Y973" s="47"/>
      <c r="Z973" s="47"/>
      <c r="AA973" s="47"/>
    </row>
    <row r="974" spans="1:29">
      <c r="A974" s="591" t="s">
        <v>1254</v>
      </c>
      <c r="B974" s="591">
        <v>82420</v>
      </c>
      <c r="C974" s="591" t="s">
        <v>747</v>
      </c>
      <c r="D974" s="8" t="s">
        <v>521</v>
      </c>
      <c r="E974" s="120"/>
      <c r="F974" s="8" t="s">
        <v>522</v>
      </c>
      <c r="G974" s="44">
        <f>1210/6</f>
        <v>201.66666666666666</v>
      </c>
      <c r="H974" s="44">
        <v>1760</v>
      </c>
      <c r="I974" s="44">
        <f>H974*G974</f>
        <v>354933.33333333331</v>
      </c>
      <c r="J974" s="120"/>
      <c r="K974" s="44">
        <f>G974</f>
        <v>201.66666666666666</v>
      </c>
      <c r="L974" s="44">
        <f>H974*K974*$E$6</f>
        <v>372680</v>
      </c>
      <c r="M974" s="120"/>
      <c r="N974" s="44">
        <f>G974</f>
        <v>201.66666666666666</v>
      </c>
      <c r="O974" s="44">
        <f>H974*N974*$E$6*$E$6</f>
        <v>391314</v>
      </c>
      <c r="P974" s="120"/>
      <c r="Q974" s="44">
        <f>G974</f>
        <v>201.66666666666666</v>
      </c>
      <c r="R974" s="44">
        <f>H974*Q974*$E$6*$E$6*$E$6</f>
        <v>410879.7</v>
      </c>
      <c r="S974" s="120"/>
      <c r="T974" s="44">
        <f>G974</f>
        <v>201.66666666666666</v>
      </c>
      <c r="U974" s="44">
        <f>T974*H974*$E$6*$E$6*$E$6*$E$6</f>
        <v>431423.68500000006</v>
      </c>
      <c r="V974" s="120"/>
      <c r="W974" s="44">
        <f>G974</f>
        <v>201.66666666666666</v>
      </c>
      <c r="X974" s="44">
        <f>W974*H974*$E$6*$E$6*$E$6*$E$6*$E$6</f>
        <v>452994.86925000011</v>
      </c>
      <c r="Y974" s="44">
        <f>SUM(R974,O974,L974,I974,U974,X974)</f>
        <v>2414225.5875833333</v>
      </c>
      <c r="Z974" s="44">
        <v>0</v>
      </c>
      <c r="AA974" s="44">
        <f t="shared" ref="AA974" si="596">SUM(Y974:Z974)</f>
        <v>2414225.5875833333</v>
      </c>
      <c r="AB974" s="222"/>
    </row>
    <row r="975" spans="1:29">
      <c r="A975" s="591" t="s">
        <v>1255</v>
      </c>
      <c r="B975" s="591">
        <v>82420</v>
      </c>
      <c r="C975" s="591" t="s">
        <v>747</v>
      </c>
      <c r="D975" s="8" t="s">
        <v>523</v>
      </c>
      <c r="E975" s="120"/>
      <c r="F975" s="8" t="s">
        <v>522</v>
      </c>
      <c r="G975" s="44">
        <f>900/6</f>
        <v>150</v>
      </c>
      <c r="H975" s="44">
        <v>420</v>
      </c>
      <c r="I975" s="44">
        <f>H975*G975</f>
        <v>63000</v>
      </c>
      <c r="J975" s="120"/>
      <c r="K975" s="44">
        <f>G975</f>
        <v>150</v>
      </c>
      <c r="L975" s="44">
        <f>H975*K975*$E$6</f>
        <v>66150</v>
      </c>
      <c r="M975" s="120"/>
      <c r="N975" s="44">
        <f>G975</f>
        <v>150</v>
      </c>
      <c r="O975" s="44">
        <f>H975*N975*$E$6*$E$6</f>
        <v>69457.5</v>
      </c>
      <c r="P975" s="120"/>
      <c r="Q975" s="44">
        <f>G975</f>
        <v>150</v>
      </c>
      <c r="R975" s="44">
        <f>H975*Q975*$E$6*$E$6*$E$6</f>
        <v>72930.375</v>
      </c>
      <c r="S975" s="120"/>
      <c r="T975" s="44">
        <f>G975</f>
        <v>150</v>
      </c>
      <c r="U975" s="44">
        <f>T975*H975*$E$6*$E$6*$E$6*$E$6</f>
        <v>76576.893750000003</v>
      </c>
      <c r="V975" s="120"/>
      <c r="W975" s="44">
        <v>120</v>
      </c>
      <c r="X975" s="44">
        <f>W975*H975*$E$6*$E$6*$E$6*$E$6*$E$6</f>
        <v>64324.59075000001</v>
      </c>
      <c r="Y975" s="44">
        <f>SUM(R975,O975,L975,I975,U975,X975)</f>
        <v>412439.35950000002</v>
      </c>
      <c r="Z975" s="44">
        <v>0</v>
      </c>
      <c r="AA975" s="44">
        <f t="shared" ref="AA975:AA976" si="597">SUM(Y975:Z975)</f>
        <v>412439.35950000002</v>
      </c>
      <c r="AB975" s="222"/>
    </row>
    <row r="976" spans="1:29">
      <c r="A976" s="591" t="s">
        <v>1256</v>
      </c>
      <c r="B976" s="591">
        <v>82420</v>
      </c>
      <c r="C976" s="591" t="s">
        <v>747</v>
      </c>
      <c r="D976" s="8" t="s">
        <v>524</v>
      </c>
      <c r="E976" s="120"/>
      <c r="F976" s="8" t="s">
        <v>522</v>
      </c>
      <c r="G976" s="44">
        <f>600/6</f>
        <v>100</v>
      </c>
      <c r="H976" s="44">
        <v>670</v>
      </c>
      <c r="I976" s="44">
        <f>H976*G976</f>
        <v>67000</v>
      </c>
      <c r="J976" s="120"/>
      <c r="K976" s="44">
        <f>G976</f>
        <v>100</v>
      </c>
      <c r="L976" s="44">
        <f>H976*K976*$E$6</f>
        <v>70350</v>
      </c>
      <c r="M976" s="120"/>
      <c r="N976" s="44">
        <f>G976</f>
        <v>100</v>
      </c>
      <c r="O976" s="44">
        <f>H976*N976*$E$6*$E$6</f>
        <v>73867.5</v>
      </c>
      <c r="P976" s="120"/>
      <c r="Q976" s="44">
        <f>G976</f>
        <v>100</v>
      </c>
      <c r="R976" s="44">
        <f>H976*Q976*$E$6*$E$6*$E$6</f>
        <v>77560.875</v>
      </c>
      <c r="S976" s="120"/>
      <c r="T976" s="44">
        <f>G976</f>
        <v>100</v>
      </c>
      <c r="U976" s="44">
        <f>T976*H976*$E$6*$E$6*$E$6*$E$6</f>
        <v>81438.918749999997</v>
      </c>
      <c r="V976" s="120"/>
      <c r="W976" s="44">
        <f>G976</f>
        <v>100</v>
      </c>
      <c r="X976" s="44">
        <f>W976*H976*$E$6*$E$6*$E$6*$E$6*$E$6</f>
        <v>85510.864687499998</v>
      </c>
      <c r="Y976" s="44">
        <f>SUM(R976,O976,L976,I976,U976,X976)</f>
        <v>455728.15843750001</v>
      </c>
      <c r="Z976" s="44">
        <v>0</v>
      </c>
      <c r="AA976" s="44">
        <f t="shared" si="597"/>
        <v>455728.15843750001</v>
      </c>
      <c r="AB976" s="222"/>
    </row>
    <row r="977" spans="1:30">
      <c r="E977" s="120"/>
      <c r="F977" s="50"/>
      <c r="G977" s="44"/>
      <c r="H977" s="44"/>
      <c r="I977" s="44"/>
      <c r="J977" s="120"/>
      <c r="K977" s="44"/>
      <c r="L977" s="44"/>
      <c r="M977" s="120"/>
      <c r="N977" s="44"/>
      <c r="O977" s="44"/>
      <c r="P977" s="120"/>
      <c r="Q977" s="44"/>
      <c r="R977" s="44"/>
      <c r="S977" s="120"/>
      <c r="T977" s="44"/>
      <c r="U977" s="44"/>
      <c r="V977" s="120"/>
      <c r="W977" s="44"/>
      <c r="X977" s="44"/>
      <c r="Y977" s="44"/>
      <c r="Z977" s="44"/>
      <c r="AA977" s="44"/>
    </row>
    <row r="978" spans="1:30" ht="12.9" thickBot="1">
      <c r="A978" s="596"/>
      <c r="B978" s="596"/>
      <c r="C978" s="596"/>
      <c r="D978" s="54" t="s">
        <v>54</v>
      </c>
      <c r="E978" s="121"/>
      <c r="F978" s="54"/>
      <c r="G978" s="69"/>
      <c r="H978" s="69"/>
      <c r="I978" s="65">
        <f>SUM(I974:I977)</f>
        <v>484933.33333333331</v>
      </c>
      <c r="J978" s="121"/>
      <c r="K978" s="65"/>
      <c r="L978" s="65">
        <f>SUM(L974:L977)</f>
        <v>509180</v>
      </c>
      <c r="M978" s="121"/>
      <c r="N978" s="65"/>
      <c r="O978" s="65">
        <f>SUM(O974:O977)</f>
        <v>534639</v>
      </c>
      <c r="P978" s="121"/>
      <c r="Q978" s="65"/>
      <c r="R978" s="65">
        <f>SUM(R974:R977)</f>
        <v>561370.94999999995</v>
      </c>
      <c r="S978" s="121"/>
      <c r="T978" s="65"/>
      <c r="U978" s="65">
        <f>SUM(U974:U977)</f>
        <v>589439.49750000006</v>
      </c>
      <c r="V978" s="121"/>
      <c r="W978" s="65"/>
      <c r="X978" s="65">
        <f>SUM(X974:X977)</f>
        <v>602830.32468750014</v>
      </c>
      <c r="Y978" s="65">
        <f>SUM(Y974:Y977)</f>
        <v>3282393.1055208333</v>
      </c>
      <c r="Z978" s="65">
        <f>SUM(Z974:Z977)</f>
        <v>0</v>
      </c>
      <c r="AA978" s="65">
        <f>SUM(AA974:AA977)</f>
        <v>3282393.1055208333</v>
      </c>
      <c r="AB978" s="150"/>
      <c r="AC978" s="566"/>
    </row>
    <row r="979" spans="1:30">
      <c r="A979" s="609"/>
      <c r="B979" s="609"/>
      <c r="C979" s="609"/>
      <c r="D979" s="59"/>
      <c r="E979" s="131"/>
      <c r="H979" s="43"/>
      <c r="I979" s="43"/>
      <c r="J979" s="131"/>
      <c r="K979" s="43"/>
      <c r="L979" s="43"/>
      <c r="M979" s="131"/>
      <c r="N979" s="43"/>
      <c r="O979" s="43"/>
      <c r="P979" s="131"/>
      <c r="Q979" s="43"/>
      <c r="R979" s="43"/>
      <c r="S979" s="131"/>
      <c r="T979" s="43"/>
      <c r="U979" s="43"/>
      <c r="V979" s="131"/>
      <c r="W979" s="43"/>
      <c r="X979" s="43"/>
      <c r="Y979" s="43"/>
      <c r="Z979" s="44"/>
      <c r="AA979" s="43"/>
      <c r="AB979" s="566"/>
    </row>
    <row r="980" spans="1:30" ht="12.9" thickBot="1">
      <c r="A980" s="610"/>
      <c r="B980" s="610"/>
      <c r="C980" s="610"/>
      <c r="D980" s="102" t="s">
        <v>61</v>
      </c>
      <c r="E980" s="132"/>
      <c r="F980" s="102"/>
      <c r="G980" s="102"/>
      <c r="H980" s="103"/>
      <c r="I980" s="578">
        <f>I969+I405+I338+I269+I210+I148+I121+I106+I101+I80+I59+I53+I477+I552+I607+I681+I755+I827+I886+I978</f>
        <v>3181335.0308333333</v>
      </c>
      <c r="J980" s="132"/>
      <c r="K980" s="104"/>
      <c r="L980" s="104">
        <f>L969+L405+L338+L269+L210+L148+L121+L106+L101+L80+L59+L53+L477+L552+L607+L681+L755+L827+L886+L978</f>
        <v>4208668.9497500006</v>
      </c>
      <c r="M980" s="132"/>
      <c r="N980" s="104"/>
      <c r="O980" s="104">
        <f>O969+O405+O338+O269+O210+O148+O121+O106+O101+O80+O59+O53+O477+O552+O607+O681+O755+O827+O886+O978</f>
        <v>4554354.3579875007</v>
      </c>
      <c r="P980" s="132"/>
      <c r="Q980" s="104"/>
      <c r="R980" s="104">
        <f>R969+R405+R338+R269+R210+R148+R121+R106+R101+R80+R59+R53+R477+R552+R607+R681+R755+R827+R886+R978</f>
        <v>4386740.3633243749</v>
      </c>
      <c r="S980" s="132"/>
      <c r="T980" s="104"/>
      <c r="U980" s="104">
        <f>U969+U405+U338+U269+U210+U148+U121+U106+U101+U80+U59+U53+U477+U552+U607+U681+U755+U827+U886+U978</f>
        <v>3554777.7290610624</v>
      </c>
      <c r="V980" s="132"/>
      <c r="W980" s="104"/>
      <c r="X980" s="104">
        <f>X969+X405+X338+X269+X210+X148+X121+X106+X101+X80+X59+X53+X477+X552+X607+X681+X755+X827+X886+X978</f>
        <v>3055956.9019515286</v>
      </c>
      <c r="Y980" s="104">
        <f>Y969+Y405+Y338+Y269+Y210+Y148+Y121+Y106+Y101+Y80+Y59+Y53+Y477+Y552+Y607+Y681+Y755+Y827+Y886+Y978</f>
        <v>22941833.332907796</v>
      </c>
      <c r="Z980" s="104">
        <f>Z969+Z405+Z338+Z269+Z210+Z148+Z121+Z106+Z101+Z80+Z59+Z53+Z477+Z552+Z607+Z681+Z755+Z827+Z886+Z978</f>
        <v>406980</v>
      </c>
      <c r="AA980" s="104">
        <f>AA969+AA405+AA338+AA269+AA210+AA148+AA121+AA106+AA101+AA80+AA59+AA53+AA477+AA552+AA607+AA681+AA755+AA827+AA886+AA978</f>
        <v>23348813.332907796</v>
      </c>
    </row>
    <row r="981" spans="1:30">
      <c r="A981" s="611"/>
      <c r="B981" s="611"/>
      <c r="C981" s="611"/>
      <c r="D981" s="58"/>
      <c r="E981" s="133"/>
      <c r="H981" s="43"/>
      <c r="I981" s="61"/>
      <c r="J981" s="133"/>
      <c r="K981" s="61"/>
      <c r="L981" s="61"/>
      <c r="M981" s="133"/>
      <c r="N981" s="61"/>
      <c r="O981" s="61"/>
      <c r="P981" s="133"/>
      <c r="Q981" s="61"/>
      <c r="R981" s="61"/>
      <c r="S981" s="133"/>
      <c r="T981" s="61"/>
      <c r="U981" s="61"/>
      <c r="V981" s="133"/>
      <c r="W981" s="61"/>
      <c r="X981" s="61"/>
      <c r="Y981" s="61"/>
      <c r="Z981" s="61"/>
      <c r="AA981" s="61"/>
      <c r="AD981" s="566"/>
    </row>
    <row r="982" spans="1:30">
      <c r="A982" s="611" t="s">
        <v>1253</v>
      </c>
      <c r="B982" s="611" t="s">
        <v>1252</v>
      </c>
      <c r="C982" s="611" t="s">
        <v>747</v>
      </c>
      <c r="D982" s="58" t="s">
        <v>525</v>
      </c>
      <c r="E982" s="133"/>
      <c r="F982" s="59"/>
      <c r="G982" s="59"/>
      <c r="H982" s="64">
        <v>0.2</v>
      </c>
      <c r="I982" s="61">
        <f>I980*$H$982</f>
        <v>636267.00616666675</v>
      </c>
      <c r="J982" s="133"/>
      <c r="K982" s="61"/>
      <c r="L982" s="61">
        <f>L980*$H$982</f>
        <v>841733.78995000012</v>
      </c>
      <c r="M982" s="133"/>
      <c r="N982" s="61"/>
      <c r="O982" s="61">
        <f>O980*$H$982</f>
        <v>910870.87159750017</v>
      </c>
      <c r="P982" s="133"/>
      <c r="Q982" s="61"/>
      <c r="R982" s="61">
        <f>R980*$H$982</f>
        <v>877348.07266487507</v>
      </c>
      <c r="S982" s="133"/>
      <c r="T982" s="61"/>
      <c r="U982" s="61">
        <f>(U980)*$H$982</f>
        <v>710955.54581221251</v>
      </c>
      <c r="V982" s="133"/>
      <c r="W982" s="61"/>
      <c r="X982" s="61">
        <f>(X980)*$H$982</f>
        <v>611191.38039030577</v>
      </c>
      <c r="Y982" s="61">
        <f>SUM(U982+R982,O982,L982,I982,X982)</f>
        <v>4588366.6665815599</v>
      </c>
      <c r="Z982" s="61">
        <v>0</v>
      </c>
      <c r="AA982" s="61">
        <f>SUM(Y982:Z982)</f>
        <v>4588366.6665815599</v>
      </c>
    </row>
    <row r="983" spans="1:30">
      <c r="A983" s="612"/>
      <c r="B983" s="612"/>
      <c r="C983" s="612"/>
      <c r="D983" s="105"/>
      <c r="E983" s="134"/>
      <c r="F983" s="106"/>
      <c r="G983" s="31"/>
      <c r="H983" s="42"/>
      <c r="I983" s="107"/>
      <c r="J983" s="134"/>
      <c r="K983" s="107"/>
      <c r="L983" s="107"/>
      <c r="M983" s="134"/>
      <c r="N983" s="107"/>
      <c r="O983" s="107"/>
      <c r="P983" s="134"/>
      <c r="Q983" s="107"/>
      <c r="R983" s="107"/>
      <c r="S983" s="134"/>
      <c r="T983" s="107"/>
      <c r="U983" s="107"/>
      <c r="V983" s="134"/>
      <c r="W983" s="107"/>
      <c r="X983" s="107"/>
      <c r="Y983" s="107"/>
      <c r="Z983" s="107"/>
      <c r="AA983" s="107"/>
    </row>
    <row r="984" spans="1:30" ht="12.9" thickBot="1">
      <c r="A984" s="613"/>
      <c r="B984" s="613"/>
      <c r="C984" s="613"/>
      <c r="D984" s="108" t="s">
        <v>526</v>
      </c>
      <c r="E984" s="135"/>
      <c r="F984" s="108"/>
      <c r="G984" s="108"/>
      <c r="H984" s="109"/>
      <c r="I984" s="110">
        <f>I980+I982</f>
        <v>3817602.037</v>
      </c>
      <c r="J984" s="135"/>
      <c r="K984" s="110"/>
      <c r="L984" s="110">
        <f>L980+L982</f>
        <v>5050402.7397000007</v>
      </c>
      <c r="M984" s="135"/>
      <c r="N984" s="110"/>
      <c r="O984" s="110">
        <f>O980+O982</f>
        <v>5465225.2295850012</v>
      </c>
      <c r="P984" s="135"/>
      <c r="Q984" s="110"/>
      <c r="R984" s="110">
        <f>R980+R982</f>
        <v>5264088.4359892495</v>
      </c>
      <c r="S984" s="135"/>
      <c r="T984" s="110"/>
      <c r="U984" s="110">
        <f>U980+U982</f>
        <v>4265733.2748732753</v>
      </c>
      <c r="V984" s="135"/>
      <c r="W984" s="110"/>
      <c r="X984" s="110">
        <f>X980+X982</f>
        <v>3667148.2823418342</v>
      </c>
      <c r="Y984" s="110">
        <f t="shared" ref="Y984:AA984" si="598">Y980+Y982</f>
        <v>27530199.999489356</v>
      </c>
      <c r="Z984" s="110">
        <f t="shared" si="598"/>
        <v>406980</v>
      </c>
      <c r="AA984" s="110">
        <f t="shared" si="598"/>
        <v>27937179.999489356</v>
      </c>
    </row>
    <row r="985" spans="1:30" ht="12.9" thickTop="1">
      <c r="J985" s="123"/>
      <c r="M985" s="123"/>
      <c r="P985" s="123"/>
      <c r="S985" s="123"/>
      <c r="V985" s="123"/>
    </row>
    <row r="986" spans="1:30">
      <c r="J986" s="123"/>
      <c r="M986" s="123"/>
      <c r="P986" s="123"/>
      <c r="S986" s="123"/>
      <c r="V986" s="123"/>
      <c r="Y986" s="33"/>
    </row>
    <row r="987" spans="1:30">
      <c r="A987" s="614"/>
      <c r="B987" s="614"/>
      <c r="C987" s="614"/>
      <c r="D987" s="25"/>
      <c r="J987" s="123"/>
      <c r="M987" s="123"/>
      <c r="P987" s="123"/>
      <c r="S987" s="123"/>
      <c r="V987" s="123"/>
      <c r="Y987" s="33"/>
    </row>
    <row r="988" spans="1:30">
      <c r="A988" s="615"/>
      <c r="B988" s="615"/>
      <c r="C988" s="615"/>
      <c r="D988" s="111"/>
      <c r="J988" s="123"/>
      <c r="M988" s="123"/>
      <c r="P988" s="123"/>
      <c r="S988" s="123"/>
      <c r="V988" s="123"/>
      <c r="Y988" s="33"/>
    </row>
    <row r="989" spans="1:30">
      <c r="E989" s="136"/>
      <c r="J989" s="136"/>
      <c r="M989" s="136"/>
      <c r="P989" s="136"/>
      <c r="S989" s="136"/>
      <c r="V989" s="136"/>
      <c r="Y989" s="33"/>
    </row>
    <row r="990" spans="1:30">
      <c r="A990" s="615"/>
      <c r="B990" s="615"/>
      <c r="C990" s="615"/>
      <c r="D990" s="111"/>
      <c r="E990" s="137"/>
      <c r="J990" s="137"/>
      <c r="M990" s="137"/>
      <c r="P990" s="137"/>
      <c r="S990" s="137"/>
      <c r="V990" s="137"/>
      <c r="Y990" s="33"/>
    </row>
    <row r="991" spans="1:30">
      <c r="J991" s="123"/>
      <c r="M991" s="123"/>
      <c r="P991" s="123"/>
      <c r="S991" s="123"/>
      <c r="V991" s="123"/>
      <c r="Y991" s="33"/>
    </row>
    <row r="992" spans="1:30">
      <c r="Y992" s="33"/>
    </row>
    <row r="993" spans="25:25">
      <c r="Y993" s="33"/>
    </row>
  </sheetData>
  <mergeCells count="5">
    <mergeCell ref="D1:AA1"/>
    <mergeCell ref="D3:AA3"/>
    <mergeCell ref="D4:AA4"/>
    <mergeCell ref="D5:E5"/>
    <mergeCell ref="D2:AA2"/>
  </mergeCells>
  <phoneticPr fontId="9" type="noConversion"/>
  <pageMargins left="0.7" right="0.7" top="0.75" bottom="0.75" header="0.3" footer="0.3"/>
  <pageSetup scale="10" orientation="landscape" r:id="rId1"/>
  <headerFooter alignWithMargins="0"/>
  <rowBreaks count="1" manualBreakCount="1">
    <brk id="149" min="3" max="1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A57D-164A-44C1-8A1D-D9250A66550A}">
  <sheetPr>
    <pageSetUpPr fitToPage="1"/>
  </sheetPr>
  <dimension ref="A1:AC125"/>
  <sheetViews>
    <sheetView showOutlineSymbols="0" showWhiteSpace="0" zoomScale="71" zoomScaleNormal="85" workbookViewId="0">
      <pane xSplit="2" ySplit="10" topLeftCell="J32" activePane="bottomRight" state="frozen"/>
      <selection pane="topRight"/>
      <selection pane="bottomLeft"/>
      <selection pane="bottomRight" activeCell="W116" sqref="W12:W116"/>
    </sheetView>
  </sheetViews>
  <sheetFormatPr defaultColWidth="9.44140625" defaultRowHeight="14.4" outlineLevelRow="1" outlineLevelCol="1"/>
  <cols>
    <col min="1" max="1" width="58.44140625" style="368" customWidth="1"/>
    <col min="2" max="2" width="12.83203125" style="368" customWidth="1"/>
    <col min="3" max="3" width="16.1640625" style="372" bestFit="1" customWidth="1" outlineLevel="1"/>
    <col min="4" max="4" width="15.1640625" style="370" customWidth="1" outlineLevel="1"/>
    <col min="5" max="5" width="9.44140625" style="371" customWidth="1" outlineLevel="1"/>
    <col min="6" max="6" width="15.1640625" style="372" customWidth="1"/>
    <col min="7" max="7" width="15.1640625" style="372" customWidth="1" outlineLevel="1"/>
    <col min="8" max="8" width="15.1640625" style="370" customWidth="1" outlineLevel="1"/>
    <col min="9" max="9" width="15.1640625" style="373" customWidth="1" outlineLevel="1"/>
    <col min="10" max="10" width="15.1640625" style="372" customWidth="1"/>
    <col min="11" max="11" width="15.71875" style="372" customWidth="1" outlineLevel="1"/>
    <col min="12" max="12" width="15.1640625" style="370" customWidth="1" outlineLevel="1"/>
    <col min="13" max="13" width="15.1640625" style="371" customWidth="1" outlineLevel="1"/>
    <col min="14" max="14" width="15.1640625" style="372" customWidth="1"/>
    <col min="15" max="15" width="15.71875" style="372" customWidth="1" outlineLevel="1"/>
    <col min="16" max="16" width="15.1640625" style="370" customWidth="1" outlineLevel="1"/>
    <col min="17" max="17" width="15.1640625" style="371" customWidth="1" outlineLevel="1"/>
    <col min="18" max="18" width="16.1640625" style="372" customWidth="1"/>
    <col min="19" max="19" width="15.71875" style="372" customWidth="1" outlineLevel="1"/>
    <col min="20" max="20" width="15.1640625" style="370" customWidth="1" outlineLevel="1"/>
    <col min="21" max="21" width="15.1640625" style="371" customWidth="1" outlineLevel="1"/>
    <col min="22" max="22" width="16.1640625" style="372" customWidth="1"/>
    <col min="23" max="23" width="17.44140625" style="372" customWidth="1"/>
    <col min="24" max="24" width="12.27734375" style="368" hidden="1" customWidth="1"/>
    <col min="25" max="25" width="11.1640625" style="368" hidden="1" customWidth="1"/>
    <col min="26" max="26" width="12.27734375" style="368" hidden="1" customWidth="1"/>
    <col min="27" max="27" width="10.44140625" style="368" bestFit="1" customWidth="1"/>
    <col min="28" max="253" width="9.44140625" style="368"/>
    <col min="254" max="254" width="38.1640625" style="368" customWidth="1"/>
    <col min="255" max="255" width="23.44140625" style="368" bestFit="1" customWidth="1"/>
    <col min="256" max="257" width="9.1640625" style="368" customWidth="1"/>
    <col min="258" max="258" width="11.44140625" style="368" bestFit="1" customWidth="1"/>
    <col min="259" max="259" width="14.5546875" style="368" bestFit="1" customWidth="1"/>
    <col min="260" max="260" width="8.27734375" style="368" customWidth="1"/>
    <col min="261" max="261" width="10.71875" style="368" bestFit="1" customWidth="1"/>
    <col min="262" max="262" width="12.1640625" style="368" bestFit="1" customWidth="1"/>
    <col min="263" max="263" width="9.1640625" style="368" customWidth="1"/>
    <col min="264" max="264" width="10.71875" style="368" bestFit="1" customWidth="1"/>
    <col min="265" max="265" width="12.1640625" style="368" bestFit="1" customWidth="1"/>
    <col min="266" max="266" width="7.83203125" style="368" customWidth="1"/>
    <col min="267" max="267" width="10.71875" style="368" bestFit="1" customWidth="1"/>
    <col min="268" max="268" width="12.1640625" style="368" bestFit="1" customWidth="1"/>
    <col min="269" max="269" width="8.27734375" style="368" bestFit="1" customWidth="1"/>
    <col min="270" max="270" width="10.71875" style="368" bestFit="1" customWidth="1"/>
    <col min="271" max="271" width="12.1640625" style="368" bestFit="1" customWidth="1"/>
    <col min="272" max="272" width="17.83203125" style="368" bestFit="1" customWidth="1"/>
    <col min="273" max="273" width="10.71875" style="368" bestFit="1" customWidth="1"/>
    <col min="274" max="509" width="9.44140625" style="368"/>
    <col min="510" max="510" width="38.1640625" style="368" customWidth="1"/>
    <col min="511" max="511" width="23.44140625" style="368" bestFit="1" customWidth="1"/>
    <col min="512" max="513" width="9.1640625" style="368" customWidth="1"/>
    <col min="514" max="514" width="11.44140625" style="368" bestFit="1" customWidth="1"/>
    <col min="515" max="515" width="14.5546875" style="368" bestFit="1" customWidth="1"/>
    <col min="516" max="516" width="8.27734375" style="368" customWidth="1"/>
    <col min="517" max="517" width="10.71875" style="368" bestFit="1" customWidth="1"/>
    <col min="518" max="518" width="12.1640625" style="368" bestFit="1" customWidth="1"/>
    <col min="519" max="519" width="9.1640625" style="368" customWidth="1"/>
    <col min="520" max="520" width="10.71875" style="368" bestFit="1" customWidth="1"/>
    <col min="521" max="521" width="12.1640625" style="368" bestFit="1" customWidth="1"/>
    <col min="522" max="522" width="7.83203125" style="368" customWidth="1"/>
    <col min="523" max="523" width="10.71875" style="368" bestFit="1" customWidth="1"/>
    <col min="524" max="524" width="12.1640625" style="368" bestFit="1" customWidth="1"/>
    <col min="525" max="525" width="8.27734375" style="368" bestFit="1" customWidth="1"/>
    <col min="526" max="526" width="10.71875" style="368" bestFit="1" customWidth="1"/>
    <col min="527" max="527" width="12.1640625" style="368" bestFit="1" customWidth="1"/>
    <col min="528" max="528" width="17.83203125" style="368" bestFit="1" customWidth="1"/>
    <col min="529" max="529" width="10.71875" style="368" bestFit="1" customWidth="1"/>
    <col min="530" max="765" width="9.44140625" style="368"/>
    <col min="766" max="766" width="38.1640625" style="368" customWidth="1"/>
    <col min="767" max="767" width="23.44140625" style="368" bestFit="1" customWidth="1"/>
    <col min="768" max="769" width="9.1640625" style="368" customWidth="1"/>
    <col min="770" max="770" width="11.44140625" style="368" bestFit="1" customWidth="1"/>
    <col min="771" max="771" width="14.5546875" style="368" bestFit="1" customWidth="1"/>
    <col min="772" max="772" width="8.27734375" style="368" customWidth="1"/>
    <col min="773" max="773" width="10.71875" style="368" bestFit="1" customWidth="1"/>
    <col min="774" max="774" width="12.1640625" style="368" bestFit="1" customWidth="1"/>
    <col min="775" max="775" width="9.1640625" style="368" customWidth="1"/>
    <col min="776" max="776" width="10.71875" style="368" bestFit="1" customWidth="1"/>
    <col min="777" max="777" width="12.1640625" style="368" bestFit="1" customWidth="1"/>
    <col min="778" max="778" width="7.83203125" style="368" customWidth="1"/>
    <col min="779" max="779" width="10.71875" style="368" bestFit="1" customWidth="1"/>
    <col min="780" max="780" width="12.1640625" style="368" bestFit="1" customWidth="1"/>
    <col min="781" max="781" width="8.27734375" style="368" bestFit="1" customWidth="1"/>
    <col min="782" max="782" width="10.71875" style="368" bestFit="1" customWidth="1"/>
    <col min="783" max="783" width="12.1640625" style="368" bestFit="1" customWidth="1"/>
    <col min="784" max="784" width="17.83203125" style="368" bestFit="1" customWidth="1"/>
    <col min="785" max="785" width="10.71875" style="368" bestFit="1" customWidth="1"/>
    <col min="786" max="1021" width="9.44140625" style="368"/>
    <col min="1022" max="1022" width="38.1640625" style="368" customWidth="1"/>
    <col min="1023" max="1023" width="23.44140625" style="368" bestFit="1" customWidth="1"/>
    <col min="1024" max="1025" width="9.1640625" style="368" customWidth="1"/>
    <col min="1026" max="1026" width="11.44140625" style="368" bestFit="1" customWidth="1"/>
    <col min="1027" max="1027" width="14.5546875" style="368" bestFit="1" customWidth="1"/>
    <col min="1028" max="1028" width="8.27734375" style="368" customWidth="1"/>
    <col min="1029" max="1029" width="10.71875" style="368" bestFit="1" customWidth="1"/>
    <col min="1030" max="1030" width="12.1640625" style="368" bestFit="1" customWidth="1"/>
    <col min="1031" max="1031" width="9.1640625" style="368" customWidth="1"/>
    <col min="1032" max="1032" width="10.71875" style="368" bestFit="1" customWidth="1"/>
    <col min="1033" max="1033" width="12.1640625" style="368" bestFit="1" customWidth="1"/>
    <col min="1034" max="1034" width="7.83203125" style="368" customWidth="1"/>
    <col min="1035" max="1035" width="10.71875" style="368" bestFit="1" customWidth="1"/>
    <col min="1036" max="1036" width="12.1640625" style="368" bestFit="1" customWidth="1"/>
    <col min="1037" max="1037" width="8.27734375" style="368" bestFit="1" customWidth="1"/>
    <col min="1038" max="1038" width="10.71875" style="368" bestFit="1" customWidth="1"/>
    <col min="1039" max="1039" width="12.1640625" style="368" bestFit="1" customWidth="1"/>
    <col min="1040" max="1040" width="17.83203125" style="368" bestFit="1" customWidth="1"/>
    <col min="1041" max="1041" width="10.71875" style="368" bestFit="1" customWidth="1"/>
    <col min="1042" max="1277" width="9.44140625" style="368"/>
    <col min="1278" max="1278" width="38.1640625" style="368" customWidth="1"/>
    <col min="1279" max="1279" width="23.44140625" style="368" bestFit="1" customWidth="1"/>
    <col min="1280" max="1281" width="9.1640625" style="368" customWidth="1"/>
    <col min="1282" max="1282" width="11.44140625" style="368" bestFit="1" customWidth="1"/>
    <col min="1283" max="1283" width="14.5546875" style="368" bestFit="1" customWidth="1"/>
    <col min="1284" max="1284" width="8.27734375" style="368" customWidth="1"/>
    <col min="1285" max="1285" width="10.71875" style="368" bestFit="1" customWidth="1"/>
    <col min="1286" max="1286" width="12.1640625" style="368" bestFit="1" customWidth="1"/>
    <col min="1287" max="1287" width="9.1640625" style="368" customWidth="1"/>
    <col min="1288" max="1288" width="10.71875" style="368" bestFit="1" customWidth="1"/>
    <col min="1289" max="1289" width="12.1640625" style="368" bestFit="1" customWidth="1"/>
    <col min="1290" max="1290" width="7.83203125" style="368" customWidth="1"/>
    <col min="1291" max="1291" width="10.71875" style="368" bestFit="1" customWidth="1"/>
    <col min="1292" max="1292" width="12.1640625" style="368" bestFit="1" customWidth="1"/>
    <col min="1293" max="1293" width="8.27734375" style="368" bestFit="1" customWidth="1"/>
    <col min="1294" max="1294" width="10.71875" style="368" bestFit="1" customWidth="1"/>
    <col min="1295" max="1295" width="12.1640625" style="368" bestFit="1" customWidth="1"/>
    <col min="1296" max="1296" width="17.83203125" style="368" bestFit="1" customWidth="1"/>
    <col min="1297" max="1297" width="10.71875" style="368" bestFit="1" customWidth="1"/>
    <col min="1298" max="1533" width="9.44140625" style="368"/>
    <col min="1534" max="1534" width="38.1640625" style="368" customWidth="1"/>
    <col min="1535" max="1535" width="23.44140625" style="368" bestFit="1" customWidth="1"/>
    <col min="1536" max="1537" width="9.1640625" style="368" customWidth="1"/>
    <col min="1538" max="1538" width="11.44140625" style="368" bestFit="1" customWidth="1"/>
    <col min="1539" max="1539" width="14.5546875" style="368" bestFit="1" customWidth="1"/>
    <col min="1540" max="1540" width="8.27734375" style="368" customWidth="1"/>
    <col min="1541" max="1541" width="10.71875" style="368" bestFit="1" customWidth="1"/>
    <col min="1542" max="1542" width="12.1640625" style="368" bestFit="1" customWidth="1"/>
    <col min="1543" max="1543" width="9.1640625" style="368" customWidth="1"/>
    <col min="1544" max="1544" width="10.71875" style="368" bestFit="1" customWidth="1"/>
    <col min="1545" max="1545" width="12.1640625" style="368" bestFit="1" customWidth="1"/>
    <col min="1546" max="1546" width="7.83203125" style="368" customWidth="1"/>
    <col min="1547" max="1547" width="10.71875" style="368" bestFit="1" customWidth="1"/>
    <col min="1548" max="1548" width="12.1640625" style="368" bestFit="1" customWidth="1"/>
    <col min="1549" max="1549" width="8.27734375" style="368" bestFit="1" customWidth="1"/>
    <col min="1550" max="1550" width="10.71875" style="368" bestFit="1" customWidth="1"/>
    <col min="1551" max="1551" width="12.1640625" style="368" bestFit="1" customWidth="1"/>
    <col min="1552" max="1552" width="17.83203125" style="368" bestFit="1" customWidth="1"/>
    <col min="1553" max="1553" width="10.71875" style="368" bestFit="1" customWidth="1"/>
    <col min="1554" max="1789" width="9.44140625" style="368"/>
    <col min="1790" max="1790" width="38.1640625" style="368" customWidth="1"/>
    <col min="1791" max="1791" width="23.44140625" style="368" bestFit="1" customWidth="1"/>
    <col min="1792" max="1793" width="9.1640625" style="368" customWidth="1"/>
    <col min="1794" max="1794" width="11.44140625" style="368" bestFit="1" customWidth="1"/>
    <col min="1795" max="1795" width="14.5546875" style="368" bestFit="1" customWidth="1"/>
    <col min="1796" max="1796" width="8.27734375" style="368" customWidth="1"/>
    <col min="1797" max="1797" width="10.71875" style="368" bestFit="1" customWidth="1"/>
    <col min="1798" max="1798" width="12.1640625" style="368" bestFit="1" customWidth="1"/>
    <col min="1799" max="1799" width="9.1640625" style="368" customWidth="1"/>
    <col min="1800" max="1800" width="10.71875" style="368" bestFit="1" customWidth="1"/>
    <col min="1801" max="1801" width="12.1640625" style="368" bestFit="1" customWidth="1"/>
    <col min="1802" max="1802" width="7.83203125" style="368" customWidth="1"/>
    <col min="1803" max="1803" width="10.71875" style="368" bestFit="1" customWidth="1"/>
    <col min="1804" max="1804" width="12.1640625" style="368" bestFit="1" customWidth="1"/>
    <col min="1805" max="1805" width="8.27734375" style="368" bestFit="1" customWidth="1"/>
    <col min="1806" max="1806" width="10.71875" style="368" bestFit="1" customWidth="1"/>
    <col min="1807" max="1807" width="12.1640625" style="368" bestFit="1" customWidth="1"/>
    <col min="1808" max="1808" width="17.83203125" style="368" bestFit="1" customWidth="1"/>
    <col min="1809" max="1809" width="10.71875" style="368" bestFit="1" customWidth="1"/>
    <col min="1810" max="2045" width="9.44140625" style="368"/>
    <col min="2046" max="2046" width="38.1640625" style="368" customWidth="1"/>
    <col min="2047" max="2047" width="23.44140625" style="368" bestFit="1" customWidth="1"/>
    <col min="2048" max="2049" width="9.1640625" style="368" customWidth="1"/>
    <col min="2050" max="2050" width="11.44140625" style="368" bestFit="1" customWidth="1"/>
    <col min="2051" max="2051" width="14.5546875" style="368" bestFit="1" customWidth="1"/>
    <col min="2052" max="2052" width="8.27734375" style="368" customWidth="1"/>
    <col min="2053" max="2053" width="10.71875" style="368" bestFit="1" customWidth="1"/>
    <col min="2054" max="2054" width="12.1640625" style="368" bestFit="1" customWidth="1"/>
    <col min="2055" max="2055" width="9.1640625" style="368" customWidth="1"/>
    <col min="2056" max="2056" width="10.71875" style="368" bestFit="1" customWidth="1"/>
    <col min="2057" max="2057" width="12.1640625" style="368" bestFit="1" customWidth="1"/>
    <col min="2058" max="2058" width="7.83203125" style="368" customWidth="1"/>
    <col min="2059" max="2059" width="10.71875" style="368" bestFit="1" customWidth="1"/>
    <col min="2060" max="2060" width="12.1640625" style="368" bestFit="1" customWidth="1"/>
    <col min="2061" max="2061" width="8.27734375" style="368" bestFit="1" customWidth="1"/>
    <col min="2062" max="2062" width="10.71875" style="368" bestFit="1" customWidth="1"/>
    <col min="2063" max="2063" width="12.1640625" style="368" bestFit="1" customWidth="1"/>
    <col min="2064" max="2064" width="17.83203125" style="368" bestFit="1" customWidth="1"/>
    <col min="2065" max="2065" width="10.71875" style="368" bestFit="1" customWidth="1"/>
    <col min="2066" max="2301" width="9.44140625" style="368"/>
    <col min="2302" max="2302" width="38.1640625" style="368" customWidth="1"/>
    <col min="2303" max="2303" width="23.44140625" style="368" bestFit="1" customWidth="1"/>
    <col min="2304" max="2305" width="9.1640625" style="368" customWidth="1"/>
    <col min="2306" max="2306" width="11.44140625" style="368" bestFit="1" customWidth="1"/>
    <col min="2307" max="2307" width="14.5546875" style="368" bestFit="1" customWidth="1"/>
    <col min="2308" max="2308" width="8.27734375" style="368" customWidth="1"/>
    <col min="2309" max="2309" width="10.71875" style="368" bestFit="1" customWidth="1"/>
    <col min="2310" max="2310" width="12.1640625" style="368" bestFit="1" customWidth="1"/>
    <col min="2311" max="2311" width="9.1640625" style="368" customWidth="1"/>
    <col min="2312" max="2312" width="10.71875" style="368" bestFit="1" customWidth="1"/>
    <col min="2313" max="2313" width="12.1640625" style="368" bestFit="1" customWidth="1"/>
    <col min="2314" max="2314" width="7.83203125" style="368" customWidth="1"/>
    <col min="2315" max="2315" width="10.71875" style="368" bestFit="1" customWidth="1"/>
    <col min="2316" max="2316" width="12.1640625" style="368" bestFit="1" customWidth="1"/>
    <col min="2317" max="2317" width="8.27734375" style="368" bestFit="1" customWidth="1"/>
    <col min="2318" max="2318" width="10.71875" style="368" bestFit="1" customWidth="1"/>
    <col min="2319" max="2319" width="12.1640625" style="368" bestFit="1" customWidth="1"/>
    <col min="2320" max="2320" width="17.83203125" style="368" bestFit="1" customWidth="1"/>
    <col min="2321" max="2321" width="10.71875" style="368" bestFit="1" customWidth="1"/>
    <col min="2322" max="2557" width="9.44140625" style="368"/>
    <col min="2558" max="2558" width="38.1640625" style="368" customWidth="1"/>
    <col min="2559" max="2559" width="23.44140625" style="368" bestFit="1" customWidth="1"/>
    <col min="2560" max="2561" width="9.1640625" style="368" customWidth="1"/>
    <col min="2562" max="2562" width="11.44140625" style="368" bestFit="1" customWidth="1"/>
    <col min="2563" max="2563" width="14.5546875" style="368" bestFit="1" customWidth="1"/>
    <col min="2564" max="2564" width="8.27734375" style="368" customWidth="1"/>
    <col min="2565" max="2565" width="10.71875" style="368" bestFit="1" customWidth="1"/>
    <col min="2566" max="2566" width="12.1640625" style="368" bestFit="1" customWidth="1"/>
    <col min="2567" max="2567" width="9.1640625" style="368" customWidth="1"/>
    <col min="2568" max="2568" width="10.71875" style="368" bestFit="1" customWidth="1"/>
    <col min="2569" max="2569" width="12.1640625" style="368" bestFit="1" customWidth="1"/>
    <col min="2570" max="2570" width="7.83203125" style="368" customWidth="1"/>
    <col min="2571" max="2571" width="10.71875" style="368" bestFit="1" customWidth="1"/>
    <col min="2572" max="2572" width="12.1640625" style="368" bestFit="1" customWidth="1"/>
    <col min="2573" max="2573" width="8.27734375" style="368" bestFit="1" customWidth="1"/>
    <col min="2574" max="2574" width="10.71875" style="368" bestFit="1" customWidth="1"/>
    <col min="2575" max="2575" width="12.1640625" style="368" bestFit="1" customWidth="1"/>
    <col min="2576" max="2576" width="17.83203125" style="368" bestFit="1" customWidth="1"/>
    <col min="2577" max="2577" width="10.71875" style="368" bestFit="1" customWidth="1"/>
    <col min="2578" max="2813" width="9.44140625" style="368"/>
    <col min="2814" max="2814" width="38.1640625" style="368" customWidth="1"/>
    <col min="2815" max="2815" width="23.44140625" style="368" bestFit="1" customWidth="1"/>
    <col min="2816" max="2817" width="9.1640625" style="368" customWidth="1"/>
    <col min="2818" max="2818" width="11.44140625" style="368" bestFit="1" customWidth="1"/>
    <col min="2819" max="2819" width="14.5546875" style="368" bestFit="1" customWidth="1"/>
    <col min="2820" max="2820" width="8.27734375" style="368" customWidth="1"/>
    <col min="2821" max="2821" width="10.71875" style="368" bestFit="1" customWidth="1"/>
    <col min="2822" max="2822" width="12.1640625" style="368" bestFit="1" customWidth="1"/>
    <col min="2823" max="2823" width="9.1640625" style="368" customWidth="1"/>
    <col min="2824" max="2824" width="10.71875" style="368" bestFit="1" customWidth="1"/>
    <col min="2825" max="2825" width="12.1640625" style="368" bestFit="1" customWidth="1"/>
    <col min="2826" max="2826" width="7.83203125" style="368" customWidth="1"/>
    <col min="2827" max="2827" width="10.71875" style="368" bestFit="1" customWidth="1"/>
    <col min="2828" max="2828" width="12.1640625" style="368" bestFit="1" customWidth="1"/>
    <col min="2829" max="2829" width="8.27734375" style="368" bestFit="1" customWidth="1"/>
    <col min="2830" max="2830" width="10.71875" style="368" bestFit="1" customWidth="1"/>
    <col min="2831" max="2831" width="12.1640625" style="368" bestFit="1" customWidth="1"/>
    <col min="2832" max="2832" width="17.83203125" style="368" bestFit="1" customWidth="1"/>
    <col min="2833" max="2833" width="10.71875" style="368" bestFit="1" customWidth="1"/>
    <col min="2834" max="3069" width="9.44140625" style="368"/>
    <col min="3070" max="3070" width="38.1640625" style="368" customWidth="1"/>
    <col min="3071" max="3071" width="23.44140625" style="368" bestFit="1" customWidth="1"/>
    <col min="3072" max="3073" width="9.1640625" style="368" customWidth="1"/>
    <col min="3074" max="3074" width="11.44140625" style="368" bestFit="1" customWidth="1"/>
    <col min="3075" max="3075" width="14.5546875" style="368" bestFit="1" customWidth="1"/>
    <col min="3076" max="3076" width="8.27734375" style="368" customWidth="1"/>
    <col min="3077" max="3077" width="10.71875" style="368" bestFit="1" customWidth="1"/>
    <col min="3078" max="3078" width="12.1640625" style="368" bestFit="1" customWidth="1"/>
    <col min="3079" max="3079" width="9.1640625" style="368" customWidth="1"/>
    <col min="3080" max="3080" width="10.71875" style="368" bestFit="1" customWidth="1"/>
    <col min="3081" max="3081" width="12.1640625" style="368" bestFit="1" customWidth="1"/>
    <col min="3082" max="3082" width="7.83203125" style="368" customWidth="1"/>
    <col min="3083" max="3083" width="10.71875" style="368" bestFit="1" customWidth="1"/>
    <col min="3084" max="3084" width="12.1640625" style="368" bestFit="1" customWidth="1"/>
    <col min="3085" max="3085" width="8.27734375" style="368" bestFit="1" customWidth="1"/>
    <col min="3086" max="3086" width="10.71875" style="368" bestFit="1" customWidth="1"/>
    <col min="3087" max="3087" width="12.1640625" style="368" bestFit="1" customWidth="1"/>
    <col min="3088" max="3088" width="17.83203125" style="368" bestFit="1" customWidth="1"/>
    <col min="3089" max="3089" width="10.71875" style="368" bestFit="1" customWidth="1"/>
    <col min="3090" max="3325" width="9.44140625" style="368"/>
    <col min="3326" max="3326" width="38.1640625" style="368" customWidth="1"/>
    <col min="3327" max="3327" width="23.44140625" style="368" bestFit="1" customWidth="1"/>
    <col min="3328" max="3329" width="9.1640625" style="368" customWidth="1"/>
    <col min="3330" max="3330" width="11.44140625" style="368" bestFit="1" customWidth="1"/>
    <col min="3331" max="3331" width="14.5546875" style="368" bestFit="1" customWidth="1"/>
    <col min="3332" max="3332" width="8.27734375" style="368" customWidth="1"/>
    <col min="3333" max="3333" width="10.71875" style="368" bestFit="1" customWidth="1"/>
    <col min="3334" max="3334" width="12.1640625" style="368" bestFit="1" customWidth="1"/>
    <col min="3335" max="3335" width="9.1640625" style="368" customWidth="1"/>
    <col min="3336" max="3336" width="10.71875" style="368" bestFit="1" customWidth="1"/>
    <col min="3337" max="3337" width="12.1640625" style="368" bestFit="1" customWidth="1"/>
    <col min="3338" max="3338" width="7.83203125" style="368" customWidth="1"/>
    <col min="3339" max="3339" width="10.71875" style="368" bestFit="1" customWidth="1"/>
    <col min="3340" max="3340" width="12.1640625" style="368" bestFit="1" customWidth="1"/>
    <col min="3341" max="3341" width="8.27734375" style="368" bestFit="1" customWidth="1"/>
    <col min="3342" max="3342" width="10.71875" style="368" bestFit="1" customWidth="1"/>
    <col min="3343" max="3343" width="12.1640625" style="368" bestFit="1" customWidth="1"/>
    <col min="3344" max="3344" width="17.83203125" style="368" bestFit="1" customWidth="1"/>
    <col min="3345" max="3345" width="10.71875" style="368" bestFit="1" customWidth="1"/>
    <col min="3346" max="3581" width="9.44140625" style="368"/>
    <col min="3582" max="3582" width="38.1640625" style="368" customWidth="1"/>
    <col min="3583" max="3583" width="23.44140625" style="368" bestFit="1" customWidth="1"/>
    <col min="3584" max="3585" width="9.1640625" style="368" customWidth="1"/>
    <col min="3586" max="3586" width="11.44140625" style="368" bestFit="1" customWidth="1"/>
    <col min="3587" max="3587" width="14.5546875" style="368" bestFit="1" customWidth="1"/>
    <col min="3588" max="3588" width="8.27734375" style="368" customWidth="1"/>
    <col min="3589" max="3589" width="10.71875" style="368" bestFit="1" customWidth="1"/>
    <col min="3590" max="3590" width="12.1640625" style="368" bestFit="1" customWidth="1"/>
    <col min="3591" max="3591" width="9.1640625" style="368" customWidth="1"/>
    <col min="3592" max="3592" width="10.71875" style="368" bestFit="1" customWidth="1"/>
    <col min="3593" max="3593" width="12.1640625" style="368" bestFit="1" customWidth="1"/>
    <col min="3594" max="3594" width="7.83203125" style="368" customWidth="1"/>
    <col min="3595" max="3595" width="10.71875" style="368" bestFit="1" customWidth="1"/>
    <col min="3596" max="3596" width="12.1640625" style="368" bestFit="1" customWidth="1"/>
    <col min="3597" max="3597" width="8.27734375" style="368" bestFit="1" customWidth="1"/>
    <col min="3598" max="3598" width="10.71875" style="368" bestFit="1" customWidth="1"/>
    <col min="3599" max="3599" width="12.1640625" style="368" bestFit="1" customWidth="1"/>
    <col min="3600" max="3600" width="17.83203125" style="368" bestFit="1" customWidth="1"/>
    <col min="3601" max="3601" width="10.71875" style="368" bestFit="1" customWidth="1"/>
    <col min="3602" max="3837" width="9.44140625" style="368"/>
    <col min="3838" max="3838" width="38.1640625" style="368" customWidth="1"/>
    <col min="3839" max="3839" width="23.44140625" style="368" bestFit="1" customWidth="1"/>
    <col min="3840" max="3841" width="9.1640625" style="368" customWidth="1"/>
    <col min="3842" max="3842" width="11.44140625" style="368" bestFit="1" customWidth="1"/>
    <col min="3843" max="3843" width="14.5546875" style="368" bestFit="1" customWidth="1"/>
    <col min="3844" max="3844" width="8.27734375" style="368" customWidth="1"/>
    <col min="3845" max="3845" width="10.71875" style="368" bestFit="1" customWidth="1"/>
    <col min="3846" max="3846" width="12.1640625" style="368" bestFit="1" customWidth="1"/>
    <col min="3847" max="3847" width="9.1640625" style="368" customWidth="1"/>
    <col min="3848" max="3848" width="10.71875" style="368" bestFit="1" customWidth="1"/>
    <col min="3849" max="3849" width="12.1640625" style="368" bestFit="1" customWidth="1"/>
    <col min="3850" max="3850" width="7.83203125" style="368" customWidth="1"/>
    <col min="3851" max="3851" width="10.71875" style="368" bestFit="1" customWidth="1"/>
    <col min="3852" max="3852" width="12.1640625" style="368" bestFit="1" customWidth="1"/>
    <col min="3853" max="3853" width="8.27734375" style="368" bestFit="1" customWidth="1"/>
    <col min="3854" max="3854" width="10.71875" style="368" bestFit="1" customWidth="1"/>
    <col min="3855" max="3855" width="12.1640625" style="368" bestFit="1" customWidth="1"/>
    <col min="3856" max="3856" width="17.83203125" style="368" bestFit="1" customWidth="1"/>
    <col min="3857" max="3857" width="10.71875" style="368" bestFit="1" customWidth="1"/>
    <col min="3858" max="4093" width="9.44140625" style="368"/>
    <col min="4094" max="4094" width="38.1640625" style="368" customWidth="1"/>
    <col min="4095" max="4095" width="23.44140625" style="368" bestFit="1" customWidth="1"/>
    <col min="4096" max="4097" width="9.1640625" style="368" customWidth="1"/>
    <col min="4098" max="4098" width="11.44140625" style="368" bestFit="1" customWidth="1"/>
    <col min="4099" max="4099" width="14.5546875" style="368" bestFit="1" customWidth="1"/>
    <col min="4100" max="4100" width="8.27734375" style="368" customWidth="1"/>
    <col min="4101" max="4101" width="10.71875" style="368" bestFit="1" customWidth="1"/>
    <col min="4102" max="4102" width="12.1640625" style="368" bestFit="1" customWidth="1"/>
    <col min="4103" max="4103" width="9.1640625" style="368" customWidth="1"/>
    <col min="4104" max="4104" width="10.71875" style="368" bestFit="1" customWidth="1"/>
    <col min="4105" max="4105" width="12.1640625" style="368" bestFit="1" customWidth="1"/>
    <col min="4106" max="4106" width="7.83203125" style="368" customWidth="1"/>
    <col min="4107" max="4107" width="10.71875" style="368" bestFit="1" customWidth="1"/>
    <col min="4108" max="4108" width="12.1640625" style="368" bestFit="1" customWidth="1"/>
    <col min="4109" max="4109" width="8.27734375" style="368" bestFit="1" customWidth="1"/>
    <col min="4110" max="4110" width="10.71875" style="368" bestFit="1" customWidth="1"/>
    <col min="4111" max="4111" width="12.1640625" style="368" bestFit="1" customWidth="1"/>
    <col min="4112" max="4112" width="17.83203125" style="368" bestFit="1" customWidth="1"/>
    <col min="4113" max="4113" width="10.71875" style="368" bestFit="1" customWidth="1"/>
    <col min="4114" max="4349" width="9.44140625" style="368"/>
    <col min="4350" max="4350" width="38.1640625" style="368" customWidth="1"/>
    <col min="4351" max="4351" width="23.44140625" style="368" bestFit="1" customWidth="1"/>
    <col min="4352" max="4353" width="9.1640625" style="368" customWidth="1"/>
    <col min="4354" max="4354" width="11.44140625" style="368" bestFit="1" customWidth="1"/>
    <col min="4355" max="4355" width="14.5546875" style="368" bestFit="1" customWidth="1"/>
    <col min="4356" max="4356" width="8.27734375" style="368" customWidth="1"/>
    <col min="4357" max="4357" width="10.71875" style="368" bestFit="1" customWidth="1"/>
    <col min="4358" max="4358" width="12.1640625" style="368" bestFit="1" customWidth="1"/>
    <col min="4359" max="4359" width="9.1640625" style="368" customWidth="1"/>
    <col min="4360" max="4360" width="10.71875" style="368" bestFit="1" customWidth="1"/>
    <col min="4361" max="4361" width="12.1640625" style="368" bestFit="1" customWidth="1"/>
    <col min="4362" max="4362" width="7.83203125" style="368" customWidth="1"/>
    <col min="4363" max="4363" width="10.71875" style="368" bestFit="1" customWidth="1"/>
    <col min="4364" max="4364" width="12.1640625" style="368" bestFit="1" customWidth="1"/>
    <col min="4365" max="4365" width="8.27734375" style="368" bestFit="1" customWidth="1"/>
    <col min="4366" max="4366" width="10.71875" style="368" bestFit="1" customWidth="1"/>
    <col min="4367" max="4367" width="12.1640625" style="368" bestFit="1" customWidth="1"/>
    <col min="4368" max="4368" width="17.83203125" style="368" bestFit="1" customWidth="1"/>
    <col min="4369" max="4369" width="10.71875" style="368" bestFit="1" customWidth="1"/>
    <col min="4370" max="4605" width="9.44140625" style="368"/>
    <col min="4606" max="4606" width="38.1640625" style="368" customWidth="1"/>
    <col min="4607" max="4607" width="23.44140625" style="368" bestFit="1" customWidth="1"/>
    <col min="4608" max="4609" width="9.1640625" style="368" customWidth="1"/>
    <col min="4610" max="4610" width="11.44140625" style="368" bestFit="1" customWidth="1"/>
    <col min="4611" max="4611" width="14.5546875" style="368" bestFit="1" customWidth="1"/>
    <col min="4612" max="4612" width="8.27734375" style="368" customWidth="1"/>
    <col min="4613" max="4613" width="10.71875" style="368" bestFit="1" customWidth="1"/>
    <col min="4614" max="4614" width="12.1640625" style="368" bestFit="1" customWidth="1"/>
    <col min="4615" max="4615" width="9.1640625" style="368" customWidth="1"/>
    <col min="4616" max="4616" width="10.71875" style="368" bestFit="1" customWidth="1"/>
    <col min="4617" max="4617" width="12.1640625" style="368" bestFit="1" customWidth="1"/>
    <col min="4618" max="4618" width="7.83203125" style="368" customWidth="1"/>
    <col min="4619" max="4619" width="10.71875" style="368" bestFit="1" customWidth="1"/>
    <col min="4620" max="4620" width="12.1640625" style="368" bestFit="1" customWidth="1"/>
    <col min="4621" max="4621" width="8.27734375" style="368" bestFit="1" customWidth="1"/>
    <col min="4622" max="4622" width="10.71875" style="368" bestFit="1" customWidth="1"/>
    <col min="4623" max="4623" width="12.1640625" style="368" bestFit="1" customWidth="1"/>
    <col min="4624" max="4624" width="17.83203125" style="368" bestFit="1" customWidth="1"/>
    <col min="4625" max="4625" width="10.71875" style="368" bestFit="1" customWidth="1"/>
    <col min="4626" max="4861" width="9.44140625" style="368"/>
    <col min="4862" max="4862" width="38.1640625" style="368" customWidth="1"/>
    <col min="4863" max="4863" width="23.44140625" style="368" bestFit="1" customWidth="1"/>
    <col min="4864" max="4865" width="9.1640625" style="368" customWidth="1"/>
    <col min="4866" max="4866" width="11.44140625" style="368" bestFit="1" customWidth="1"/>
    <col min="4867" max="4867" width="14.5546875" style="368" bestFit="1" customWidth="1"/>
    <col min="4868" max="4868" width="8.27734375" style="368" customWidth="1"/>
    <col min="4869" max="4869" width="10.71875" style="368" bestFit="1" customWidth="1"/>
    <col min="4870" max="4870" width="12.1640625" style="368" bestFit="1" customWidth="1"/>
    <col min="4871" max="4871" width="9.1640625" style="368" customWidth="1"/>
    <col min="4872" max="4872" width="10.71875" style="368" bestFit="1" customWidth="1"/>
    <col min="4873" max="4873" width="12.1640625" style="368" bestFit="1" customWidth="1"/>
    <col min="4874" max="4874" width="7.83203125" style="368" customWidth="1"/>
    <col min="4875" max="4875" width="10.71875" style="368" bestFit="1" customWidth="1"/>
    <col min="4876" max="4876" width="12.1640625" style="368" bestFit="1" customWidth="1"/>
    <col min="4877" max="4877" width="8.27734375" style="368" bestFit="1" customWidth="1"/>
    <col min="4878" max="4878" width="10.71875" style="368" bestFit="1" customWidth="1"/>
    <col min="4879" max="4879" width="12.1640625" style="368" bestFit="1" customWidth="1"/>
    <col min="4880" max="4880" width="17.83203125" style="368" bestFit="1" customWidth="1"/>
    <col min="4881" max="4881" width="10.71875" style="368" bestFit="1" customWidth="1"/>
    <col min="4882" max="5117" width="9.44140625" style="368"/>
    <col min="5118" max="5118" width="38.1640625" style="368" customWidth="1"/>
    <col min="5119" max="5119" width="23.44140625" style="368" bestFit="1" customWidth="1"/>
    <col min="5120" max="5121" width="9.1640625" style="368" customWidth="1"/>
    <col min="5122" max="5122" width="11.44140625" style="368" bestFit="1" customWidth="1"/>
    <col min="5123" max="5123" width="14.5546875" style="368" bestFit="1" customWidth="1"/>
    <col min="5124" max="5124" width="8.27734375" style="368" customWidth="1"/>
    <col min="5125" max="5125" width="10.71875" style="368" bestFit="1" customWidth="1"/>
    <col min="5126" max="5126" width="12.1640625" style="368" bestFit="1" customWidth="1"/>
    <col min="5127" max="5127" width="9.1640625" style="368" customWidth="1"/>
    <col min="5128" max="5128" width="10.71875" style="368" bestFit="1" customWidth="1"/>
    <col min="5129" max="5129" width="12.1640625" style="368" bestFit="1" customWidth="1"/>
    <col min="5130" max="5130" width="7.83203125" style="368" customWidth="1"/>
    <col min="5131" max="5131" width="10.71875" style="368" bestFit="1" customWidth="1"/>
    <col min="5132" max="5132" width="12.1640625" style="368" bestFit="1" customWidth="1"/>
    <col min="5133" max="5133" width="8.27734375" style="368" bestFit="1" customWidth="1"/>
    <col min="5134" max="5134" width="10.71875" style="368" bestFit="1" customWidth="1"/>
    <col min="5135" max="5135" width="12.1640625" style="368" bestFit="1" customWidth="1"/>
    <col min="5136" max="5136" width="17.83203125" style="368" bestFit="1" customWidth="1"/>
    <col min="5137" max="5137" width="10.71875" style="368" bestFit="1" customWidth="1"/>
    <col min="5138" max="5373" width="9.44140625" style="368"/>
    <col min="5374" max="5374" width="38.1640625" style="368" customWidth="1"/>
    <col min="5375" max="5375" width="23.44140625" style="368" bestFit="1" customWidth="1"/>
    <col min="5376" max="5377" width="9.1640625" style="368" customWidth="1"/>
    <col min="5378" max="5378" width="11.44140625" style="368" bestFit="1" customWidth="1"/>
    <col min="5379" max="5379" width="14.5546875" style="368" bestFit="1" customWidth="1"/>
    <col min="5380" max="5380" width="8.27734375" style="368" customWidth="1"/>
    <col min="5381" max="5381" width="10.71875" style="368" bestFit="1" customWidth="1"/>
    <col min="5382" max="5382" width="12.1640625" style="368" bestFit="1" customWidth="1"/>
    <col min="5383" max="5383" width="9.1640625" style="368" customWidth="1"/>
    <col min="5384" max="5384" width="10.71875" style="368" bestFit="1" customWidth="1"/>
    <col min="5385" max="5385" width="12.1640625" style="368" bestFit="1" customWidth="1"/>
    <col min="5386" max="5386" width="7.83203125" style="368" customWidth="1"/>
    <col min="5387" max="5387" width="10.71875" style="368" bestFit="1" customWidth="1"/>
    <col min="5388" max="5388" width="12.1640625" style="368" bestFit="1" customWidth="1"/>
    <col min="5389" max="5389" width="8.27734375" style="368" bestFit="1" customWidth="1"/>
    <col min="5390" max="5390" width="10.71875" style="368" bestFit="1" customWidth="1"/>
    <col min="5391" max="5391" width="12.1640625" style="368" bestFit="1" customWidth="1"/>
    <col min="5392" max="5392" width="17.83203125" style="368" bestFit="1" customWidth="1"/>
    <col min="5393" max="5393" width="10.71875" style="368" bestFit="1" customWidth="1"/>
    <col min="5394" max="5629" width="9.44140625" style="368"/>
    <col min="5630" max="5630" width="38.1640625" style="368" customWidth="1"/>
    <col min="5631" max="5631" width="23.44140625" style="368" bestFit="1" customWidth="1"/>
    <col min="5632" max="5633" width="9.1640625" style="368" customWidth="1"/>
    <col min="5634" max="5634" width="11.44140625" style="368" bestFit="1" customWidth="1"/>
    <col min="5635" max="5635" width="14.5546875" style="368" bestFit="1" customWidth="1"/>
    <col min="5636" max="5636" width="8.27734375" style="368" customWidth="1"/>
    <col min="5637" max="5637" width="10.71875" style="368" bestFit="1" customWidth="1"/>
    <col min="5638" max="5638" width="12.1640625" style="368" bestFit="1" customWidth="1"/>
    <col min="5639" max="5639" width="9.1640625" style="368" customWidth="1"/>
    <col min="5640" max="5640" width="10.71875" style="368" bestFit="1" customWidth="1"/>
    <col min="5641" max="5641" width="12.1640625" style="368" bestFit="1" customWidth="1"/>
    <col min="5642" max="5642" width="7.83203125" style="368" customWidth="1"/>
    <col min="5643" max="5643" width="10.71875" style="368" bestFit="1" customWidth="1"/>
    <col min="5644" max="5644" width="12.1640625" style="368" bestFit="1" customWidth="1"/>
    <col min="5645" max="5645" width="8.27734375" style="368" bestFit="1" customWidth="1"/>
    <col min="5646" max="5646" width="10.71875" style="368" bestFit="1" customWidth="1"/>
    <col min="5647" max="5647" width="12.1640625" style="368" bestFit="1" customWidth="1"/>
    <col min="5648" max="5648" width="17.83203125" style="368" bestFit="1" customWidth="1"/>
    <col min="5649" max="5649" width="10.71875" style="368" bestFit="1" customWidth="1"/>
    <col min="5650" max="5885" width="9.44140625" style="368"/>
    <col min="5886" max="5886" width="38.1640625" style="368" customWidth="1"/>
    <col min="5887" max="5887" width="23.44140625" style="368" bestFit="1" customWidth="1"/>
    <col min="5888" max="5889" width="9.1640625" style="368" customWidth="1"/>
    <col min="5890" max="5890" width="11.44140625" style="368" bestFit="1" customWidth="1"/>
    <col min="5891" max="5891" width="14.5546875" style="368" bestFit="1" customWidth="1"/>
    <col min="5892" max="5892" width="8.27734375" style="368" customWidth="1"/>
    <col min="5893" max="5893" width="10.71875" style="368" bestFit="1" customWidth="1"/>
    <col min="5894" max="5894" width="12.1640625" style="368" bestFit="1" customWidth="1"/>
    <col min="5895" max="5895" width="9.1640625" style="368" customWidth="1"/>
    <col min="5896" max="5896" width="10.71875" style="368" bestFit="1" customWidth="1"/>
    <col min="5897" max="5897" width="12.1640625" style="368" bestFit="1" customWidth="1"/>
    <col min="5898" max="5898" width="7.83203125" style="368" customWidth="1"/>
    <col min="5899" max="5899" width="10.71875" style="368" bestFit="1" customWidth="1"/>
    <col min="5900" max="5900" width="12.1640625" style="368" bestFit="1" customWidth="1"/>
    <col min="5901" max="5901" width="8.27734375" style="368" bestFit="1" customWidth="1"/>
    <col min="5902" max="5902" width="10.71875" style="368" bestFit="1" customWidth="1"/>
    <col min="5903" max="5903" width="12.1640625" style="368" bestFit="1" customWidth="1"/>
    <col min="5904" max="5904" width="17.83203125" style="368" bestFit="1" customWidth="1"/>
    <col min="5905" max="5905" width="10.71875" style="368" bestFit="1" customWidth="1"/>
    <col min="5906" max="6141" width="9.44140625" style="368"/>
    <col min="6142" max="6142" width="38.1640625" style="368" customWidth="1"/>
    <col min="6143" max="6143" width="23.44140625" style="368" bestFit="1" customWidth="1"/>
    <col min="6144" max="6145" width="9.1640625" style="368" customWidth="1"/>
    <col min="6146" max="6146" width="11.44140625" style="368" bestFit="1" customWidth="1"/>
    <col min="6147" max="6147" width="14.5546875" style="368" bestFit="1" customWidth="1"/>
    <col min="6148" max="6148" width="8.27734375" style="368" customWidth="1"/>
    <col min="6149" max="6149" width="10.71875" style="368" bestFit="1" customWidth="1"/>
    <col min="6150" max="6150" width="12.1640625" style="368" bestFit="1" customWidth="1"/>
    <col min="6151" max="6151" width="9.1640625" style="368" customWidth="1"/>
    <col min="6152" max="6152" width="10.71875" style="368" bestFit="1" customWidth="1"/>
    <col min="6153" max="6153" width="12.1640625" style="368" bestFit="1" customWidth="1"/>
    <col min="6154" max="6154" width="7.83203125" style="368" customWidth="1"/>
    <col min="6155" max="6155" width="10.71875" style="368" bestFit="1" customWidth="1"/>
    <col min="6156" max="6156" width="12.1640625" style="368" bestFit="1" customWidth="1"/>
    <col min="6157" max="6157" width="8.27734375" style="368" bestFit="1" customWidth="1"/>
    <col min="6158" max="6158" width="10.71875" style="368" bestFit="1" customWidth="1"/>
    <col min="6159" max="6159" width="12.1640625" style="368" bestFit="1" customWidth="1"/>
    <col min="6160" max="6160" width="17.83203125" style="368" bestFit="1" customWidth="1"/>
    <col min="6161" max="6161" width="10.71875" style="368" bestFit="1" customWidth="1"/>
    <col min="6162" max="6397" width="9.44140625" style="368"/>
    <col min="6398" max="6398" width="38.1640625" style="368" customWidth="1"/>
    <col min="6399" max="6399" width="23.44140625" style="368" bestFit="1" customWidth="1"/>
    <col min="6400" max="6401" width="9.1640625" style="368" customWidth="1"/>
    <col min="6402" max="6402" width="11.44140625" style="368" bestFit="1" customWidth="1"/>
    <col min="6403" max="6403" width="14.5546875" style="368" bestFit="1" customWidth="1"/>
    <col min="6404" max="6404" width="8.27734375" style="368" customWidth="1"/>
    <col min="6405" max="6405" width="10.71875" style="368" bestFit="1" customWidth="1"/>
    <col min="6406" max="6406" width="12.1640625" style="368" bestFit="1" customWidth="1"/>
    <col min="6407" max="6407" width="9.1640625" style="368" customWidth="1"/>
    <col min="6408" max="6408" width="10.71875" style="368" bestFit="1" customWidth="1"/>
    <col min="6409" max="6409" width="12.1640625" style="368" bestFit="1" customWidth="1"/>
    <col min="6410" max="6410" width="7.83203125" style="368" customWidth="1"/>
    <col min="6411" max="6411" width="10.71875" style="368" bestFit="1" customWidth="1"/>
    <col min="6412" max="6412" width="12.1640625" style="368" bestFit="1" customWidth="1"/>
    <col min="6413" max="6413" width="8.27734375" style="368" bestFit="1" customWidth="1"/>
    <col min="6414" max="6414" width="10.71875" style="368" bestFit="1" customWidth="1"/>
    <col min="6415" max="6415" width="12.1640625" style="368" bestFit="1" customWidth="1"/>
    <col min="6416" max="6416" width="17.83203125" style="368" bestFit="1" customWidth="1"/>
    <col min="6417" max="6417" width="10.71875" style="368" bestFit="1" customWidth="1"/>
    <col min="6418" max="6653" width="9.44140625" style="368"/>
    <col min="6654" max="6654" width="38.1640625" style="368" customWidth="1"/>
    <col min="6655" max="6655" width="23.44140625" style="368" bestFit="1" customWidth="1"/>
    <col min="6656" max="6657" width="9.1640625" style="368" customWidth="1"/>
    <col min="6658" max="6658" width="11.44140625" style="368" bestFit="1" customWidth="1"/>
    <col min="6659" max="6659" width="14.5546875" style="368" bestFit="1" customWidth="1"/>
    <col min="6660" max="6660" width="8.27734375" style="368" customWidth="1"/>
    <col min="6661" max="6661" width="10.71875" style="368" bestFit="1" customWidth="1"/>
    <col min="6662" max="6662" width="12.1640625" style="368" bestFit="1" customWidth="1"/>
    <col min="6663" max="6663" width="9.1640625" style="368" customWidth="1"/>
    <col min="6664" max="6664" width="10.71875" style="368" bestFit="1" customWidth="1"/>
    <col min="6665" max="6665" width="12.1640625" style="368" bestFit="1" customWidth="1"/>
    <col min="6666" max="6666" width="7.83203125" style="368" customWidth="1"/>
    <col min="6667" max="6667" width="10.71875" style="368" bestFit="1" customWidth="1"/>
    <col min="6668" max="6668" width="12.1640625" style="368" bestFit="1" customWidth="1"/>
    <col min="6669" max="6669" width="8.27734375" style="368" bestFit="1" customWidth="1"/>
    <col min="6670" max="6670" width="10.71875" style="368" bestFit="1" customWidth="1"/>
    <col min="6671" max="6671" width="12.1640625" style="368" bestFit="1" customWidth="1"/>
    <col min="6672" max="6672" width="17.83203125" style="368" bestFit="1" customWidth="1"/>
    <col min="6673" max="6673" width="10.71875" style="368" bestFit="1" customWidth="1"/>
    <col min="6674" max="6909" width="9.44140625" style="368"/>
    <col min="6910" max="6910" width="38.1640625" style="368" customWidth="1"/>
    <col min="6911" max="6911" width="23.44140625" style="368" bestFit="1" customWidth="1"/>
    <col min="6912" max="6913" width="9.1640625" style="368" customWidth="1"/>
    <col min="6914" max="6914" width="11.44140625" style="368" bestFit="1" customWidth="1"/>
    <col min="6915" max="6915" width="14.5546875" style="368" bestFit="1" customWidth="1"/>
    <col min="6916" max="6916" width="8.27734375" style="368" customWidth="1"/>
    <col min="6917" max="6917" width="10.71875" style="368" bestFit="1" customWidth="1"/>
    <col min="6918" max="6918" width="12.1640625" style="368" bestFit="1" customWidth="1"/>
    <col min="6919" max="6919" width="9.1640625" style="368" customWidth="1"/>
    <col min="6920" max="6920" width="10.71875" style="368" bestFit="1" customWidth="1"/>
    <col min="6921" max="6921" width="12.1640625" style="368" bestFit="1" customWidth="1"/>
    <col min="6922" max="6922" width="7.83203125" style="368" customWidth="1"/>
    <col min="6923" max="6923" width="10.71875" style="368" bestFit="1" customWidth="1"/>
    <col min="6924" max="6924" width="12.1640625" style="368" bestFit="1" customWidth="1"/>
    <col min="6925" max="6925" width="8.27734375" style="368" bestFit="1" customWidth="1"/>
    <col min="6926" max="6926" width="10.71875" style="368" bestFit="1" customWidth="1"/>
    <col min="6927" max="6927" width="12.1640625" style="368" bestFit="1" customWidth="1"/>
    <col min="6928" max="6928" width="17.83203125" style="368" bestFit="1" customWidth="1"/>
    <col min="6929" max="6929" width="10.71875" style="368" bestFit="1" customWidth="1"/>
    <col min="6930" max="7165" width="9.44140625" style="368"/>
    <col min="7166" max="7166" width="38.1640625" style="368" customWidth="1"/>
    <col min="7167" max="7167" width="23.44140625" style="368" bestFit="1" customWidth="1"/>
    <col min="7168" max="7169" width="9.1640625" style="368" customWidth="1"/>
    <col min="7170" max="7170" width="11.44140625" style="368" bestFit="1" customWidth="1"/>
    <col min="7171" max="7171" width="14.5546875" style="368" bestFit="1" customWidth="1"/>
    <col min="7172" max="7172" width="8.27734375" style="368" customWidth="1"/>
    <col min="7173" max="7173" width="10.71875" style="368" bestFit="1" customWidth="1"/>
    <col min="7174" max="7174" width="12.1640625" style="368" bestFit="1" customWidth="1"/>
    <col min="7175" max="7175" width="9.1640625" style="368" customWidth="1"/>
    <col min="7176" max="7176" width="10.71875" style="368" bestFit="1" customWidth="1"/>
    <col min="7177" max="7177" width="12.1640625" style="368" bestFit="1" customWidth="1"/>
    <col min="7178" max="7178" width="7.83203125" style="368" customWidth="1"/>
    <col min="7179" max="7179" width="10.71875" style="368" bestFit="1" customWidth="1"/>
    <col min="7180" max="7180" width="12.1640625" style="368" bestFit="1" customWidth="1"/>
    <col min="7181" max="7181" width="8.27734375" style="368" bestFit="1" customWidth="1"/>
    <col min="7182" max="7182" width="10.71875" style="368" bestFit="1" customWidth="1"/>
    <col min="7183" max="7183" width="12.1640625" style="368" bestFit="1" customWidth="1"/>
    <col min="7184" max="7184" width="17.83203125" style="368" bestFit="1" customWidth="1"/>
    <col min="7185" max="7185" width="10.71875" style="368" bestFit="1" customWidth="1"/>
    <col min="7186" max="7421" width="9.44140625" style="368"/>
    <col min="7422" max="7422" width="38.1640625" style="368" customWidth="1"/>
    <col min="7423" max="7423" width="23.44140625" style="368" bestFit="1" customWidth="1"/>
    <col min="7424" max="7425" width="9.1640625" style="368" customWidth="1"/>
    <col min="7426" max="7426" width="11.44140625" style="368" bestFit="1" customWidth="1"/>
    <col min="7427" max="7427" width="14.5546875" style="368" bestFit="1" customWidth="1"/>
    <col min="7428" max="7428" width="8.27734375" style="368" customWidth="1"/>
    <col min="7429" max="7429" width="10.71875" style="368" bestFit="1" customWidth="1"/>
    <col min="7430" max="7430" width="12.1640625" style="368" bestFit="1" customWidth="1"/>
    <col min="7431" max="7431" width="9.1640625" style="368" customWidth="1"/>
    <col min="7432" max="7432" width="10.71875" style="368" bestFit="1" customWidth="1"/>
    <col min="7433" max="7433" width="12.1640625" style="368" bestFit="1" customWidth="1"/>
    <col min="7434" max="7434" width="7.83203125" style="368" customWidth="1"/>
    <col min="7435" max="7435" width="10.71875" style="368" bestFit="1" customWidth="1"/>
    <col min="7436" max="7436" width="12.1640625" style="368" bestFit="1" customWidth="1"/>
    <col min="7437" max="7437" width="8.27734375" style="368" bestFit="1" customWidth="1"/>
    <col min="7438" max="7438" width="10.71875" style="368" bestFit="1" customWidth="1"/>
    <col min="7439" max="7439" width="12.1640625" style="368" bestFit="1" customWidth="1"/>
    <col min="7440" max="7440" width="17.83203125" style="368" bestFit="1" customWidth="1"/>
    <col min="7441" max="7441" width="10.71875" style="368" bestFit="1" customWidth="1"/>
    <col min="7442" max="7677" width="9.44140625" style="368"/>
    <col min="7678" max="7678" width="38.1640625" style="368" customWidth="1"/>
    <col min="7679" max="7679" width="23.44140625" style="368" bestFit="1" customWidth="1"/>
    <col min="7680" max="7681" width="9.1640625" style="368" customWidth="1"/>
    <col min="7682" max="7682" width="11.44140625" style="368" bestFit="1" customWidth="1"/>
    <col min="7683" max="7683" width="14.5546875" style="368" bestFit="1" customWidth="1"/>
    <col min="7684" max="7684" width="8.27734375" style="368" customWidth="1"/>
    <col min="7685" max="7685" width="10.71875" style="368" bestFit="1" customWidth="1"/>
    <col min="7686" max="7686" width="12.1640625" style="368" bestFit="1" customWidth="1"/>
    <col min="7687" max="7687" width="9.1640625" style="368" customWidth="1"/>
    <col min="7688" max="7688" width="10.71875" style="368" bestFit="1" customWidth="1"/>
    <col min="7689" max="7689" width="12.1640625" style="368" bestFit="1" customWidth="1"/>
    <col min="7690" max="7690" width="7.83203125" style="368" customWidth="1"/>
    <col min="7691" max="7691" width="10.71875" style="368" bestFit="1" customWidth="1"/>
    <col min="7692" max="7692" width="12.1640625" style="368" bestFit="1" customWidth="1"/>
    <col min="7693" max="7693" width="8.27734375" style="368" bestFit="1" customWidth="1"/>
    <col min="7694" max="7694" width="10.71875" style="368" bestFit="1" customWidth="1"/>
    <col min="7695" max="7695" width="12.1640625" style="368" bestFit="1" customWidth="1"/>
    <col min="7696" max="7696" width="17.83203125" style="368" bestFit="1" customWidth="1"/>
    <col min="7697" max="7697" width="10.71875" style="368" bestFit="1" customWidth="1"/>
    <col min="7698" max="7933" width="9.44140625" style="368"/>
    <col min="7934" max="7934" width="38.1640625" style="368" customWidth="1"/>
    <col min="7935" max="7935" width="23.44140625" style="368" bestFit="1" customWidth="1"/>
    <col min="7936" max="7937" width="9.1640625" style="368" customWidth="1"/>
    <col min="7938" max="7938" width="11.44140625" style="368" bestFit="1" customWidth="1"/>
    <col min="7939" max="7939" width="14.5546875" style="368" bestFit="1" customWidth="1"/>
    <col min="7940" max="7940" width="8.27734375" style="368" customWidth="1"/>
    <col min="7941" max="7941" width="10.71875" style="368" bestFit="1" customWidth="1"/>
    <col min="7942" max="7942" width="12.1640625" style="368" bestFit="1" customWidth="1"/>
    <col min="7943" max="7943" width="9.1640625" style="368" customWidth="1"/>
    <col min="7944" max="7944" width="10.71875" style="368" bestFit="1" customWidth="1"/>
    <col min="7945" max="7945" width="12.1640625" style="368" bestFit="1" customWidth="1"/>
    <col min="7946" max="7946" width="7.83203125" style="368" customWidth="1"/>
    <col min="7947" max="7947" width="10.71875" style="368" bestFit="1" customWidth="1"/>
    <col min="7948" max="7948" width="12.1640625" style="368" bestFit="1" customWidth="1"/>
    <col min="7949" max="7949" width="8.27734375" style="368" bestFit="1" customWidth="1"/>
    <col min="7950" max="7950" width="10.71875" style="368" bestFit="1" customWidth="1"/>
    <col min="7951" max="7951" width="12.1640625" style="368" bestFit="1" customWidth="1"/>
    <col min="7952" max="7952" width="17.83203125" style="368" bestFit="1" customWidth="1"/>
    <col min="7953" max="7953" width="10.71875" style="368" bestFit="1" customWidth="1"/>
    <col min="7954" max="8189" width="9.44140625" style="368"/>
    <col min="8190" max="8190" width="38.1640625" style="368" customWidth="1"/>
    <col min="8191" max="8191" width="23.44140625" style="368" bestFit="1" customWidth="1"/>
    <col min="8192" max="8193" width="9.1640625" style="368" customWidth="1"/>
    <col min="8194" max="8194" width="11.44140625" style="368" bestFit="1" customWidth="1"/>
    <col min="8195" max="8195" width="14.5546875" style="368" bestFit="1" customWidth="1"/>
    <col min="8196" max="8196" width="8.27734375" style="368" customWidth="1"/>
    <col min="8197" max="8197" width="10.71875" style="368" bestFit="1" customWidth="1"/>
    <col min="8198" max="8198" width="12.1640625" style="368" bestFit="1" customWidth="1"/>
    <col min="8199" max="8199" width="9.1640625" style="368" customWidth="1"/>
    <col min="8200" max="8200" width="10.71875" style="368" bestFit="1" customWidth="1"/>
    <col min="8201" max="8201" width="12.1640625" style="368" bestFit="1" customWidth="1"/>
    <col min="8202" max="8202" width="7.83203125" style="368" customWidth="1"/>
    <col min="8203" max="8203" width="10.71875" style="368" bestFit="1" customWidth="1"/>
    <col min="8204" max="8204" width="12.1640625" style="368" bestFit="1" customWidth="1"/>
    <col min="8205" max="8205" width="8.27734375" style="368" bestFit="1" customWidth="1"/>
    <col min="8206" max="8206" width="10.71875" style="368" bestFit="1" customWidth="1"/>
    <col min="8207" max="8207" width="12.1640625" style="368" bestFit="1" customWidth="1"/>
    <col min="8208" max="8208" width="17.83203125" style="368" bestFit="1" customWidth="1"/>
    <col min="8209" max="8209" width="10.71875" style="368" bestFit="1" customWidth="1"/>
    <col min="8210" max="8445" width="9.44140625" style="368"/>
    <col min="8446" max="8446" width="38.1640625" style="368" customWidth="1"/>
    <col min="8447" max="8447" width="23.44140625" style="368" bestFit="1" customWidth="1"/>
    <col min="8448" max="8449" width="9.1640625" style="368" customWidth="1"/>
    <col min="8450" max="8450" width="11.44140625" style="368" bestFit="1" customWidth="1"/>
    <col min="8451" max="8451" width="14.5546875" style="368" bestFit="1" customWidth="1"/>
    <col min="8452" max="8452" width="8.27734375" style="368" customWidth="1"/>
    <col min="8453" max="8453" width="10.71875" style="368" bestFit="1" customWidth="1"/>
    <col min="8454" max="8454" width="12.1640625" style="368" bestFit="1" customWidth="1"/>
    <col min="8455" max="8455" width="9.1640625" style="368" customWidth="1"/>
    <col min="8456" max="8456" width="10.71875" style="368" bestFit="1" customWidth="1"/>
    <col min="8457" max="8457" width="12.1640625" style="368" bestFit="1" customWidth="1"/>
    <col min="8458" max="8458" width="7.83203125" style="368" customWidth="1"/>
    <col min="8459" max="8459" width="10.71875" style="368" bestFit="1" customWidth="1"/>
    <col min="8460" max="8460" width="12.1640625" style="368" bestFit="1" customWidth="1"/>
    <col min="8461" max="8461" width="8.27734375" style="368" bestFit="1" customWidth="1"/>
    <col min="8462" max="8462" width="10.71875" style="368" bestFit="1" customWidth="1"/>
    <col min="8463" max="8463" width="12.1640625" style="368" bestFit="1" customWidth="1"/>
    <col min="8464" max="8464" width="17.83203125" style="368" bestFit="1" customWidth="1"/>
    <col min="8465" max="8465" width="10.71875" style="368" bestFit="1" customWidth="1"/>
    <col min="8466" max="8701" width="9.44140625" style="368"/>
    <col min="8702" max="8702" width="38.1640625" style="368" customWidth="1"/>
    <col min="8703" max="8703" width="23.44140625" style="368" bestFit="1" customWidth="1"/>
    <col min="8704" max="8705" width="9.1640625" style="368" customWidth="1"/>
    <col min="8706" max="8706" width="11.44140625" style="368" bestFit="1" customWidth="1"/>
    <col min="8707" max="8707" width="14.5546875" style="368" bestFit="1" customWidth="1"/>
    <col min="8708" max="8708" width="8.27734375" style="368" customWidth="1"/>
    <col min="8709" max="8709" width="10.71875" style="368" bestFit="1" customWidth="1"/>
    <col min="8710" max="8710" width="12.1640625" style="368" bestFit="1" customWidth="1"/>
    <col min="8711" max="8711" width="9.1640625" style="368" customWidth="1"/>
    <col min="8712" max="8712" width="10.71875" style="368" bestFit="1" customWidth="1"/>
    <col min="8713" max="8713" width="12.1640625" style="368" bestFit="1" customWidth="1"/>
    <col min="8714" max="8714" width="7.83203125" style="368" customWidth="1"/>
    <col min="8715" max="8715" width="10.71875" style="368" bestFit="1" customWidth="1"/>
    <col min="8716" max="8716" width="12.1640625" style="368" bestFit="1" customWidth="1"/>
    <col min="8717" max="8717" width="8.27734375" style="368" bestFit="1" customWidth="1"/>
    <col min="8718" max="8718" width="10.71875" style="368" bestFit="1" customWidth="1"/>
    <col min="8719" max="8719" width="12.1640625" style="368" bestFit="1" customWidth="1"/>
    <col min="8720" max="8720" width="17.83203125" style="368" bestFit="1" customWidth="1"/>
    <col min="8721" max="8721" width="10.71875" style="368" bestFit="1" customWidth="1"/>
    <col min="8722" max="8957" width="9.44140625" style="368"/>
    <col min="8958" max="8958" width="38.1640625" style="368" customWidth="1"/>
    <col min="8959" max="8959" width="23.44140625" style="368" bestFit="1" customWidth="1"/>
    <col min="8960" max="8961" width="9.1640625" style="368" customWidth="1"/>
    <col min="8962" max="8962" width="11.44140625" style="368" bestFit="1" customWidth="1"/>
    <col min="8963" max="8963" width="14.5546875" style="368" bestFit="1" customWidth="1"/>
    <col min="8964" max="8964" width="8.27734375" style="368" customWidth="1"/>
    <col min="8965" max="8965" width="10.71875" style="368" bestFit="1" customWidth="1"/>
    <col min="8966" max="8966" width="12.1640625" style="368" bestFit="1" customWidth="1"/>
    <col min="8967" max="8967" width="9.1640625" style="368" customWidth="1"/>
    <col min="8968" max="8968" width="10.71875" style="368" bestFit="1" customWidth="1"/>
    <col min="8969" max="8969" width="12.1640625" style="368" bestFit="1" customWidth="1"/>
    <col min="8970" max="8970" width="7.83203125" style="368" customWidth="1"/>
    <col min="8971" max="8971" width="10.71875" style="368" bestFit="1" customWidth="1"/>
    <col min="8972" max="8972" width="12.1640625" style="368" bestFit="1" customWidth="1"/>
    <col min="8973" max="8973" width="8.27734375" style="368" bestFit="1" customWidth="1"/>
    <col min="8974" max="8974" width="10.71875" style="368" bestFit="1" customWidth="1"/>
    <col min="8975" max="8975" width="12.1640625" style="368" bestFit="1" customWidth="1"/>
    <col min="8976" max="8976" width="17.83203125" style="368" bestFit="1" customWidth="1"/>
    <col min="8977" max="8977" width="10.71875" style="368" bestFit="1" customWidth="1"/>
    <col min="8978" max="9213" width="9.44140625" style="368"/>
    <col min="9214" max="9214" width="38.1640625" style="368" customWidth="1"/>
    <col min="9215" max="9215" width="23.44140625" style="368" bestFit="1" customWidth="1"/>
    <col min="9216" max="9217" width="9.1640625" style="368" customWidth="1"/>
    <col min="9218" max="9218" width="11.44140625" style="368" bestFit="1" customWidth="1"/>
    <col min="9219" max="9219" width="14.5546875" style="368" bestFit="1" customWidth="1"/>
    <col min="9220" max="9220" width="8.27734375" style="368" customWidth="1"/>
    <col min="9221" max="9221" width="10.71875" style="368" bestFit="1" customWidth="1"/>
    <col min="9222" max="9222" width="12.1640625" style="368" bestFit="1" customWidth="1"/>
    <col min="9223" max="9223" width="9.1640625" style="368" customWidth="1"/>
    <col min="9224" max="9224" width="10.71875" style="368" bestFit="1" customWidth="1"/>
    <col min="9225" max="9225" width="12.1640625" style="368" bestFit="1" customWidth="1"/>
    <col min="9226" max="9226" width="7.83203125" style="368" customWidth="1"/>
    <col min="9227" max="9227" width="10.71875" style="368" bestFit="1" customWidth="1"/>
    <col min="9228" max="9228" width="12.1640625" style="368" bestFit="1" customWidth="1"/>
    <col min="9229" max="9229" width="8.27734375" style="368" bestFit="1" customWidth="1"/>
    <col min="9230" max="9230" width="10.71875" style="368" bestFit="1" customWidth="1"/>
    <col min="9231" max="9231" width="12.1640625" style="368" bestFit="1" customWidth="1"/>
    <col min="9232" max="9232" width="17.83203125" style="368" bestFit="1" customWidth="1"/>
    <col min="9233" max="9233" width="10.71875" style="368" bestFit="1" customWidth="1"/>
    <col min="9234" max="9469" width="9.44140625" style="368"/>
    <col min="9470" max="9470" width="38.1640625" style="368" customWidth="1"/>
    <col min="9471" max="9471" width="23.44140625" style="368" bestFit="1" customWidth="1"/>
    <col min="9472" max="9473" width="9.1640625" style="368" customWidth="1"/>
    <col min="9474" max="9474" width="11.44140625" style="368" bestFit="1" customWidth="1"/>
    <col min="9475" max="9475" width="14.5546875" style="368" bestFit="1" customWidth="1"/>
    <col min="9476" max="9476" width="8.27734375" style="368" customWidth="1"/>
    <col min="9477" max="9477" width="10.71875" style="368" bestFit="1" customWidth="1"/>
    <col min="9478" max="9478" width="12.1640625" style="368" bestFit="1" customWidth="1"/>
    <col min="9479" max="9479" width="9.1640625" style="368" customWidth="1"/>
    <col min="9480" max="9480" width="10.71875" style="368" bestFit="1" customWidth="1"/>
    <col min="9481" max="9481" width="12.1640625" style="368" bestFit="1" customWidth="1"/>
    <col min="9482" max="9482" width="7.83203125" style="368" customWidth="1"/>
    <col min="9483" max="9483" width="10.71875" style="368" bestFit="1" customWidth="1"/>
    <col min="9484" max="9484" width="12.1640625" style="368" bestFit="1" customWidth="1"/>
    <col min="9485" max="9485" width="8.27734375" style="368" bestFit="1" customWidth="1"/>
    <col min="9486" max="9486" width="10.71875" style="368" bestFit="1" customWidth="1"/>
    <col min="9487" max="9487" width="12.1640625" style="368" bestFit="1" customWidth="1"/>
    <col min="9488" max="9488" width="17.83203125" style="368" bestFit="1" customWidth="1"/>
    <col min="9489" max="9489" width="10.71875" style="368" bestFit="1" customWidth="1"/>
    <col min="9490" max="9725" width="9.44140625" style="368"/>
    <col min="9726" max="9726" width="38.1640625" style="368" customWidth="1"/>
    <col min="9727" max="9727" width="23.44140625" style="368" bestFit="1" customWidth="1"/>
    <col min="9728" max="9729" width="9.1640625" style="368" customWidth="1"/>
    <col min="9730" max="9730" width="11.44140625" style="368" bestFit="1" customWidth="1"/>
    <col min="9731" max="9731" width="14.5546875" style="368" bestFit="1" customWidth="1"/>
    <col min="9732" max="9732" width="8.27734375" style="368" customWidth="1"/>
    <col min="9733" max="9733" width="10.71875" style="368" bestFit="1" customWidth="1"/>
    <col min="9734" max="9734" width="12.1640625" style="368" bestFit="1" customWidth="1"/>
    <col min="9735" max="9735" width="9.1640625" style="368" customWidth="1"/>
    <col min="9736" max="9736" width="10.71875" style="368" bestFit="1" customWidth="1"/>
    <col min="9737" max="9737" width="12.1640625" style="368" bestFit="1" customWidth="1"/>
    <col min="9738" max="9738" width="7.83203125" style="368" customWidth="1"/>
    <col min="9739" max="9739" width="10.71875" style="368" bestFit="1" customWidth="1"/>
    <col min="9740" max="9740" width="12.1640625" style="368" bestFit="1" customWidth="1"/>
    <col min="9741" max="9741" width="8.27734375" style="368" bestFit="1" customWidth="1"/>
    <col min="9742" max="9742" width="10.71875" style="368" bestFit="1" customWidth="1"/>
    <col min="9743" max="9743" width="12.1640625" style="368" bestFit="1" customWidth="1"/>
    <col min="9744" max="9744" width="17.83203125" style="368" bestFit="1" customWidth="1"/>
    <col min="9745" max="9745" width="10.71875" style="368" bestFit="1" customWidth="1"/>
    <col min="9746" max="9981" width="9.44140625" style="368"/>
    <col min="9982" max="9982" width="38.1640625" style="368" customWidth="1"/>
    <col min="9983" max="9983" width="23.44140625" style="368" bestFit="1" customWidth="1"/>
    <col min="9984" max="9985" width="9.1640625" style="368" customWidth="1"/>
    <col min="9986" max="9986" width="11.44140625" style="368" bestFit="1" customWidth="1"/>
    <col min="9987" max="9987" width="14.5546875" style="368" bestFit="1" customWidth="1"/>
    <col min="9988" max="9988" width="8.27734375" style="368" customWidth="1"/>
    <col min="9989" max="9989" width="10.71875" style="368" bestFit="1" customWidth="1"/>
    <col min="9990" max="9990" width="12.1640625" style="368" bestFit="1" customWidth="1"/>
    <col min="9991" max="9991" width="9.1640625" style="368" customWidth="1"/>
    <col min="9992" max="9992" width="10.71875" style="368" bestFit="1" customWidth="1"/>
    <col min="9993" max="9993" width="12.1640625" style="368" bestFit="1" customWidth="1"/>
    <col min="9994" max="9994" width="7.83203125" style="368" customWidth="1"/>
    <col min="9995" max="9995" width="10.71875" style="368" bestFit="1" customWidth="1"/>
    <col min="9996" max="9996" width="12.1640625" style="368" bestFit="1" customWidth="1"/>
    <col min="9997" max="9997" width="8.27734375" style="368" bestFit="1" customWidth="1"/>
    <col min="9998" max="9998" width="10.71875" style="368" bestFit="1" customWidth="1"/>
    <col min="9999" max="9999" width="12.1640625" style="368" bestFit="1" customWidth="1"/>
    <col min="10000" max="10000" width="17.83203125" style="368" bestFit="1" customWidth="1"/>
    <col min="10001" max="10001" width="10.71875" style="368" bestFit="1" customWidth="1"/>
    <col min="10002" max="10237" width="9.44140625" style="368"/>
    <col min="10238" max="10238" width="38.1640625" style="368" customWidth="1"/>
    <col min="10239" max="10239" width="23.44140625" style="368" bestFit="1" customWidth="1"/>
    <col min="10240" max="10241" width="9.1640625" style="368" customWidth="1"/>
    <col min="10242" max="10242" width="11.44140625" style="368" bestFit="1" customWidth="1"/>
    <col min="10243" max="10243" width="14.5546875" style="368" bestFit="1" customWidth="1"/>
    <col min="10244" max="10244" width="8.27734375" style="368" customWidth="1"/>
    <col min="10245" max="10245" width="10.71875" style="368" bestFit="1" customWidth="1"/>
    <col min="10246" max="10246" width="12.1640625" style="368" bestFit="1" customWidth="1"/>
    <col min="10247" max="10247" width="9.1640625" style="368" customWidth="1"/>
    <col min="10248" max="10248" width="10.71875" style="368" bestFit="1" customWidth="1"/>
    <col min="10249" max="10249" width="12.1640625" style="368" bestFit="1" customWidth="1"/>
    <col min="10250" max="10250" width="7.83203125" style="368" customWidth="1"/>
    <col min="10251" max="10251" width="10.71875" style="368" bestFit="1" customWidth="1"/>
    <col min="10252" max="10252" width="12.1640625" style="368" bestFit="1" customWidth="1"/>
    <col min="10253" max="10253" width="8.27734375" style="368" bestFit="1" customWidth="1"/>
    <col min="10254" max="10254" width="10.71875" style="368" bestFit="1" customWidth="1"/>
    <col min="10255" max="10255" width="12.1640625" style="368" bestFit="1" customWidth="1"/>
    <col min="10256" max="10256" width="17.83203125" style="368" bestFit="1" customWidth="1"/>
    <col min="10257" max="10257" width="10.71875" style="368" bestFit="1" customWidth="1"/>
    <col min="10258" max="10493" width="9.44140625" style="368"/>
    <col min="10494" max="10494" width="38.1640625" style="368" customWidth="1"/>
    <col min="10495" max="10495" width="23.44140625" style="368" bestFit="1" customWidth="1"/>
    <col min="10496" max="10497" width="9.1640625" style="368" customWidth="1"/>
    <col min="10498" max="10498" width="11.44140625" style="368" bestFit="1" customWidth="1"/>
    <col min="10499" max="10499" width="14.5546875" style="368" bestFit="1" customWidth="1"/>
    <col min="10500" max="10500" width="8.27734375" style="368" customWidth="1"/>
    <col min="10501" max="10501" width="10.71875" style="368" bestFit="1" customWidth="1"/>
    <col min="10502" max="10502" width="12.1640625" style="368" bestFit="1" customWidth="1"/>
    <col min="10503" max="10503" width="9.1640625" style="368" customWidth="1"/>
    <col min="10504" max="10504" width="10.71875" style="368" bestFit="1" customWidth="1"/>
    <col min="10505" max="10505" width="12.1640625" style="368" bestFit="1" customWidth="1"/>
    <col min="10506" max="10506" width="7.83203125" style="368" customWidth="1"/>
    <col min="10507" max="10507" width="10.71875" style="368" bestFit="1" customWidth="1"/>
    <col min="10508" max="10508" width="12.1640625" style="368" bestFit="1" customWidth="1"/>
    <col min="10509" max="10509" width="8.27734375" style="368" bestFit="1" customWidth="1"/>
    <col min="10510" max="10510" width="10.71875" style="368" bestFit="1" customWidth="1"/>
    <col min="10511" max="10511" width="12.1640625" style="368" bestFit="1" customWidth="1"/>
    <col min="10512" max="10512" width="17.83203125" style="368" bestFit="1" customWidth="1"/>
    <col min="10513" max="10513" width="10.71875" style="368" bestFit="1" customWidth="1"/>
    <col min="10514" max="10749" width="9.44140625" style="368"/>
    <col min="10750" max="10750" width="38.1640625" style="368" customWidth="1"/>
    <col min="10751" max="10751" width="23.44140625" style="368" bestFit="1" customWidth="1"/>
    <col min="10752" max="10753" width="9.1640625" style="368" customWidth="1"/>
    <col min="10754" max="10754" width="11.44140625" style="368" bestFit="1" customWidth="1"/>
    <col min="10755" max="10755" width="14.5546875" style="368" bestFit="1" customWidth="1"/>
    <col min="10756" max="10756" width="8.27734375" style="368" customWidth="1"/>
    <col min="10757" max="10757" width="10.71875" style="368" bestFit="1" customWidth="1"/>
    <col min="10758" max="10758" width="12.1640625" style="368" bestFit="1" customWidth="1"/>
    <col min="10759" max="10759" width="9.1640625" style="368" customWidth="1"/>
    <col min="10760" max="10760" width="10.71875" style="368" bestFit="1" customWidth="1"/>
    <col min="10761" max="10761" width="12.1640625" style="368" bestFit="1" customWidth="1"/>
    <col min="10762" max="10762" width="7.83203125" style="368" customWidth="1"/>
    <col min="10763" max="10763" width="10.71875" style="368" bestFit="1" customWidth="1"/>
    <col min="10764" max="10764" width="12.1640625" style="368" bestFit="1" customWidth="1"/>
    <col min="10765" max="10765" width="8.27734375" style="368" bestFit="1" customWidth="1"/>
    <col min="10766" max="10766" width="10.71875" style="368" bestFit="1" customWidth="1"/>
    <col min="10767" max="10767" width="12.1640625" style="368" bestFit="1" customWidth="1"/>
    <col min="10768" max="10768" width="17.83203125" style="368" bestFit="1" customWidth="1"/>
    <col min="10769" max="10769" width="10.71875" style="368" bestFit="1" customWidth="1"/>
    <col min="10770" max="11005" width="9.44140625" style="368"/>
    <col min="11006" max="11006" width="38.1640625" style="368" customWidth="1"/>
    <col min="11007" max="11007" width="23.44140625" style="368" bestFit="1" customWidth="1"/>
    <col min="11008" max="11009" width="9.1640625" style="368" customWidth="1"/>
    <col min="11010" max="11010" width="11.44140625" style="368" bestFit="1" customWidth="1"/>
    <col min="11011" max="11011" width="14.5546875" style="368" bestFit="1" customWidth="1"/>
    <col min="11012" max="11012" width="8.27734375" style="368" customWidth="1"/>
    <col min="11013" max="11013" width="10.71875" style="368" bestFit="1" customWidth="1"/>
    <col min="11014" max="11014" width="12.1640625" style="368" bestFit="1" customWidth="1"/>
    <col min="11015" max="11015" width="9.1640625" style="368" customWidth="1"/>
    <col min="11016" max="11016" width="10.71875" style="368" bestFit="1" customWidth="1"/>
    <col min="11017" max="11017" width="12.1640625" style="368" bestFit="1" customWidth="1"/>
    <col min="11018" max="11018" width="7.83203125" style="368" customWidth="1"/>
    <col min="11019" max="11019" width="10.71875" style="368" bestFit="1" customWidth="1"/>
    <col min="11020" max="11020" width="12.1640625" style="368" bestFit="1" customWidth="1"/>
    <col min="11021" max="11021" width="8.27734375" style="368" bestFit="1" customWidth="1"/>
    <col min="11022" max="11022" width="10.71875" style="368" bestFit="1" customWidth="1"/>
    <col min="11023" max="11023" width="12.1640625" style="368" bestFit="1" customWidth="1"/>
    <col min="11024" max="11024" width="17.83203125" style="368" bestFit="1" customWidth="1"/>
    <col min="11025" max="11025" width="10.71875" style="368" bestFit="1" customWidth="1"/>
    <col min="11026" max="11261" width="9.44140625" style="368"/>
    <col min="11262" max="11262" width="38.1640625" style="368" customWidth="1"/>
    <col min="11263" max="11263" width="23.44140625" style="368" bestFit="1" customWidth="1"/>
    <col min="11264" max="11265" width="9.1640625" style="368" customWidth="1"/>
    <col min="11266" max="11266" width="11.44140625" style="368" bestFit="1" customWidth="1"/>
    <col min="11267" max="11267" width="14.5546875" style="368" bestFit="1" customWidth="1"/>
    <col min="11268" max="11268" width="8.27734375" style="368" customWidth="1"/>
    <col min="11269" max="11269" width="10.71875" style="368" bestFit="1" customWidth="1"/>
    <col min="11270" max="11270" width="12.1640625" style="368" bestFit="1" customWidth="1"/>
    <col min="11271" max="11271" width="9.1640625" style="368" customWidth="1"/>
    <col min="11272" max="11272" width="10.71875" style="368" bestFit="1" customWidth="1"/>
    <col min="11273" max="11273" width="12.1640625" style="368" bestFit="1" customWidth="1"/>
    <col min="11274" max="11274" width="7.83203125" style="368" customWidth="1"/>
    <col min="11275" max="11275" width="10.71875" style="368" bestFit="1" customWidth="1"/>
    <col min="11276" max="11276" width="12.1640625" style="368" bestFit="1" customWidth="1"/>
    <col min="11277" max="11277" width="8.27734375" style="368" bestFit="1" customWidth="1"/>
    <col min="11278" max="11278" width="10.71875" style="368" bestFit="1" customWidth="1"/>
    <col min="11279" max="11279" width="12.1640625" style="368" bestFit="1" customWidth="1"/>
    <col min="11280" max="11280" width="17.83203125" style="368" bestFit="1" customWidth="1"/>
    <col min="11281" max="11281" width="10.71875" style="368" bestFit="1" customWidth="1"/>
    <col min="11282" max="11517" width="9.44140625" style="368"/>
    <col min="11518" max="11518" width="38.1640625" style="368" customWidth="1"/>
    <col min="11519" max="11519" width="23.44140625" style="368" bestFit="1" customWidth="1"/>
    <col min="11520" max="11521" width="9.1640625" style="368" customWidth="1"/>
    <col min="11522" max="11522" width="11.44140625" style="368" bestFit="1" customWidth="1"/>
    <col min="11523" max="11523" width="14.5546875" style="368" bestFit="1" customWidth="1"/>
    <col min="11524" max="11524" width="8.27734375" style="368" customWidth="1"/>
    <col min="11525" max="11525" width="10.71875" style="368" bestFit="1" customWidth="1"/>
    <col min="11526" max="11526" width="12.1640625" style="368" bestFit="1" customWidth="1"/>
    <col min="11527" max="11527" width="9.1640625" style="368" customWidth="1"/>
    <col min="11528" max="11528" width="10.71875" style="368" bestFit="1" customWidth="1"/>
    <col min="11529" max="11529" width="12.1640625" style="368" bestFit="1" customWidth="1"/>
    <col min="11530" max="11530" width="7.83203125" style="368" customWidth="1"/>
    <col min="11531" max="11531" width="10.71875" style="368" bestFit="1" customWidth="1"/>
    <col min="11532" max="11532" width="12.1640625" style="368" bestFit="1" customWidth="1"/>
    <col min="11533" max="11533" width="8.27734375" style="368" bestFit="1" customWidth="1"/>
    <col min="11534" max="11534" width="10.71875" style="368" bestFit="1" customWidth="1"/>
    <col min="11535" max="11535" width="12.1640625" style="368" bestFit="1" customWidth="1"/>
    <col min="11536" max="11536" width="17.83203125" style="368" bestFit="1" customWidth="1"/>
    <col min="11537" max="11537" width="10.71875" style="368" bestFit="1" customWidth="1"/>
    <col min="11538" max="11773" width="9.44140625" style="368"/>
    <col min="11774" max="11774" width="38.1640625" style="368" customWidth="1"/>
    <col min="11775" max="11775" width="23.44140625" style="368" bestFit="1" customWidth="1"/>
    <col min="11776" max="11777" width="9.1640625" style="368" customWidth="1"/>
    <col min="11778" max="11778" width="11.44140625" style="368" bestFit="1" customWidth="1"/>
    <col min="11779" max="11779" width="14.5546875" style="368" bestFit="1" customWidth="1"/>
    <col min="11780" max="11780" width="8.27734375" style="368" customWidth="1"/>
    <col min="11781" max="11781" width="10.71875" style="368" bestFit="1" customWidth="1"/>
    <col min="11782" max="11782" width="12.1640625" style="368" bestFit="1" customWidth="1"/>
    <col min="11783" max="11783" width="9.1640625" style="368" customWidth="1"/>
    <col min="11784" max="11784" width="10.71875" style="368" bestFit="1" customWidth="1"/>
    <col min="11785" max="11785" width="12.1640625" style="368" bestFit="1" customWidth="1"/>
    <col min="11786" max="11786" width="7.83203125" style="368" customWidth="1"/>
    <col min="11787" max="11787" width="10.71875" style="368" bestFit="1" customWidth="1"/>
    <col min="11788" max="11788" width="12.1640625" style="368" bestFit="1" customWidth="1"/>
    <col min="11789" max="11789" width="8.27734375" style="368" bestFit="1" customWidth="1"/>
    <col min="11790" max="11790" width="10.71875" style="368" bestFit="1" customWidth="1"/>
    <col min="11791" max="11791" width="12.1640625" style="368" bestFit="1" customWidth="1"/>
    <col min="11792" max="11792" width="17.83203125" style="368" bestFit="1" customWidth="1"/>
    <col min="11793" max="11793" width="10.71875" style="368" bestFit="1" customWidth="1"/>
    <col min="11794" max="12029" width="9.44140625" style="368"/>
    <col min="12030" max="12030" width="38.1640625" style="368" customWidth="1"/>
    <col min="12031" max="12031" width="23.44140625" style="368" bestFit="1" customWidth="1"/>
    <col min="12032" max="12033" width="9.1640625" style="368" customWidth="1"/>
    <col min="12034" max="12034" width="11.44140625" style="368" bestFit="1" customWidth="1"/>
    <col min="12035" max="12035" width="14.5546875" style="368" bestFit="1" customWidth="1"/>
    <col min="12036" max="12036" width="8.27734375" style="368" customWidth="1"/>
    <col min="12037" max="12037" width="10.71875" style="368" bestFit="1" customWidth="1"/>
    <col min="12038" max="12038" width="12.1640625" style="368" bestFit="1" customWidth="1"/>
    <col min="12039" max="12039" width="9.1640625" style="368" customWidth="1"/>
    <col min="12040" max="12040" width="10.71875" style="368" bestFit="1" customWidth="1"/>
    <col min="12041" max="12041" width="12.1640625" style="368" bestFit="1" customWidth="1"/>
    <col min="12042" max="12042" width="7.83203125" style="368" customWidth="1"/>
    <col min="12043" max="12043" width="10.71875" style="368" bestFit="1" customWidth="1"/>
    <col min="12044" max="12044" width="12.1640625" style="368" bestFit="1" customWidth="1"/>
    <col min="12045" max="12045" width="8.27734375" style="368" bestFit="1" customWidth="1"/>
    <col min="12046" max="12046" width="10.71875" style="368" bestFit="1" customWidth="1"/>
    <col min="12047" max="12047" width="12.1640625" style="368" bestFit="1" customWidth="1"/>
    <col min="12048" max="12048" width="17.83203125" style="368" bestFit="1" customWidth="1"/>
    <col min="12049" max="12049" width="10.71875" style="368" bestFit="1" customWidth="1"/>
    <col min="12050" max="12285" width="9.44140625" style="368"/>
    <col min="12286" max="12286" width="38.1640625" style="368" customWidth="1"/>
    <col min="12287" max="12287" width="23.44140625" style="368" bestFit="1" customWidth="1"/>
    <col min="12288" max="12289" width="9.1640625" style="368" customWidth="1"/>
    <col min="12290" max="12290" width="11.44140625" style="368" bestFit="1" customWidth="1"/>
    <col min="12291" max="12291" width="14.5546875" style="368" bestFit="1" customWidth="1"/>
    <col min="12292" max="12292" width="8.27734375" style="368" customWidth="1"/>
    <col min="12293" max="12293" width="10.71875" style="368" bestFit="1" customWidth="1"/>
    <col min="12294" max="12294" width="12.1640625" style="368" bestFit="1" customWidth="1"/>
    <col min="12295" max="12295" width="9.1640625" style="368" customWidth="1"/>
    <col min="12296" max="12296" width="10.71875" style="368" bestFit="1" customWidth="1"/>
    <col min="12297" max="12297" width="12.1640625" style="368" bestFit="1" customWidth="1"/>
    <col min="12298" max="12298" width="7.83203125" style="368" customWidth="1"/>
    <col min="12299" max="12299" width="10.71875" style="368" bestFit="1" customWidth="1"/>
    <col min="12300" max="12300" width="12.1640625" style="368" bestFit="1" customWidth="1"/>
    <col min="12301" max="12301" width="8.27734375" style="368" bestFit="1" customWidth="1"/>
    <col min="12302" max="12302" width="10.71875" style="368" bestFit="1" customWidth="1"/>
    <col min="12303" max="12303" width="12.1640625" style="368" bestFit="1" customWidth="1"/>
    <col min="12304" max="12304" width="17.83203125" style="368" bestFit="1" customWidth="1"/>
    <col min="12305" max="12305" width="10.71875" style="368" bestFit="1" customWidth="1"/>
    <col min="12306" max="12541" width="9.44140625" style="368"/>
    <col min="12542" max="12542" width="38.1640625" style="368" customWidth="1"/>
    <col min="12543" max="12543" width="23.44140625" style="368" bestFit="1" customWidth="1"/>
    <col min="12544" max="12545" width="9.1640625" style="368" customWidth="1"/>
    <col min="12546" max="12546" width="11.44140625" style="368" bestFit="1" customWidth="1"/>
    <col min="12547" max="12547" width="14.5546875" style="368" bestFit="1" customWidth="1"/>
    <col min="12548" max="12548" width="8.27734375" style="368" customWidth="1"/>
    <col min="12549" max="12549" width="10.71875" style="368" bestFit="1" customWidth="1"/>
    <col min="12550" max="12550" width="12.1640625" style="368" bestFit="1" customWidth="1"/>
    <col min="12551" max="12551" width="9.1640625" style="368" customWidth="1"/>
    <col min="12552" max="12552" width="10.71875" style="368" bestFit="1" customWidth="1"/>
    <col min="12553" max="12553" width="12.1640625" style="368" bestFit="1" customWidth="1"/>
    <col min="12554" max="12554" width="7.83203125" style="368" customWidth="1"/>
    <col min="12555" max="12555" width="10.71875" style="368" bestFit="1" customWidth="1"/>
    <col min="12556" max="12556" width="12.1640625" style="368" bestFit="1" customWidth="1"/>
    <col min="12557" max="12557" width="8.27734375" style="368" bestFit="1" customWidth="1"/>
    <col min="12558" max="12558" width="10.71875" style="368" bestFit="1" customWidth="1"/>
    <col min="12559" max="12559" width="12.1640625" style="368" bestFit="1" customWidth="1"/>
    <col min="12560" max="12560" width="17.83203125" style="368" bestFit="1" customWidth="1"/>
    <col min="12561" max="12561" width="10.71875" style="368" bestFit="1" customWidth="1"/>
    <col min="12562" max="12797" width="9.44140625" style="368"/>
    <col min="12798" max="12798" width="38.1640625" style="368" customWidth="1"/>
    <col min="12799" max="12799" width="23.44140625" style="368" bestFit="1" customWidth="1"/>
    <col min="12800" max="12801" width="9.1640625" style="368" customWidth="1"/>
    <col min="12802" max="12802" width="11.44140625" style="368" bestFit="1" customWidth="1"/>
    <col min="12803" max="12803" width="14.5546875" style="368" bestFit="1" customWidth="1"/>
    <col min="12804" max="12804" width="8.27734375" style="368" customWidth="1"/>
    <col min="12805" max="12805" width="10.71875" style="368" bestFit="1" customWidth="1"/>
    <col min="12806" max="12806" width="12.1640625" style="368" bestFit="1" customWidth="1"/>
    <col min="12807" max="12807" width="9.1640625" style="368" customWidth="1"/>
    <col min="12808" max="12808" width="10.71875" style="368" bestFit="1" customWidth="1"/>
    <col min="12809" max="12809" width="12.1640625" style="368" bestFit="1" customWidth="1"/>
    <col min="12810" max="12810" width="7.83203125" style="368" customWidth="1"/>
    <col min="12811" max="12811" width="10.71875" style="368" bestFit="1" customWidth="1"/>
    <col min="12812" max="12812" width="12.1640625" style="368" bestFit="1" customWidth="1"/>
    <col min="12813" max="12813" width="8.27734375" style="368" bestFit="1" customWidth="1"/>
    <col min="12814" max="12814" width="10.71875" style="368" bestFit="1" customWidth="1"/>
    <col min="12815" max="12815" width="12.1640625" style="368" bestFit="1" customWidth="1"/>
    <col min="12816" max="12816" width="17.83203125" style="368" bestFit="1" customWidth="1"/>
    <col min="12817" max="12817" width="10.71875" style="368" bestFit="1" customWidth="1"/>
    <col min="12818" max="13053" width="9.44140625" style="368"/>
    <col min="13054" max="13054" width="38.1640625" style="368" customWidth="1"/>
    <col min="13055" max="13055" width="23.44140625" style="368" bestFit="1" customWidth="1"/>
    <col min="13056" max="13057" width="9.1640625" style="368" customWidth="1"/>
    <col min="13058" max="13058" width="11.44140625" style="368" bestFit="1" customWidth="1"/>
    <col min="13059" max="13059" width="14.5546875" style="368" bestFit="1" customWidth="1"/>
    <col min="13060" max="13060" width="8.27734375" style="368" customWidth="1"/>
    <col min="13061" max="13061" width="10.71875" style="368" bestFit="1" customWidth="1"/>
    <col min="13062" max="13062" width="12.1640625" style="368" bestFit="1" customWidth="1"/>
    <col min="13063" max="13063" width="9.1640625" style="368" customWidth="1"/>
    <col min="13064" max="13064" width="10.71875" style="368" bestFit="1" customWidth="1"/>
    <col min="13065" max="13065" width="12.1640625" style="368" bestFit="1" customWidth="1"/>
    <col min="13066" max="13066" width="7.83203125" style="368" customWidth="1"/>
    <col min="13067" max="13067" width="10.71875" style="368" bestFit="1" customWidth="1"/>
    <col min="13068" max="13068" width="12.1640625" style="368" bestFit="1" customWidth="1"/>
    <col min="13069" max="13069" width="8.27734375" style="368" bestFit="1" customWidth="1"/>
    <col min="13070" max="13070" width="10.71875" style="368" bestFit="1" customWidth="1"/>
    <col min="13071" max="13071" width="12.1640625" style="368" bestFit="1" customWidth="1"/>
    <col min="13072" max="13072" width="17.83203125" style="368" bestFit="1" customWidth="1"/>
    <col min="13073" max="13073" width="10.71875" style="368" bestFit="1" customWidth="1"/>
    <col min="13074" max="13309" width="9.44140625" style="368"/>
    <col min="13310" max="13310" width="38.1640625" style="368" customWidth="1"/>
    <col min="13311" max="13311" width="23.44140625" style="368" bestFit="1" customWidth="1"/>
    <col min="13312" max="13313" width="9.1640625" style="368" customWidth="1"/>
    <col min="13314" max="13314" width="11.44140625" style="368" bestFit="1" customWidth="1"/>
    <col min="13315" max="13315" width="14.5546875" style="368" bestFit="1" customWidth="1"/>
    <col min="13316" max="13316" width="8.27734375" style="368" customWidth="1"/>
    <col min="13317" max="13317" width="10.71875" style="368" bestFit="1" customWidth="1"/>
    <col min="13318" max="13318" width="12.1640625" style="368" bestFit="1" customWidth="1"/>
    <col min="13319" max="13319" width="9.1640625" style="368" customWidth="1"/>
    <col min="13320" max="13320" width="10.71875" style="368" bestFit="1" customWidth="1"/>
    <col min="13321" max="13321" width="12.1640625" style="368" bestFit="1" customWidth="1"/>
    <col min="13322" max="13322" width="7.83203125" style="368" customWidth="1"/>
    <col min="13323" max="13323" width="10.71875" style="368" bestFit="1" customWidth="1"/>
    <col min="13324" max="13324" width="12.1640625" style="368" bestFit="1" customWidth="1"/>
    <col min="13325" max="13325" width="8.27734375" style="368" bestFit="1" customWidth="1"/>
    <col min="13326" max="13326" width="10.71875" style="368" bestFit="1" customWidth="1"/>
    <col min="13327" max="13327" width="12.1640625" style="368" bestFit="1" customWidth="1"/>
    <col min="13328" max="13328" width="17.83203125" style="368" bestFit="1" customWidth="1"/>
    <col min="13329" max="13329" width="10.71875" style="368" bestFit="1" customWidth="1"/>
    <col min="13330" max="13565" width="9.44140625" style="368"/>
    <col min="13566" max="13566" width="38.1640625" style="368" customWidth="1"/>
    <col min="13567" max="13567" width="23.44140625" style="368" bestFit="1" customWidth="1"/>
    <col min="13568" max="13569" width="9.1640625" style="368" customWidth="1"/>
    <col min="13570" max="13570" width="11.44140625" style="368" bestFit="1" customWidth="1"/>
    <col min="13571" max="13571" width="14.5546875" style="368" bestFit="1" customWidth="1"/>
    <col min="13572" max="13572" width="8.27734375" style="368" customWidth="1"/>
    <col min="13573" max="13573" width="10.71875" style="368" bestFit="1" customWidth="1"/>
    <col min="13574" max="13574" width="12.1640625" style="368" bestFit="1" customWidth="1"/>
    <col min="13575" max="13575" width="9.1640625" style="368" customWidth="1"/>
    <col min="13576" max="13576" width="10.71875" style="368" bestFit="1" customWidth="1"/>
    <col min="13577" max="13577" width="12.1640625" style="368" bestFit="1" customWidth="1"/>
    <col min="13578" max="13578" width="7.83203125" style="368" customWidth="1"/>
    <col min="13579" max="13579" width="10.71875" style="368" bestFit="1" customWidth="1"/>
    <col min="13580" max="13580" width="12.1640625" style="368" bestFit="1" customWidth="1"/>
    <col min="13581" max="13581" width="8.27734375" style="368" bestFit="1" customWidth="1"/>
    <col min="13582" max="13582" width="10.71875" style="368" bestFit="1" customWidth="1"/>
    <col min="13583" max="13583" width="12.1640625" style="368" bestFit="1" customWidth="1"/>
    <col min="13584" max="13584" width="17.83203125" style="368" bestFit="1" customWidth="1"/>
    <col min="13585" max="13585" width="10.71875" style="368" bestFit="1" customWidth="1"/>
    <col min="13586" max="13821" width="9.44140625" style="368"/>
    <col min="13822" max="13822" width="38.1640625" style="368" customWidth="1"/>
    <col min="13823" max="13823" width="23.44140625" style="368" bestFit="1" customWidth="1"/>
    <col min="13824" max="13825" width="9.1640625" style="368" customWidth="1"/>
    <col min="13826" max="13826" width="11.44140625" style="368" bestFit="1" customWidth="1"/>
    <col min="13827" max="13827" width="14.5546875" style="368" bestFit="1" customWidth="1"/>
    <col min="13828" max="13828" width="8.27734375" style="368" customWidth="1"/>
    <col min="13829" max="13829" width="10.71875" style="368" bestFit="1" customWidth="1"/>
    <col min="13830" max="13830" width="12.1640625" style="368" bestFit="1" customWidth="1"/>
    <col min="13831" max="13831" width="9.1640625" style="368" customWidth="1"/>
    <col min="13832" max="13832" width="10.71875" style="368" bestFit="1" customWidth="1"/>
    <col min="13833" max="13833" width="12.1640625" style="368" bestFit="1" customWidth="1"/>
    <col min="13834" max="13834" width="7.83203125" style="368" customWidth="1"/>
    <col min="13835" max="13835" width="10.71875" style="368" bestFit="1" customWidth="1"/>
    <col min="13836" max="13836" width="12.1640625" style="368" bestFit="1" customWidth="1"/>
    <col min="13837" max="13837" width="8.27734375" style="368" bestFit="1" customWidth="1"/>
    <col min="13838" max="13838" width="10.71875" style="368" bestFit="1" customWidth="1"/>
    <col min="13839" max="13839" width="12.1640625" style="368" bestFit="1" customWidth="1"/>
    <col min="13840" max="13840" width="17.83203125" style="368" bestFit="1" customWidth="1"/>
    <col min="13841" max="13841" width="10.71875" style="368" bestFit="1" customWidth="1"/>
    <col min="13842" max="14077" width="9.44140625" style="368"/>
    <col min="14078" max="14078" width="38.1640625" style="368" customWidth="1"/>
    <col min="14079" max="14079" width="23.44140625" style="368" bestFit="1" customWidth="1"/>
    <col min="14080" max="14081" width="9.1640625" style="368" customWidth="1"/>
    <col min="14082" max="14082" width="11.44140625" style="368" bestFit="1" customWidth="1"/>
    <col min="14083" max="14083" width="14.5546875" style="368" bestFit="1" customWidth="1"/>
    <col min="14084" max="14084" width="8.27734375" style="368" customWidth="1"/>
    <col min="14085" max="14085" width="10.71875" style="368" bestFit="1" customWidth="1"/>
    <col min="14086" max="14086" width="12.1640625" style="368" bestFit="1" customWidth="1"/>
    <col min="14087" max="14087" width="9.1640625" style="368" customWidth="1"/>
    <col min="14088" max="14088" width="10.71875" style="368" bestFit="1" customWidth="1"/>
    <col min="14089" max="14089" width="12.1640625" style="368" bestFit="1" customWidth="1"/>
    <col min="14090" max="14090" width="7.83203125" style="368" customWidth="1"/>
    <col min="14091" max="14091" width="10.71875" style="368" bestFit="1" customWidth="1"/>
    <col min="14092" max="14092" width="12.1640625" style="368" bestFit="1" customWidth="1"/>
    <col min="14093" max="14093" width="8.27734375" style="368" bestFit="1" customWidth="1"/>
    <col min="14094" max="14094" width="10.71875" style="368" bestFit="1" customWidth="1"/>
    <col min="14095" max="14095" width="12.1640625" style="368" bestFit="1" customWidth="1"/>
    <col min="14096" max="14096" width="17.83203125" style="368" bestFit="1" customWidth="1"/>
    <col min="14097" max="14097" width="10.71875" style="368" bestFit="1" customWidth="1"/>
    <col min="14098" max="14333" width="9.44140625" style="368"/>
    <col min="14334" max="14334" width="38.1640625" style="368" customWidth="1"/>
    <col min="14335" max="14335" width="23.44140625" style="368" bestFit="1" customWidth="1"/>
    <col min="14336" max="14337" width="9.1640625" style="368" customWidth="1"/>
    <col min="14338" max="14338" width="11.44140625" style="368" bestFit="1" customWidth="1"/>
    <col min="14339" max="14339" width="14.5546875" style="368" bestFit="1" customWidth="1"/>
    <col min="14340" max="14340" width="8.27734375" style="368" customWidth="1"/>
    <col min="14341" max="14341" width="10.71875" style="368" bestFit="1" customWidth="1"/>
    <col min="14342" max="14342" width="12.1640625" style="368" bestFit="1" customWidth="1"/>
    <col min="14343" max="14343" width="9.1640625" style="368" customWidth="1"/>
    <col min="14344" max="14344" width="10.71875" style="368" bestFit="1" customWidth="1"/>
    <col min="14345" max="14345" width="12.1640625" style="368" bestFit="1" customWidth="1"/>
    <col min="14346" max="14346" width="7.83203125" style="368" customWidth="1"/>
    <col min="14347" max="14347" width="10.71875" style="368" bestFit="1" customWidth="1"/>
    <col min="14348" max="14348" width="12.1640625" style="368" bestFit="1" customWidth="1"/>
    <col min="14349" max="14349" width="8.27734375" style="368" bestFit="1" customWidth="1"/>
    <col min="14350" max="14350" width="10.71875" style="368" bestFit="1" customWidth="1"/>
    <col min="14351" max="14351" width="12.1640625" style="368" bestFit="1" customWidth="1"/>
    <col min="14352" max="14352" width="17.83203125" style="368" bestFit="1" customWidth="1"/>
    <col min="14353" max="14353" width="10.71875" style="368" bestFit="1" customWidth="1"/>
    <col min="14354" max="14589" width="9.44140625" style="368"/>
    <col min="14590" max="14590" width="38.1640625" style="368" customWidth="1"/>
    <col min="14591" max="14591" width="23.44140625" style="368" bestFit="1" customWidth="1"/>
    <col min="14592" max="14593" width="9.1640625" style="368" customWidth="1"/>
    <col min="14594" max="14594" width="11.44140625" style="368" bestFit="1" customWidth="1"/>
    <col min="14595" max="14595" width="14.5546875" style="368" bestFit="1" customWidth="1"/>
    <col min="14596" max="14596" width="8.27734375" style="368" customWidth="1"/>
    <col min="14597" max="14597" width="10.71875" style="368" bestFit="1" customWidth="1"/>
    <col min="14598" max="14598" width="12.1640625" style="368" bestFit="1" customWidth="1"/>
    <col min="14599" max="14599" width="9.1640625" style="368" customWidth="1"/>
    <col min="14600" max="14600" width="10.71875" style="368" bestFit="1" customWidth="1"/>
    <col min="14601" max="14601" width="12.1640625" style="368" bestFit="1" customWidth="1"/>
    <col min="14602" max="14602" width="7.83203125" style="368" customWidth="1"/>
    <col min="14603" max="14603" width="10.71875" style="368" bestFit="1" customWidth="1"/>
    <col min="14604" max="14604" width="12.1640625" style="368" bestFit="1" customWidth="1"/>
    <col min="14605" max="14605" width="8.27734375" style="368" bestFit="1" customWidth="1"/>
    <col min="14606" max="14606" width="10.71875" style="368" bestFit="1" customWidth="1"/>
    <col min="14607" max="14607" width="12.1640625" style="368" bestFit="1" customWidth="1"/>
    <col min="14608" max="14608" width="17.83203125" style="368" bestFit="1" customWidth="1"/>
    <col min="14609" max="14609" width="10.71875" style="368" bestFit="1" customWidth="1"/>
    <col min="14610" max="14845" width="9.44140625" style="368"/>
    <col min="14846" max="14846" width="38.1640625" style="368" customWidth="1"/>
    <col min="14847" max="14847" width="23.44140625" style="368" bestFit="1" customWidth="1"/>
    <col min="14848" max="14849" width="9.1640625" style="368" customWidth="1"/>
    <col min="14850" max="14850" width="11.44140625" style="368" bestFit="1" customWidth="1"/>
    <col min="14851" max="14851" width="14.5546875" style="368" bestFit="1" customWidth="1"/>
    <col min="14852" max="14852" width="8.27734375" style="368" customWidth="1"/>
    <col min="14853" max="14853" width="10.71875" style="368" bestFit="1" customWidth="1"/>
    <col min="14854" max="14854" width="12.1640625" style="368" bestFit="1" customWidth="1"/>
    <col min="14855" max="14855" width="9.1640625" style="368" customWidth="1"/>
    <col min="14856" max="14856" width="10.71875" style="368" bestFit="1" customWidth="1"/>
    <col min="14857" max="14857" width="12.1640625" style="368" bestFit="1" customWidth="1"/>
    <col min="14858" max="14858" width="7.83203125" style="368" customWidth="1"/>
    <col min="14859" max="14859" width="10.71875" style="368" bestFit="1" customWidth="1"/>
    <col min="14860" max="14860" width="12.1640625" style="368" bestFit="1" customWidth="1"/>
    <col min="14861" max="14861" width="8.27734375" style="368" bestFit="1" customWidth="1"/>
    <col min="14862" max="14862" width="10.71875" style="368" bestFit="1" customWidth="1"/>
    <col min="14863" max="14863" width="12.1640625" style="368" bestFit="1" customWidth="1"/>
    <col min="14864" max="14864" width="17.83203125" style="368" bestFit="1" customWidth="1"/>
    <col min="14865" max="14865" width="10.71875" style="368" bestFit="1" customWidth="1"/>
    <col min="14866" max="15101" width="9.44140625" style="368"/>
    <col min="15102" max="15102" width="38.1640625" style="368" customWidth="1"/>
    <col min="15103" max="15103" width="23.44140625" style="368" bestFit="1" customWidth="1"/>
    <col min="15104" max="15105" width="9.1640625" style="368" customWidth="1"/>
    <col min="15106" max="15106" width="11.44140625" style="368" bestFit="1" customWidth="1"/>
    <col min="15107" max="15107" width="14.5546875" style="368" bestFit="1" customWidth="1"/>
    <col min="15108" max="15108" width="8.27734375" style="368" customWidth="1"/>
    <col min="15109" max="15109" width="10.71875" style="368" bestFit="1" customWidth="1"/>
    <col min="15110" max="15110" width="12.1640625" style="368" bestFit="1" customWidth="1"/>
    <col min="15111" max="15111" width="9.1640625" style="368" customWidth="1"/>
    <col min="15112" max="15112" width="10.71875" style="368" bestFit="1" customWidth="1"/>
    <col min="15113" max="15113" width="12.1640625" style="368" bestFit="1" customWidth="1"/>
    <col min="15114" max="15114" width="7.83203125" style="368" customWidth="1"/>
    <col min="15115" max="15115" width="10.71875" style="368" bestFit="1" customWidth="1"/>
    <col min="15116" max="15116" width="12.1640625" style="368" bestFit="1" customWidth="1"/>
    <col min="15117" max="15117" width="8.27734375" style="368" bestFit="1" customWidth="1"/>
    <col min="15118" max="15118" width="10.71875" style="368" bestFit="1" customWidth="1"/>
    <col min="15119" max="15119" width="12.1640625" style="368" bestFit="1" customWidth="1"/>
    <col min="15120" max="15120" width="17.83203125" style="368" bestFit="1" customWidth="1"/>
    <col min="15121" max="15121" width="10.71875" style="368" bestFit="1" customWidth="1"/>
    <col min="15122" max="15357" width="9.44140625" style="368"/>
    <col min="15358" max="15358" width="38.1640625" style="368" customWidth="1"/>
    <col min="15359" max="15359" width="23.44140625" style="368" bestFit="1" customWidth="1"/>
    <col min="15360" max="15361" width="9.1640625" style="368" customWidth="1"/>
    <col min="15362" max="15362" width="11.44140625" style="368" bestFit="1" customWidth="1"/>
    <col min="15363" max="15363" width="14.5546875" style="368" bestFit="1" customWidth="1"/>
    <col min="15364" max="15364" width="8.27734375" style="368" customWidth="1"/>
    <col min="15365" max="15365" width="10.71875" style="368" bestFit="1" customWidth="1"/>
    <col min="15366" max="15366" width="12.1640625" style="368" bestFit="1" customWidth="1"/>
    <col min="15367" max="15367" width="9.1640625" style="368" customWidth="1"/>
    <col min="15368" max="15368" width="10.71875" style="368" bestFit="1" customWidth="1"/>
    <col min="15369" max="15369" width="12.1640625" style="368" bestFit="1" customWidth="1"/>
    <col min="15370" max="15370" width="7.83203125" style="368" customWidth="1"/>
    <col min="15371" max="15371" width="10.71875" style="368" bestFit="1" customWidth="1"/>
    <col min="15372" max="15372" width="12.1640625" style="368" bestFit="1" customWidth="1"/>
    <col min="15373" max="15373" width="8.27734375" style="368" bestFit="1" customWidth="1"/>
    <col min="15374" max="15374" width="10.71875" style="368" bestFit="1" customWidth="1"/>
    <col min="15375" max="15375" width="12.1640625" style="368" bestFit="1" customWidth="1"/>
    <col min="15376" max="15376" width="17.83203125" style="368" bestFit="1" customWidth="1"/>
    <col min="15377" max="15377" width="10.71875" style="368" bestFit="1" customWidth="1"/>
    <col min="15378" max="15613" width="9.44140625" style="368"/>
    <col min="15614" max="15614" width="38.1640625" style="368" customWidth="1"/>
    <col min="15615" max="15615" width="23.44140625" style="368" bestFit="1" customWidth="1"/>
    <col min="15616" max="15617" width="9.1640625" style="368" customWidth="1"/>
    <col min="15618" max="15618" width="11.44140625" style="368" bestFit="1" customWidth="1"/>
    <col min="15619" max="15619" width="14.5546875" style="368" bestFit="1" customWidth="1"/>
    <col min="15620" max="15620" width="8.27734375" style="368" customWidth="1"/>
    <col min="15621" max="15621" width="10.71875" style="368" bestFit="1" customWidth="1"/>
    <col min="15622" max="15622" width="12.1640625" style="368" bestFit="1" customWidth="1"/>
    <col min="15623" max="15623" width="9.1640625" style="368" customWidth="1"/>
    <col min="15624" max="15624" width="10.71875" style="368" bestFit="1" customWidth="1"/>
    <col min="15625" max="15625" width="12.1640625" style="368" bestFit="1" customWidth="1"/>
    <col min="15626" max="15626" width="7.83203125" style="368" customWidth="1"/>
    <col min="15627" max="15627" width="10.71875" style="368" bestFit="1" customWidth="1"/>
    <col min="15628" max="15628" width="12.1640625" style="368" bestFit="1" customWidth="1"/>
    <col min="15629" max="15629" width="8.27734375" style="368" bestFit="1" customWidth="1"/>
    <col min="15630" max="15630" width="10.71875" style="368" bestFit="1" customWidth="1"/>
    <col min="15631" max="15631" width="12.1640625" style="368" bestFit="1" customWidth="1"/>
    <col min="15632" max="15632" width="17.83203125" style="368" bestFit="1" customWidth="1"/>
    <col min="15633" max="15633" width="10.71875" style="368" bestFit="1" customWidth="1"/>
    <col min="15634" max="15869" width="9.44140625" style="368"/>
    <col min="15870" max="15870" width="38.1640625" style="368" customWidth="1"/>
    <col min="15871" max="15871" width="23.44140625" style="368" bestFit="1" customWidth="1"/>
    <col min="15872" max="15873" width="9.1640625" style="368" customWidth="1"/>
    <col min="15874" max="15874" width="11.44140625" style="368" bestFit="1" customWidth="1"/>
    <col min="15875" max="15875" width="14.5546875" style="368" bestFit="1" customWidth="1"/>
    <col min="15876" max="15876" width="8.27734375" style="368" customWidth="1"/>
    <col min="15877" max="15877" width="10.71875" style="368" bestFit="1" customWidth="1"/>
    <col min="15878" max="15878" width="12.1640625" style="368" bestFit="1" customWidth="1"/>
    <col min="15879" max="15879" width="9.1640625" style="368" customWidth="1"/>
    <col min="15880" max="15880" width="10.71875" style="368" bestFit="1" customWidth="1"/>
    <col min="15881" max="15881" width="12.1640625" style="368" bestFit="1" customWidth="1"/>
    <col min="15882" max="15882" width="7.83203125" style="368" customWidth="1"/>
    <col min="15883" max="15883" width="10.71875" style="368" bestFit="1" customWidth="1"/>
    <col min="15884" max="15884" width="12.1640625" style="368" bestFit="1" customWidth="1"/>
    <col min="15885" max="15885" width="8.27734375" style="368" bestFit="1" customWidth="1"/>
    <col min="15886" max="15886" width="10.71875" style="368" bestFit="1" customWidth="1"/>
    <col min="15887" max="15887" width="12.1640625" style="368" bestFit="1" customWidth="1"/>
    <col min="15888" max="15888" width="17.83203125" style="368" bestFit="1" customWidth="1"/>
    <col min="15889" max="15889" width="10.71875" style="368" bestFit="1" customWidth="1"/>
    <col min="15890" max="16125" width="9.44140625" style="368"/>
    <col min="16126" max="16126" width="38.1640625" style="368" customWidth="1"/>
    <col min="16127" max="16127" width="23.44140625" style="368" bestFit="1" customWidth="1"/>
    <col min="16128" max="16129" width="9.1640625" style="368" customWidth="1"/>
    <col min="16130" max="16130" width="11.44140625" style="368" bestFit="1" customWidth="1"/>
    <col min="16131" max="16131" width="14.5546875" style="368" bestFit="1" customWidth="1"/>
    <col min="16132" max="16132" width="8.27734375" style="368" customWidth="1"/>
    <col min="16133" max="16133" width="10.71875" style="368" bestFit="1" customWidth="1"/>
    <col min="16134" max="16134" width="12.1640625" style="368" bestFit="1" customWidth="1"/>
    <col min="16135" max="16135" width="9.1640625" style="368" customWidth="1"/>
    <col min="16136" max="16136" width="10.71875" style="368" bestFit="1" customWidth="1"/>
    <col min="16137" max="16137" width="12.1640625" style="368" bestFit="1" customWidth="1"/>
    <col min="16138" max="16138" width="7.83203125" style="368" customWidth="1"/>
    <col min="16139" max="16139" width="10.71875" style="368" bestFit="1" customWidth="1"/>
    <col min="16140" max="16140" width="12.1640625" style="368" bestFit="1" customWidth="1"/>
    <col min="16141" max="16141" width="8.27734375" style="368" bestFit="1" customWidth="1"/>
    <col min="16142" max="16142" width="10.71875" style="368" bestFit="1" customWidth="1"/>
    <col min="16143" max="16143" width="12.1640625" style="368" bestFit="1" customWidth="1"/>
    <col min="16144" max="16144" width="17.83203125" style="368" bestFit="1" customWidth="1"/>
    <col min="16145" max="16145" width="10.71875" style="368" bestFit="1" customWidth="1"/>
    <col min="16146" max="16384" width="9.44140625" style="368"/>
  </cols>
  <sheetData>
    <row r="1" spans="1:29">
      <c r="C1" s="369"/>
    </row>
    <row r="2" spans="1:29" s="375" customFormat="1" ht="19.8">
      <c r="A2" s="368"/>
      <c r="B2" s="374"/>
      <c r="C2" s="645" t="s">
        <v>527</v>
      </c>
      <c r="D2" s="645"/>
      <c r="E2" s="645"/>
      <c r="F2" s="645"/>
      <c r="G2" s="645"/>
      <c r="H2" s="645"/>
      <c r="I2" s="645"/>
      <c r="J2" s="645"/>
      <c r="K2" s="645"/>
      <c r="L2" s="645"/>
      <c r="M2" s="645"/>
      <c r="N2" s="645"/>
      <c r="O2" s="645"/>
      <c r="P2" s="645"/>
      <c r="Q2" s="645"/>
      <c r="R2" s="645"/>
      <c r="S2" s="645"/>
      <c r="T2" s="645"/>
      <c r="U2" s="645"/>
      <c r="V2" s="645"/>
      <c r="W2" s="645"/>
    </row>
    <row r="3" spans="1:29" s="375" customFormat="1" ht="19.8">
      <c r="A3" s="376"/>
      <c r="B3" s="374"/>
      <c r="C3" s="645" t="s">
        <v>528</v>
      </c>
      <c r="D3" s="645"/>
      <c r="E3" s="645"/>
      <c r="F3" s="645"/>
      <c r="G3" s="645"/>
      <c r="H3" s="645"/>
      <c r="I3" s="645"/>
      <c r="J3" s="645"/>
      <c r="K3" s="645"/>
      <c r="L3" s="645"/>
      <c r="M3" s="645"/>
      <c r="N3" s="645"/>
      <c r="O3" s="645"/>
      <c r="P3" s="645"/>
      <c r="Q3" s="645"/>
      <c r="R3" s="645"/>
      <c r="S3" s="645"/>
      <c r="T3" s="645"/>
      <c r="U3" s="645"/>
      <c r="V3" s="645"/>
      <c r="W3" s="645"/>
    </row>
    <row r="4" spans="1:29" s="375" customFormat="1" ht="19.8">
      <c r="A4" s="376"/>
      <c r="B4" s="374"/>
      <c r="C4" s="645" t="s">
        <v>529</v>
      </c>
      <c r="D4" s="645"/>
      <c r="E4" s="645"/>
      <c r="F4" s="645"/>
      <c r="G4" s="645"/>
      <c r="H4" s="645"/>
      <c r="I4" s="645"/>
      <c r="J4" s="645"/>
      <c r="K4" s="645"/>
      <c r="L4" s="645"/>
      <c r="M4" s="645"/>
      <c r="N4" s="645"/>
      <c r="O4" s="645"/>
      <c r="P4" s="645"/>
      <c r="Q4" s="645"/>
      <c r="R4" s="645"/>
      <c r="S4" s="645"/>
      <c r="T4" s="645"/>
      <c r="U4" s="645"/>
      <c r="V4" s="645"/>
      <c r="W4" s="645"/>
    </row>
    <row r="5" spans="1:29" ht="20.399999999999999">
      <c r="A5" s="377" t="s">
        <v>530</v>
      </c>
      <c r="B5" s="378"/>
      <c r="C5" s="379"/>
      <c r="D5" s="380"/>
      <c r="E5" s="381"/>
      <c r="F5" s="379"/>
      <c r="G5" s="379"/>
      <c r="H5" s="380"/>
      <c r="I5" s="382"/>
      <c r="J5" s="379"/>
      <c r="K5" s="379"/>
      <c r="L5" s="380"/>
      <c r="M5" s="381"/>
      <c r="N5" s="379"/>
      <c r="O5" s="379"/>
      <c r="P5" s="380"/>
      <c r="Q5" s="381"/>
      <c r="R5" s="379"/>
      <c r="S5" s="379"/>
      <c r="T5" s="380"/>
      <c r="U5" s="381"/>
      <c r="V5" s="379"/>
      <c r="W5" s="379"/>
    </row>
    <row r="6" spans="1:29">
      <c r="A6" s="383" t="s">
        <v>531</v>
      </c>
      <c r="B6" s="521">
        <v>1.05</v>
      </c>
    </row>
    <row r="7" spans="1:29">
      <c r="A7" s="383" t="s">
        <v>532</v>
      </c>
      <c r="B7" s="521">
        <v>1.05</v>
      </c>
    </row>
    <row r="8" spans="1:29" ht="14.7" thickBot="1"/>
    <row r="9" spans="1:29" ht="23.5" customHeight="1">
      <c r="A9" s="636" t="s">
        <v>533</v>
      </c>
      <c r="B9" s="638" t="s">
        <v>534</v>
      </c>
      <c r="C9" s="640" t="s">
        <v>535</v>
      </c>
      <c r="D9" s="641"/>
      <c r="E9" s="641"/>
      <c r="F9" s="642"/>
      <c r="G9" s="640" t="s">
        <v>536</v>
      </c>
      <c r="H9" s="641"/>
      <c r="I9" s="641"/>
      <c r="J9" s="642"/>
      <c r="K9" s="640" t="s">
        <v>537</v>
      </c>
      <c r="L9" s="641"/>
      <c r="M9" s="641"/>
      <c r="N9" s="642"/>
      <c r="O9" s="640" t="s">
        <v>538</v>
      </c>
      <c r="P9" s="641"/>
      <c r="Q9" s="641"/>
      <c r="R9" s="642"/>
      <c r="S9" s="640" t="s">
        <v>539</v>
      </c>
      <c r="T9" s="641"/>
      <c r="U9" s="641"/>
      <c r="V9" s="642"/>
      <c r="W9" s="643" t="s">
        <v>540</v>
      </c>
      <c r="AA9" s="568" t="s">
        <v>541</v>
      </c>
      <c r="AB9" s="568" t="s">
        <v>542</v>
      </c>
      <c r="AC9" s="568" t="s">
        <v>543</v>
      </c>
    </row>
    <row r="10" spans="1:29" ht="48" customHeight="1">
      <c r="A10" s="637"/>
      <c r="B10" s="639"/>
      <c r="C10" s="385" t="s">
        <v>544</v>
      </c>
      <c r="D10" s="386" t="s">
        <v>545</v>
      </c>
      <c r="E10" s="387" t="s">
        <v>546</v>
      </c>
      <c r="F10" s="388" t="s">
        <v>540</v>
      </c>
      <c r="G10" s="385" t="s">
        <v>544</v>
      </c>
      <c r="H10" s="386" t="s">
        <v>545</v>
      </c>
      <c r="I10" s="389" t="s">
        <v>546</v>
      </c>
      <c r="J10" s="388" t="s">
        <v>540</v>
      </c>
      <c r="K10" s="385" t="s">
        <v>544</v>
      </c>
      <c r="L10" s="386" t="s">
        <v>545</v>
      </c>
      <c r="M10" s="387" t="s">
        <v>546</v>
      </c>
      <c r="N10" s="388" t="s">
        <v>540</v>
      </c>
      <c r="O10" s="385" t="s">
        <v>544</v>
      </c>
      <c r="P10" s="386" t="s">
        <v>545</v>
      </c>
      <c r="Q10" s="387" t="s">
        <v>546</v>
      </c>
      <c r="R10" s="388" t="s">
        <v>540</v>
      </c>
      <c r="S10" s="385" t="s">
        <v>544</v>
      </c>
      <c r="T10" s="386" t="s">
        <v>545</v>
      </c>
      <c r="U10" s="387" t="s">
        <v>546</v>
      </c>
      <c r="V10" s="388" t="s">
        <v>540</v>
      </c>
      <c r="W10" s="644"/>
      <c r="AA10" s="568">
        <v>0.73024993133097349</v>
      </c>
      <c r="AB10" s="568">
        <v>8.0106447301041703E-2</v>
      </c>
      <c r="AC10" s="568">
        <v>0.18964362136798479</v>
      </c>
    </row>
    <row r="11" spans="1:29" ht="20.399999999999999">
      <c r="A11" s="390" t="s">
        <v>547</v>
      </c>
      <c r="B11" s="391"/>
      <c r="C11" s="392"/>
      <c r="D11" s="393"/>
      <c r="E11" s="394"/>
      <c r="F11" s="395"/>
      <c r="G11" s="392"/>
      <c r="H11" s="393"/>
      <c r="I11" s="396"/>
      <c r="J11" s="395"/>
      <c r="K11" s="397"/>
      <c r="L11" s="393"/>
      <c r="M11" s="394"/>
      <c r="N11" s="395"/>
      <c r="O11" s="397"/>
      <c r="P11" s="393"/>
      <c r="Q11" s="394"/>
      <c r="R11" s="398"/>
      <c r="S11" s="397"/>
      <c r="T11" s="393"/>
      <c r="U11" s="394"/>
      <c r="V11" s="398"/>
      <c r="W11" s="395"/>
      <c r="X11" s="368" t="s">
        <v>548</v>
      </c>
      <c r="Y11" s="368" t="s">
        <v>549</v>
      </c>
      <c r="Z11" s="368" t="s">
        <v>550</v>
      </c>
    </row>
    <row r="12" spans="1:29" s="407" customFormat="1" ht="15" customHeight="1" outlineLevel="1">
      <c r="A12" s="399" t="s">
        <v>56</v>
      </c>
      <c r="B12" s="400"/>
      <c r="C12" s="401"/>
      <c r="D12" s="402"/>
      <c r="E12" s="403"/>
      <c r="F12" s="404"/>
      <c r="G12" s="401"/>
      <c r="H12" s="402"/>
      <c r="I12" s="405"/>
      <c r="J12" s="404"/>
      <c r="K12" s="401"/>
      <c r="L12" s="402"/>
      <c r="M12" s="403"/>
      <c r="N12" s="404"/>
      <c r="O12" s="401"/>
      <c r="P12" s="402"/>
      <c r="Q12" s="403"/>
      <c r="R12" s="404"/>
      <c r="S12" s="401"/>
      <c r="T12" s="402"/>
      <c r="U12" s="403"/>
      <c r="V12" s="404"/>
      <c r="W12" s="579"/>
      <c r="X12" s="406">
        <v>0.8</v>
      </c>
      <c r="Y12" s="371">
        <v>0.1</v>
      </c>
      <c r="Z12" s="371">
        <v>0.1</v>
      </c>
    </row>
    <row r="13" spans="1:29" ht="15" customHeight="1" outlineLevel="1">
      <c r="A13" s="408" t="s">
        <v>551</v>
      </c>
      <c r="B13" s="409"/>
      <c r="C13" s="411"/>
      <c r="D13" s="412"/>
      <c r="E13" s="413"/>
      <c r="F13" s="414"/>
      <c r="G13" s="411"/>
      <c r="H13" s="412"/>
      <c r="I13" s="415"/>
      <c r="J13" s="414"/>
      <c r="K13" s="411"/>
      <c r="L13" s="412"/>
      <c r="M13" s="413"/>
      <c r="N13" s="414"/>
      <c r="O13" s="411"/>
      <c r="P13" s="412"/>
      <c r="Q13" s="413"/>
      <c r="R13" s="414"/>
      <c r="S13" s="411"/>
      <c r="T13" s="412"/>
      <c r="U13" s="413"/>
      <c r="V13" s="414"/>
      <c r="W13" s="580"/>
      <c r="X13" s="416"/>
    </row>
    <row r="14" spans="1:29" ht="15" customHeight="1" outlineLevel="1">
      <c r="A14" s="417" t="s">
        <v>552</v>
      </c>
      <c r="B14" s="418" t="s">
        <v>100</v>
      </c>
      <c r="C14" s="419">
        <v>2900</v>
      </c>
      <c r="D14" s="420">
        <v>3</v>
      </c>
      <c r="E14" s="421">
        <v>1</v>
      </c>
      <c r="F14" s="410">
        <f>C14*D14*E14</f>
        <v>8700</v>
      </c>
      <c r="G14" s="419">
        <f>C14*$B$6</f>
        <v>3045</v>
      </c>
      <c r="H14" s="420">
        <v>12</v>
      </c>
      <c r="I14" s="421">
        <v>1</v>
      </c>
      <c r="J14" s="410">
        <f>G14*H14*I14</f>
        <v>36540</v>
      </c>
      <c r="K14" s="419">
        <f>G14*$B$6</f>
        <v>3197.25</v>
      </c>
      <c r="L14" s="420">
        <v>12</v>
      </c>
      <c r="M14" s="421">
        <v>1</v>
      </c>
      <c r="N14" s="410">
        <f>K14*L14*M14</f>
        <v>38367</v>
      </c>
      <c r="O14" s="419">
        <f>K14*$B$6</f>
        <v>3357.1125000000002</v>
      </c>
      <c r="P14" s="420">
        <v>12</v>
      </c>
      <c r="Q14" s="421">
        <v>1</v>
      </c>
      <c r="R14" s="410">
        <f>O14*P14*Q14</f>
        <v>40285.350000000006</v>
      </c>
      <c r="S14" s="419">
        <f>O14*$B$6</f>
        <v>3524.9681250000003</v>
      </c>
      <c r="T14" s="420">
        <v>3</v>
      </c>
      <c r="U14" s="421">
        <v>1</v>
      </c>
      <c r="V14" s="410">
        <f>S14*T14*U14</f>
        <v>10574.904375000002</v>
      </c>
      <c r="W14" s="581">
        <f t="shared" ref="W14:W19" si="0">F14+J14+N14+V14+R14</f>
        <v>134467.25437500002</v>
      </c>
      <c r="X14" s="422">
        <f>+W14*$X$12</f>
        <v>107573.80350000002</v>
      </c>
      <c r="Y14" s="423">
        <f>+W14*$Y$12</f>
        <v>13446.725437500003</v>
      </c>
      <c r="Z14" s="423">
        <f>+W14*$Z$12</f>
        <v>13446.725437500003</v>
      </c>
    </row>
    <row r="15" spans="1:29" ht="15" customHeight="1" outlineLevel="1">
      <c r="A15" s="417" t="s">
        <v>553</v>
      </c>
      <c r="B15" s="418" t="s">
        <v>100</v>
      </c>
      <c r="C15" s="425">
        <v>950</v>
      </c>
      <c r="D15" s="426">
        <f>3*1</f>
        <v>3</v>
      </c>
      <c r="E15" s="421">
        <v>1</v>
      </c>
      <c r="F15" s="424">
        <f t="shared" ref="F15:F19" si="1">C15*D15*E15</f>
        <v>2850</v>
      </c>
      <c r="G15" s="425">
        <f t="shared" ref="G15:G19" si="2">C15*$B$6</f>
        <v>997.5</v>
      </c>
      <c r="H15" s="426">
        <f>12*3</f>
        <v>36</v>
      </c>
      <c r="I15" s="421">
        <v>1</v>
      </c>
      <c r="J15" s="424">
        <f t="shared" ref="J15:J19" si="3">G15*H15*I15</f>
        <v>35910</v>
      </c>
      <c r="K15" s="425">
        <f t="shared" ref="K15:K19" si="4">G15*$B$6</f>
        <v>1047.375</v>
      </c>
      <c r="L15" s="426">
        <f>12*3</f>
        <v>36</v>
      </c>
      <c r="M15" s="421">
        <v>1</v>
      </c>
      <c r="N15" s="424">
        <f t="shared" ref="N15:N19" si="5">K15*L15*M15</f>
        <v>37705.5</v>
      </c>
      <c r="O15" s="425">
        <f t="shared" ref="O15:O19" si="6">K15*$B$6</f>
        <v>1099.7437500000001</v>
      </c>
      <c r="P15" s="426">
        <f>12*3</f>
        <v>36</v>
      </c>
      <c r="Q15" s="421">
        <v>1</v>
      </c>
      <c r="R15" s="424">
        <f t="shared" ref="R15:R19" si="7">O15*P15*Q15</f>
        <v>39590.775000000001</v>
      </c>
      <c r="S15" s="425">
        <f t="shared" ref="S15:S19" si="8">O15*$B$6</f>
        <v>1154.7309375000002</v>
      </c>
      <c r="T15" s="426">
        <f>3*2</f>
        <v>6</v>
      </c>
      <c r="U15" s="421">
        <v>1</v>
      </c>
      <c r="V15" s="424">
        <f t="shared" ref="V15:V19" si="9">S15*T15*U15</f>
        <v>6928.3856250000008</v>
      </c>
      <c r="W15" s="581">
        <f t="shared" si="0"/>
        <v>122984.66062499999</v>
      </c>
      <c r="X15" s="422">
        <f>+W15</f>
        <v>122984.66062499999</v>
      </c>
      <c r="Y15" s="423"/>
      <c r="Z15" s="423"/>
    </row>
    <row r="16" spans="1:29" ht="15" customHeight="1" outlineLevel="1">
      <c r="A16" s="417" t="s">
        <v>554</v>
      </c>
      <c r="B16" s="418" t="s">
        <v>100</v>
      </c>
      <c r="C16" s="425">
        <v>1900</v>
      </c>
      <c r="D16" s="426">
        <v>0</v>
      </c>
      <c r="E16" s="421">
        <v>1</v>
      </c>
      <c r="F16" s="424">
        <f t="shared" si="1"/>
        <v>0</v>
      </c>
      <c r="G16" s="425">
        <f t="shared" si="2"/>
        <v>1995</v>
      </c>
      <c r="H16" s="426">
        <v>12</v>
      </c>
      <c r="I16" s="421">
        <v>1</v>
      </c>
      <c r="J16" s="424">
        <f t="shared" si="3"/>
        <v>23940</v>
      </c>
      <c r="K16" s="425">
        <f t="shared" si="4"/>
        <v>2094.75</v>
      </c>
      <c r="L16" s="426">
        <v>12</v>
      </c>
      <c r="M16" s="421">
        <v>1</v>
      </c>
      <c r="N16" s="424">
        <f t="shared" si="5"/>
        <v>25137</v>
      </c>
      <c r="O16" s="425">
        <f t="shared" si="6"/>
        <v>2199.4875000000002</v>
      </c>
      <c r="P16" s="426">
        <v>12</v>
      </c>
      <c r="Q16" s="421">
        <v>1</v>
      </c>
      <c r="R16" s="424">
        <f t="shared" si="7"/>
        <v>26393.850000000002</v>
      </c>
      <c r="S16" s="425">
        <f t="shared" si="8"/>
        <v>2309.4618750000004</v>
      </c>
      <c r="T16" s="426">
        <v>0</v>
      </c>
      <c r="U16" s="421">
        <v>1</v>
      </c>
      <c r="V16" s="424">
        <f t="shared" si="9"/>
        <v>0</v>
      </c>
      <c r="W16" s="581">
        <f t="shared" si="0"/>
        <v>75470.850000000006</v>
      </c>
      <c r="X16" s="422"/>
      <c r="Y16" s="423">
        <f>+W16</f>
        <v>75470.850000000006</v>
      </c>
      <c r="Z16" s="423"/>
    </row>
    <row r="17" spans="1:29" ht="15" customHeight="1" outlineLevel="1">
      <c r="A17" s="417" t="s">
        <v>555</v>
      </c>
      <c r="B17" s="418" t="s">
        <v>100</v>
      </c>
      <c r="C17" s="425">
        <v>950</v>
      </c>
      <c r="D17" s="426">
        <v>0</v>
      </c>
      <c r="E17" s="421">
        <v>1</v>
      </c>
      <c r="F17" s="424">
        <f t="shared" ref="F17" si="10">C17*D17*E17</f>
        <v>0</v>
      </c>
      <c r="G17" s="425">
        <f t="shared" ref="G17" si="11">C17*$B$6</f>
        <v>997.5</v>
      </c>
      <c r="H17" s="426">
        <v>12</v>
      </c>
      <c r="I17" s="421">
        <v>1</v>
      </c>
      <c r="J17" s="424">
        <f t="shared" ref="J17" si="12">G17*H17*I17</f>
        <v>11970</v>
      </c>
      <c r="K17" s="425">
        <f t="shared" ref="K17" si="13">G17*$B$6</f>
        <v>1047.375</v>
      </c>
      <c r="L17" s="426">
        <v>12</v>
      </c>
      <c r="M17" s="421">
        <v>1</v>
      </c>
      <c r="N17" s="424">
        <f t="shared" ref="N17" si="14">K17*L17*M17</f>
        <v>12568.5</v>
      </c>
      <c r="O17" s="425">
        <f t="shared" ref="O17" si="15">K17*$B$6</f>
        <v>1099.7437500000001</v>
      </c>
      <c r="P17" s="426">
        <v>12</v>
      </c>
      <c r="Q17" s="421">
        <v>1</v>
      </c>
      <c r="R17" s="424">
        <f t="shared" ref="R17" si="16">O17*P17*Q17</f>
        <v>13196.925000000001</v>
      </c>
      <c r="S17" s="425">
        <f t="shared" ref="S17" si="17">O17*$B$6</f>
        <v>1154.7309375000002</v>
      </c>
      <c r="T17" s="426">
        <v>0</v>
      </c>
      <c r="U17" s="421">
        <v>1</v>
      </c>
      <c r="V17" s="424">
        <f t="shared" ref="V17" si="18">S17*T17*U17</f>
        <v>0</v>
      </c>
      <c r="W17" s="581">
        <f t="shared" si="0"/>
        <v>37735.425000000003</v>
      </c>
      <c r="X17" s="422"/>
      <c r="Y17" s="423">
        <f>+W17</f>
        <v>37735.425000000003</v>
      </c>
      <c r="Z17" s="423"/>
    </row>
    <row r="18" spans="1:29" ht="15" customHeight="1" outlineLevel="1">
      <c r="A18" s="417" t="s">
        <v>556</v>
      </c>
      <c r="B18" s="418" t="s">
        <v>100</v>
      </c>
      <c r="C18" s="419">
        <v>1900</v>
      </c>
      <c r="D18" s="420">
        <v>3</v>
      </c>
      <c r="E18" s="421">
        <v>1</v>
      </c>
      <c r="F18" s="410">
        <f t="shared" si="1"/>
        <v>5700</v>
      </c>
      <c r="G18" s="419">
        <f t="shared" si="2"/>
        <v>1995</v>
      </c>
      <c r="H18" s="420">
        <v>12</v>
      </c>
      <c r="I18" s="421">
        <v>1</v>
      </c>
      <c r="J18" s="410">
        <f t="shared" si="3"/>
        <v>23940</v>
      </c>
      <c r="K18" s="419">
        <f t="shared" si="4"/>
        <v>2094.75</v>
      </c>
      <c r="L18" s="420">
        <v>12</v>
      </c>
      <c r="M18" s="421">
        <v>1</v>
      </c>
      <c r="N18" s="410">
        <f t="shared" si="5"/>
        <v>25137</v>
      </c>
      <c r="O18" s="419">
        <f t="shared" si="6"/>
        <v>2199.4875000000002</v>
      </c>
      <c r="P18" s="420">
        <v>12</v>
      </c>
      <c r="Q18" s="421">
        <v>1</v>
      </c>
      <c r="R18" s="410">
        <f t="shared" si="7"/>
        <v>26393.850000000002</v>
      </c>
      <c r="S18" s="419">
        <f t="shared" si="8"/>
        <v>2309.4618750000004</v>
      </c>
      <c r="T18" s="420">
        <v>3</v>
      </c>
      <c r="U18" s="421">
        <v>1</v>
      </c>
      <c r="V18" s="410">
        <f t="shared" si="9"/>
        <v>6928.3856250000008</v>
      </c>
      <c r="W18" s="581">
        <f t="shared" si="0"/>
        <v>88099.235625000001</v>
      </c>
      <c r="X18" s="422">
        <f>+W18*$X$12</f>
        <v>70479.388500000001</v>
      </c>
      <c r="Y18" s="423">
        <f>+W18*$Y$12</f>
        <v>8809.9235625000001</v>
      </c>
      <c r="Z18" s="423">
        <f>+W18*$Z$12</f>
        <v>8809.9235625000001</v>
      </c>
    </row>
    <row r="19" spans="1:29" ht="15" customHeight="1" outlineLevel="1">
      <c r="A19" s="417" t="s">
        <v>557</v>
      </c>
      <c r="B19" s="418" t="s">
        <v>100</v>
      </c>
      <c r="C19" s="425">
        <v>950</v>
      </c>
      <c r="D19" s="426">
        <v>3</v>
      </c>
      <c r="E19" s="421">
        <v>0.5</v>
      </c>
      <c r="F19" s="424">
        <f t="shared" si="1"/>
        <v>1425</v>
      </c>
      <c r="G19" s="425">
        <f t="shared" si="2"/>
        <v>997.5</v>
      </c>
      <c r="H19" s="426">
        <v>12</v>
      </c>
      <c r="I19" s="421">
        <v>1</v>
      </c>
      <c r="J19" s="424">
        <f t="shared" si="3"/>
        <v>11970</v>
      </c>
      <c r="K19" s="425">
        <f t="shared" si="4"/>
        <v>1047.375</v>
      </c>
      <c r="L19" s="426">
        <v>12</v>
      </c>
      <c r="M19" s="421">
        <v>1</v>
      </c>
      <c r="N19" s="424">
        <f t="shared" si="5"/>
        <v>12568.5</v>
      </c>
      <c r="O19" s="425">
        <f t="shared" si="6"/>
        <v>1099.7437500000001</v>
      </c>
      <c r="P19" s="426">
        <v>12</v>
      </c>
      <c r="Q19" s="421">
        <v>1</v>
      </c>
      <c r="R19" s="424">
        <f t="shared" si="7"/>
        <v>13196.925000000001</v>
      </c>
      <c r="S19" s="425">
        <f t="shared" si="8"/>
        <v>1154.7309375000002</v>
      </c>
      <c r="T19" s="426">
        <v>3</v>
      </c>
      <c r="U19" s="421">
        <v>1</v>
      </c>
      <c r="V19" s="424">
        <f t="shared" si="9"/>
        <v>3464.1928125000004</v>
      </c>
      <c r="W19" s="581">
        <f t="shared" si="0"/>
        <v>42624.617812500001</v>
      </c>
      <c r="X19" s="422">
        <f>+W19*$X$12</f>
        <v>34099.69425</v>
      </c>
      <c r="Y19" s="423">
        <f>+W19*$Y$12</f>
        <v>4262.4617812500001</v>
      </c>
      <c r="Z19" s="423">
        <f>+W19*$Z$12</f>
        <v>4262.4617812500001</v>
      </c>
    </row>
    <row r="20" spans="1:29" s="407" customFormat="1" ht="15" customHeight="1" outlineLevel="1">
      <c r="A20" s="428"/>
      <c r="B20" s="409"/>
      <c r="C20" s="411"/>
      <c r="D20" s="412"/>
      <c r="E20" s="429"/>
      <c r="F20" s="410"/>
      <c r="G20" s="411"/>
      <c r="H20" s="412"/>
      <c r="I20" s="373"/>
      <c r="J20" s="410"/>
      <c r="K20" s="411"/>
      <c r="L20" s="412"/>
      <c r="M20" s="373"/>
      <c r="N20" s="410"/>
      <c r="O20" s="411"/>
      <c r="P20" s="412"/>
      <c r="Q20" s="373"/>
      <c r="R20" s="410"/>
      <c r="S20" s="411"/>
      <c r="T20" s="412"/>
      <c r="U20" s="373"/>
      <c r="V20" s="410"/>
      <c r="W20" s="581"/>
      <c r="X20" s="368"/>
      <c r="Y20" s="368"/>
      <c r="Z20" s="368"/>
    </row>
    <row r="21" spans="1:29" s="439" customFormat="1" ht="15" customHeight="1">
      <c r="A21" s="430" t="s">
        <v>558</v>
      </c>
      <c r="B21" s="431"/>
      <c r="C21" s="433"/>
      <c r="D21" s="434"/>
      <c r="E21" s="435"/>
      <c r="F21" s="432">
        <f>SUM(F14:F19)</f>
        <v>18675</v>
      </c>
      <c r="G21" s="433"/>
      <c r="H21" s="434"/>
      <c r="I21" s="436"/>
      <c r="J21" s="432">
        <f>SUM(J14:J19)</f>
        <v>144270</v>
      </c>
      <c r="K21" s="433"/>
      <c r="L21" s="434"/>
      <c r="M21" s="435"/>
      <c r="N21" s="432">
        <f>SUM(N14:N19)</f>
        <v>151483.5</v>
      </c>
      <c r="O21" s="433"/>
      <c r="P21" s="434"/>
      <c r="Q21" s="435"/>
      <c r="R21" s="432">
        <f>SUM(R14:R19)</f>
        <v>159057.67499999999</v>
      </c>
      <c r="S21" s="433"/>
      <c r="T21" s="434"/>
      <c r="U21" s="435"/>
      <c r="V21" s="432">
        <f>SUM(V14:V19)</f>
        <v>27895.868437500005</v>
      </c>
      <c r="W21" s="582">
        <f>SUM(W14:W19)</f>
        <v>501382.04343750002</v>
      </c>
      <c r="X21" s="437"/>
      <c r="Y21" s="437"/>
      <c r="Z21" s="437"/>
      <c r="AA21" s="439">
        <f>W21*$AA$10</f>
        <v>366134.20279081754</v>
      </c>
      <c r="AB21" s="439">
        <f>W21*$AB$10</f>
        <v>40163.934240314695</v>
      </c>
      <c r="AC21" s="439">
        <f>W21*$AC$10</f>
        <v>95083.906406367765</v>
      </c>
    </row>
    <row r="22" spans="1:29" s="407" customFormat="1" ht="15" customHeight="1" outlineLevel="1">
      <c r="A22" s="408" t="s">
        <v>559</v>
      </c>
      <c r="B22" s="440"/>
      <c r="C22" s="401"/>
      <c r="D22" s="402"/>
      <c r="E22" s="403"/>
      <c r="F22" s="404"/>
      <c r="G22" s="401"/>
      <c r="H22" s="402"/>
      <c r="I22" s="405"/>
      <c r="J22" s="404"/>
      <c r="K22" s="401"/>
      <c r="L22" s="402"/>
      <c r="M22" s="403"/>
      <c r="N22" s="404"/>
      <c r="O22" s="401"/>
      <c r="P22" s="402"/>
      <c r="Q22" s="403"/>
      <c r="R22" s="404"/>
      <c r="S22" s="401"/>
      <c r="T22" s="402"/>
      <c r="U22" s="403"/>
      <c r="V22" s="404"/>
      <c r="W22" s="579"/>
      <c r="X22" s="368"/>
      <c r="Y22" s="368"/>
      <c r="Z22" s="368"/>
    </row>
    <row r="23" spans="1:29" s="407" customFormat="1" ht="15" customHeight="1" outlineLevel="1">
      <c r="A23" s="441" t="s">
        <v>551</v>
      </c>
      <c r="B23" s="442">
        <v>0.37</v>
      </c>
      <c r="C23" s="443">
        <f>(SUM(F14:F19))*$B$23</f>
        <v>6909.75</v>
      </c>
      <c r="D23" s="444"/>
      <c r="E23" s="373">
        <v>1</v>
      </c>
      <c r="F23" s="424">
        <f>C23*E23</f>
        <v>6909.75</v>
      </c>
      <c r="G23" s="443">
        <f>(SUM(J14:J19))*$B$23</f>
        <v>53379.9</v>
      </c>
      <c r="H23" s="444"/>
      <c r="I23" s="373">
        <v>1</v>
      </c>
      <c r="J23" s="424">
        <f>G23*I23</f>
        <v>53379.9</v>
      </c>
      <c r="K23" s="443">
        <f>(SUM(N14:N19))*$B$23</f>
        <v>56048.894999999997</v>
      </c>
      <c r="L23" s="444"/>
      <c r="M23" s="373">
        <v>1</v>
      </c>
      <c r="N23" s="424">
        <f>K23*M23</f>
        <v>56048.894999999997</v>
      </c>
      <c r="O23" s="443">
        <f>(SUM(R14:R19))*$B$23</f>
        <v>58851.339749999992</v>
      </c>
      <c r="P23" s="444"/>
      <c r="Q23" s="373">
        <v>1</v>
      </c>
      <c r="R23" s="424">
        <f>O23*Q23</f>
        <v>58851.339749999992</v>
      </c>
      <c r="S23" s="443">
        <f>(SUM(V14:V19))*$B$23</f>
        <v>10321.471321875002</v>
      </c>
      <c r="T23" s="444"/>
      <c r="U23" s="373">
        <v>1</v>
      </c>
      <c r="V23" s="424">
        <f>S23*U23</f>
        <v>10321.471321875002</v>
      </c>
      <c r="W23" s="581">
        <f>F23+J23+N23+V23+R23</f>
        <v>185511.35607187499</v>
      </c>
      <c r="X23" s="368"/>
      <c r="Y23" s="445"/>
      <c r="Z23" s="368"/>
    </row>
    <row r="24" spans="1:29" ht="15" customHeight="1" outlineLevel="1">
      <c r="A24" s="446"/>
      <c r="B24" s="447"/>
      <c r="C24" s="449"/>
      <c r="D24" s="450"/>
      <c r="E24" s="429"/>
      <c r="F24" s="448"/>
      <c r="G24" s="449"/>
      <c r="H24" s="450"/>
      <c r="I24" s="451"/>
      <c r="J24" s="448"/>
      <c r="K24" s="449"/>
      <c r="L24" s="450"/>
      <c r="M24" s="429"/>
      <c r="N24" s="448"/>
      <c r="O24" s="449"/>
      <c r="P24" s="450"/>
      <c r="Q24" s="429"/>
      <c r="R24" s="448"/>
      <c r="S24" s="449"/>
      <c r="T24" s="450"/>
      <c r="U24" s="429"/>
      <c r="V24" s="448"/>
      <c r="W24" s="583"/>
    </row>
    <row r="25" spans="1:29" s="459" customFormat="1" ht="18.3" outlineLevel="1">
      <c r="A25" s="452" t="s">
        <v>560</v>
      </c>
      <c r="B25" s="453"/>
      <c r="C25" s="455"/>
      <c r="D25" s="456"/>
      <c r="E25" s="457"/>
      <c r="F25" s="454">
        <f>F23</f>
        <v>6909.75</v>
      </c>
      <c r="G25" s="455"/>
      <c r="H25" s="456"/>
      <c r="I25" s="458"/>
      <c r="J25" s="454">
        <f>J23</f>
        <v>53379.9</v>
      </c>
      <c r="K25" s="455"/>
      <c r="L25" s="456"/>
      <c r="M25" s="457"/>
      <c r="N25" s="454">
        <f>N23</f>
        <v>56048.894999999997</v>
      </c>
      <c r="O25" s="455"/>
      <c r="P25" s="456"/>
      <c r="Q25" s="457"/>
      <c r="R25" s="454">
        <f>R23</f>
        <v>58851.339749999992</v>
      </c>
      <c r="S25" s="455"/>
      <c r="T25" s="456"/>
      <c r="U25" s="457"/>
      <c r="V25" s="454">
        <f>V23</f>
        <v>10321.471321875002</v>
      </c>
      <c r="W25" s="584">
        <f>W23</f>
        <v>185511.35607187499</v>
      </c>
      <c r="X25" s="438">
        <f>+W25*$X$12</f>
        <v>148409.08485750001</v>
      </c>
      <c r="Y25" s="438">
        <f>+W25*$Y$12</f>
        <v>18551.135607187502</v>
      </c>
      <c r="Z25" s="438">
        <f>+W25*$Z$12</f>
        <v>18551.135607187502</v>
      </c>
      <c r="AA25" s="439">
        <f>W25*$AA$10</f>
        <v>135469.65503260249</v>
      </c>
      <c r="AB25" s="439">
        <f>W25*$AB$10</f>
        <v>14860.655668916437</v>
      </c>
      <c r="AC25" s="439">
        <f>W25*$AC$10</f>
        <v>35181.045370356071</v>
      </c>
    </row>
    <row r="26" spans="1:29" s="462" customFormat="1" ht="15.6" outlineLevel="1">
      <c r="A26" s="408" t="s">
        <v>561</v>
      </c>
      <c r="B26" s="418"/>
      <c r="C26" s="460"/>
      <c r="D26" s="370"/>
      <c r="E26" s="461"/>
      <c r="F26" s="424"/>
      <c r="G26" s="460"/>
      <c r="H26" s="370"/>
      <c r="I26" s="405"/>
      <c r="J26" s="424"/>
      <c r="K26" s="460"/>
      <c r="L26" s="370"/>
      <c r="M26" s="461"/>
      <c r="N26" s="424"/>
      <c r="O26" s="460"/>
      <c r="P26" s="370"/>
      <c r="Q26" s="461"/>
      <c r="R26" s="424"/>
      <c r="S26" s="460"/>
      <c r="T26" s="370"/>
      <c r="U26" s="461"/>
      <c r="V26" s="424"/>
      <c r="W26" s="580"/>
      <c r="X26" s="368"/>
      <c r="Y26" s="368"/>
      <c r="Z26" s="368"/>
    </row>
    <row r="27" spans="1:29" s="462" customFormat="1" outlineLevel="1">
      <c r="A27" s="417" t="s">
        <v>562</v>
      </c>
      <c r="B27" s="418" t="s">
        <v>563</v>
      </c>
      <c r="C27" s="460">
        <v>10</v>
      </c>
      <c r="D27" s="370">
        <f>((1*10)*2)+((2*10)*2)+((0*10)*2)+((1*5)*2)+((1*5)*2)</f>
        <v>80</v>
      </c>
      <c r="E27" s="421">
        <v>1</v>
      </c>
      <c r="F27" s="424">
        <f t="shared" ref="F27:F29" si="19">C27*D27*E27</f>
        <v>800</v>
      </c>
      <c r="G27" s="460">
        <f>C27*$B$6</f>
        <v>10.5</v>
      </c>
      <c r="H27" s="370">
        <f>((1*10)*12)+((2*10)*12)+((1*10)*12)+((1*5)*12)+((1*5)*12)</f>
        <v>600</v>
      </c>
      <c r="I27" s="421">
        <v>1</v>
      </c>
      <c r="J27" s="424">
        <f t="shared" ref="J27:J29" si="20">G27*H27*I27</f>
        <v>6300</v>
      </c>
      <c r="K27" s="460">
        <f>G27*$B$6</f>
        <v>11.025</v>
      </c>
      <c r="L27" s="370">
        <f>((1*10)*12)+((2*10)*12)+((1*10)*12)+((1*5)*12)+((1*5)*12)</f>
        <v>600</v>
      </c>
      <c r="M27" s="421">
        <v>1</v>
      </c>
      <c r="N27" s="424">
        <f t="shared" ref="N27:N29" si="21">K27*L27*M27</f>
        <v>6615</v>
      </c>
      <c r="O27" s="460">
        <f>K27*$B$6</f>
        <v>11.576250000000002</v>
      </c>
      <c r="P27" s="370">
        <f>((1*10)*12)+((2*10)*12)+((1*10)*12)+((1*5)*12)+((1*5)*12)</f>
        <v>600</v>
      </c>
      <c r="Q27" s="421">
        <v>1</v>
      </c>
      <c r="R27" s="424">
        <f t="shared" ref="R27:R29" si="22">O27*P27*Q27</f>
        <v>6945.7500000000009</v>
      </c>
      <c r="S27" s="460">
        <f>O27*$B$6</f>
        <v>12.155062500000001</v>
      </c>
      <c r="T27" s="370">
        <f>((1*10)*2)+((2*10)*2)+((0*10)*2)+((1*5)*2)+((1*5)*2)</f>
        <v>80</v>
      </c>
      <c r="U27" s="421">
        <v>1</v>
      </c>
      <c r="V27" s="424">
        <f t="shared" ref="V27:V29" si="23">S27*T27*U27</f>
        <v>972.40500000000009</v>
      </c>
      <c r="W27" s="581">
        <f t="shared" ref="W27:W38" si="24">F27+J27+N27+V27+R27</f>
        <v>21633.155000000002</v>
      </c>
      <c r="X27" s="368">
        <f>+W27*$X$12</f>
        <v>17306.524000000001</v>
      </c>
      <c r="Y27" s="368">
        <f>+W27*$Y$12</f>
        <v>2163.3155000000002</v>
      </c>
      <c r="Z27" s="368">
        <f>+W27*$Z$12</f>
        <v>2163.3155000000002</v>
      </c>
    </row>
    <row r="28" spans="1:29" s="462" customFormat="1" ht="42.3" outlineLevel="1">
      <c r="A28" s="417" t="s">
        <v>564</v>
      </c>
      <c r="B28" s="418" t="s">
        <v>563</v>
      </c>
      <c r="C28" s="460">
        <v>10</v>
      </c>
      <c r="D28" s="370">
        <f>+(10*5)+(0*10)</f>
        <v>50</v>
      </c>
      <c r="E28" s="421">
        <v>1</v>
      </c>
      <c r="F28" s="424">
        <f t="shared" si="19"/>
        <v>500</v>
      </c>
      <c r="G28" s="460">
        <f t="shared" ref="G28:G29" si="25">C28*$B$6</f>
        <v>10.5</v>
      </c>
      <c r="H28" s="370">
        <f>+(10*5)+(35*10)</f>
        <v>400</v>
      </c>
      <c r="I28" s="421">
        <v>1</v>
      </c>
      <c r="J28" s="424">
        <f t="shared" si="20"/>
        <v>4200</v>
      </c>
      <c r="K28" s="460">
        <f t="shared" ref="K28:K29" si="26">G28*$B$6</f>
        <v>11.025</v>
      </c>
      <c r="L28" s="370">
        <f>+(10*5)+(35*10)</f>
        <v>400</v>
      </c>
      <c r="M28" s="421">
        <v>1</v>
      </c>
      <c r="N28" s="424">
        <f t="shared" si="21"/>
        <v>4410</v>
      </c>
      <c r="O28" s="460">
        <f t="shared" ref="O28:O29" si="27">K28*$B$6</f>
        <v>11.576250000000002</v>
      </c>
      <c r="P28" s="370">
        <f>+(10*5)+(35*10)</f>
        <v>400</v>
      </c>
      <c r="Q28" s="421">
        <v>1</v>
      </c>
      <c r="R28" s="424">
        <f t="shared" si="22"/>
        <v>4630.5000000000009</v>
      </c>
      <c r="S28" s="460">
        <f t="shared" ref="S28:S29" si="28">O28*$B$6</f>
        <v>12.155062500000001</v>
      </c>
      <c r="T28" s="370">
        <v>0</v>
      </c>
      <c r="U28" s="421">
        <v>1</v>
      </c>
      <c r="V28" s="424">
        <f t="shared" si="23"/>
        <v>0</v>
      </c>
      <c r="W28" s="581">
        <f t="shared" si="24"/>
        <v>13740.5</v>
      </c>
      <c r="X28" s="368">
        <f>+W28</f>
        <v>13740.5</v>
      </c>
      <c r="Y28" s="368"/>
      <c r="Z28" s="368"/>
    </row>
    <row r="29" spans="1:29" s="462" customFormat="1" ht="42.3" outlineLevel="1">
      <c r="A29" s="417" t="s">
        <v>565</v>
      </c>
      <c r="B29" s="418" t="s">
        <v>563</v>
      </c>
      <c r="C29" s="460">
        <v>10</v>
      </c>
      <c r="D29" s="370">
        <f>8*10</f>
        <v>80</v>
      </c>
      <c r="E29" s="421">
        <v>1</v>
      </c>
      <c r="F29" s="424">
        <f t="shared" si="19"/>
        <v>800</v>
      </c>
      <c r="G29" s="460">
        <f t="shared" si="25"/>
        <v>10.5</v>
      </c>
      <c r="H29" s="370">
        <f>8*10*12</f>
        <v>960</v>
      </c>
      <c r="I29" s="421">
        <v>1</v>
      </c>
      <c r="J29" s="424">
        <f t="shared" si="20"/>
        <v>10080</v>
      </c>
      <c r="K29" s="460">
        <f t="shared" si="26"/>
        <v>11.025</v>
      </c>
      <c r="L29" s="370">
        <f>8*10*12</f>
        <v>960</v>
      </c>
      <c r="M29" s="421">
        <v>1</v>
      </c>
      <c r="N29" s="424">
        <f t="shared" si="21"/>
        <v>10584</v>
      </c>
      <c r="O29" s="460">
        <f t="shared" si="27"/>
        <v>11.576250000000002</v>
      </c>
      <c r="P29" s="370">
        <f>8*10*12</f>
        <v>960</v>
      </c>
      <c r="Q29" s="421">
        <v>1</v>
      </c>
      <c r="R29" s="424">
        <f t="shared" si="22"/>
        <v>11113.2</v>
      </c>
      <c r="S29" s="460">
        <f t="shared" si="28"/>
        <v>12.155062500000001</v>
      </c>
      <c r="T29" s="370">
        <v>0</v>
      </c>
      <c r="U29" s="421">
        <v>1</v>
      </c>
      <c r="V29" s="424">
        <f t="shared" si="23"/>
        <v>0</v>
      </c>
      <c r="W29" s="581">
        <f t="shared" si="24"/>
        <v>32577.200000000001</v>
      </c>
      <c r="X29" s="368"/>
      <c r="Y29" s="368"/>
      <c r="Z29" s="368">
        <f>+W29</f>
        <v>32577.200000000001</v>
      </c>
    </row>
    <row r="30" spans="1:29" s="462" customFormat="1" ht="15.6" outlineLevel="1">
      <c r="A30" s="408" t="s">
        <v>566</v>
      </c>
      <c r="B30" s="418"/>
      <c r="C30" s="460"/>
      <c r="D30" s="370"/>
      <c r="E30" s="421"/>
      <c r="F30" s="424"/>
      <c r="G30" s="460"/>
      <c r="H30" s="370"/>
      <c r="I30" s="421"/>
      <c r="J30" s="424"/>
      <c r="K30" s="460"/>
      <c r="L30" s="370"/>
      <c r="M30" s="421"/>
      <c r="N30" s="424"/>
      <c r="O30" s="460"/>
      <c r="P30" s="370"/>
      <c r="Q30" s="421"/>
      <c r="R30" s="424"/>
      <c r="S30" s="460"/>
      <c r="T30" s="370"/>
      <c r="U30" s="421"/>
      <c r="V30" s="424"/>
      <c r="W30" s="581">
        <f t="shared" si="24"/>
        <v>0</v>
      </c>
      <c r="X30" s="368"/>
      <c r="Y30" s="368"/>
      <c r="Z30" s="368"/>
    </row>
    <row r="31" spans="1:29" s="462" customFormat="1" outlineLevel="1">
      <c r="A31" s="417" t="s">
        <v>567</v>
      </c>
      <c r="B31" s="418" t="s">
        <v>563</v>
      </c>
      <c r="C31" s="460">
        <v>20</v>
      </c>
      <c r="D31" s="370">
        <f>+D27</f>
        <v>80</v>
      </c>
      <c r="E31" s="421">
        <v>1</v>
      </c>
      <c r="F31" s="424">
        <f t="shared" ref="F31:F33" si="29">C31*D31*E31</f>
        <v>1600</v>
      </c>
      <c r="G31" s="460">
        <f t="shared" ref="G31:G33" si="30">C31*$B$6</f>
        <v>21</v>
      </c>
      <c r="H31" s="370">
        <f>+H27</f>
        <v>600</v>
      </c>
      <c r="I31" s="421">
        <v>1</v>
      </c>
      <c r="J31" s="424">
        <f>G31*H31*I31</f>
        <v>12600</v>
      </c>
      <c r="K31" s="460">
        <f t="shared" ref="K31:K33" si="31">G31*$B$6</f>
        <v>22.05</v>
      </c>
      <c r="L31" s="370">
        <f>+L27</f>
        <v>600</v>
      </c>
      <c r="M31" s="421">
        <v>1</v>
      </c>
      <c r="N31" s="424">
        <f>K31*L31*M31</f>
        <v>13230</v>
      </c>
      <c r="O31" s="460">
        <f t="shared" ref="O31:O33" si="32">K31*$B$6</f>
        <v>23.152500000000003</v>
      </c>
      <c r="P31" s="370">
        <f>+P27</f>
        <v>600</v>
      </c>
      <c r="Q31" s="421">
        <v>1</v>
      </c>
      <c r="R31" s="424">
        <f t="shared" ref="R31:R33" si="33">O31*P31*Q31</f>
        <v>13891.500000000002</v>
      </c>
      <c r="S31" s="460">
        <f t="shared" ref="S31:S33" si="34">O31*$B$6</f>
        <v>24.310125000000003</v>
      </c>
      <c r="T31" s="370">
        <f>+T27</f>
        <v>80</v>
      </c>
      <c r="U31" s="421">
        <v>1</v>
      </c>
      <c r="V31" s="424">
        <f t="shared" ref="V31:V33" si="35">S31*T31*U31</f>
        <v>1944.8100000000002</v>
      </c>
      <c r="W31" s="581">
        <f t="shared" si="24"/>
        <v>43266.310000000005</v>
      </c>
      <c r="X31" s="368">
        <f>+W31*$X$12</f>
        <v>34613.048000000003</v>
      </c>
      <c r="Y31" s="368">
        <f>+W31*$Y$12</f>
        <v>4326.6310000000003</v>
      </c>
      <c r="Z31" s="368">
        <f>+W31*$Z$12</f>
        <v>4326.6310000000003</v>
      </c>
    </row>
    <row r="32" spans="1:29" s="462" customFormat="1" ht="28.2" outlineLevel="1">
      <c r="A32" s="417" t="s">
        <v>568</v>
      </c>
      <c r="B32" s="418" t="s">
        <v>563</v>
      </c>
      <c r="C32" s="460">
        <v>20</v>
      </c>
      <c r="D32" s="370">
        <f>+D28</f>
        <v>50</v>
      </c>
      <c r="E32" s="421">
        <v>1</v>
      </c>
      <c r="F32" s="424">
        <f t="shared" si="29"/>
        <v>1000</v>
      </c>
      <c r="G32" s="460">
        <f t="shared" si="30"/>
        <v>21</v>
      </c>
      <c r="H32" s="370">
        <f>+H28</f>
        <v>400</v>
      </c>
      <c r="I32" s="421">
        <v>1</v>
      </c>
      <c r="J32" s="424">
        <f>G32*H32*I32</f>
        <v>8400</v>
      </c>
      <c r="K32" s="460">
        <f t="shared" si="31"/>
        <v>22.05</v>
      </c>
      <c r="L32" s="370">
        <f>+L28</f>
        <v>400</v>
      </c>
      <c r="M32" s="421">
        <v>1</v>
      </c>
      <c r="N32" s="424">
        <f>K32*L32*M32</f>
        <v>8820</v>
      </c>
      <c r="O32" s="460">
        <f t="shared" si="32"/>
        <v>23.152500000000003</v>
      </c>
      <c r="P32" s="370">
        <f>+P28</f>
        <v>400</v>
      </c>
      <c r="Q32" s="421">
        <v>1</v>
      </c>
      <c r="R32" s="424">
        <f t="shared" si="33"/>
        <v>9261.0000000000018</v>
      </c>
      <c r="S32" s="460">
        <f t="shared" si="34"/>
        <v>24.310125000000003</v>
      </c>
      <c r="T32" s="370">
        <v>0</v>
      </c>
      <c r="U32" s="421">
        <v>1</v>
      </c>
      <c r="V32" s="424">
        <f t="shared" si="35"/>
        <v>0</v>
      </c>
      <c r="W32" s="581">
        <f t="shared" si="24"/>
        <v>27481</v>
      </c>
      <c r="X32" s="368">
        <f>+W32</f>
        <v>27481</v>
      </c>
      <c r="Y32" s="368"/>
      <c r="Z32" s="368"/>
    </row>
    <row r="33" spans="1:29" s="462" customFormat="1" ht="28.2" outlineLevel="1">
      <c r="A33" s="417" t="s">
        <v>569</v>
      </c>
      <c r="B33" s="418" t="s">
        <v>563</v>
      </c>
      <c r="C33" s="460">
        <v>20</v>
      </c>
      <c r="D33" s="370">
        <f>+D29</f>
        <v>80</v>
      </c>
      <c r="E33" s="421">
        <v>1</v>
      </c>
      <c r="F33" s="424">
        <f t="shared" si="29"/>
        <v>1600</v>
      </c>
      <c r="G33" s="460">
        <f t="shared" si="30"/>
        <v>21</v>
      </c>
      <c r="H33" s="370">
        <f>+H29</f>
        <v>960</v>
      </c>
      <c r="I33" s="421">
        <v>1</v>
      </c>
      <c r="J33" s="424">
        <f>G33*H33*I33</f>
        <v>20160</v>
      </c>
      <c r="K33" s="460">
        <f t="shared" si="31"/>
        <v>22.05</v>
      </c>
      <c r="L33" s="370">
        <f>+L29</f>
        <v>960</v>
      </c>
      <c r="M33" s="421">
        <v>1</v>
      </c>
      <c r="N33" s="424">
        <f>K33*L33*M33</f>
        <v>21168</v>
      </c>
      <c r="O33" s="460">
        <f t="shared" si="32"/>
        <v>23.152500000000003</v>
      </c>
      <c r="P33" s="370">
        <f>+P29</f>
        <v>960</v>
      </c>
      <c r="Q33" s="421">
        <v>1</v>
      </c>
      <c r="R33" s="424">
        <f t="shared" si="33"/>
        <v>22226.400000000001</v>
      </c>
      <c r="S33" s="460">
        <f t="shared" si="34"/>
        <v>24.310125000000003</v>
      </c>
      <c r="T33" s="370">
        <v>0</v>
      </c>
      <c r="U33" s="421">
        <v>1</v>
      </c>
      <c r="V33" s="424">
        <f t="shared" si="35"/>
        <v>0</v>
      </c>
      <c r="W33" s="581">
        <f t="shared" si="24"/>
        <v>65154.400000000001</v>
      </c>
      <c r="X33" s="368"/>
      <c r="Y33" s="368"/>
      <c r="Z33" s="368">
        <f>+W33</f>
        <v>65154.400000000001</v>
      </c>
    </row>
    <row r="34" spans="1:29" s="462" customFormat="1" ht="15.6" outlineLevel="1">
      <c r="A34" s="408" t="s">
        <v>570</v>
      </c>
      <c r="B34" s="418"/>
      <c r="C34" s="460"/>
      <c r="D34" s="370"/>
      <c r="E34" s="421"/>
      <c r="F34" s="424"/>
      <c r="G34" s="460"/>
      <c r="H34" s="370"/>
      <c r="I34" s="421"/>
      <c r="J34" s="424"/>
      <c r="K34" s="460"/>
      <c r="L34" s="370"/>
      <c r="M34" s="421"/>
      <c r="N34" s="424"/>
      <c r="O34" s="460"/>
      <c r="P34" s="370"/>
      <c r="Q34" s="421"/>
      <c r="R34" s="424"/>
      <c r="S34" s="460"/>
      <c r="T34" s="370"/>
      <c r="U34" s="421"/>
      <c r="V34" s="424"/>
      <c r="W34" s="581">
        <f t="shared" si="24"/>
        <v>0</v>
      </c>
      <c r="X34" s="368"/>
      <c r="Y34" s="368"/>
      <c r="Z34" s="368"/>
    </row>
    <row r="35" spans="1:29" s="462" customFormat="1" outlineLevel="1">
      <c r="A35" s="417" t="s">
        <v>571</v>
      </c>
      <c r="B35" s="418" t="s">
        <v>563</v>
      </c>
      <c r="C35" s="460">
        <v>45</v>
      </c>
      <c r="D35" s="370">
        <v>80</v>
      </c>
      <c r="E35" s="421">
        <v>1</v>
      </c>
      <c r="F35" s="424">
        <f t="shared" ref="F35:F37" si="36">C35*D35*E35</f>
        <v>3600</v>
      </c>
      <c r="G35" s="460">
        <f t="shared" ref="G35:G38" si="37">C35*$B$6</f>
        <v>47.25</v>
      </c>
      <c r="H35" s="370">
        <v>450</v>
      </c>
      <c r="I35" s="421">
        <v>1</v>
      </c>
      <c r="J35" s="424">
        <f t="shared" ref="J35:J38" si="38">G35*H35*I35</f>
        <v>21262.5</v>
      </c>
      <c r="K35" s="460">
        <f t="shared" ref="K35:K38" si="39">G35*$B$6</f>
        <v>49.612500000000004</v>
      </c>
      <c r="L35" s="370">
        <v>450</v>
      </c>
      <c r="M35" s="421">
        <v>1</v>
      </c>
      <c r="N35" s="424">
        <f t="shared" ref="N35:N38" si="40">K35*L35*M35</f>
        <v>22325.625000000004</v>
      </c>
      <c r="O35" s="460">
        <f t="shared" ref="O35:O38" si="41">K35*$B$6</f>
        <v>52.093125000000008</v>
      </c>
      <c r="P35" s="370">
        <v>450</v>
      </c>
      <c r="Q35" s="421">
        <v>1</v>
      </c>
      <c r="R35" s="424">
        <f t="shared" ref="R35:R38" si="42">O35*P35*Q35</f>
        <v>23441.906250000004</v>
      </c>
      <c r="S35" s="460">
        <f t="shared" ref="S35:S38" si="43">O35*$B$6</f>
        <v>54.697781250000013</v>
      </c>
      <c r="T35" s="370">
        <v>80</v>
      </c>
      <c r="U35" s="421">
        <v>1</v>
      </c>
      <c r="V35" s="424">
        <f t="shared" ref="V35:V38" si="44">S35*T35*U35</f>
        <v>4375.8225000000011</v>
      </c>
      <c r="W35" s="581">
        <f t="shared" si="24"/>
        <v>75005.853750000009</v>
      </c>
      <c r="X35" s="368">
        <f>+W35*$X$12</f>
        <v>60004.683000000012</v>
      </c>
      <c r="Y35" s="368">
        <f>+W35*$Y$12</f>
        <v>7500.5853750000015</v>
      </c>
      <c r="Z35" s="368">
        <f>+W35*$Z$12</f>
        <v>7500.5853750000015</v>
      </c>
    </row>
    <row r="36" spans="1:29" s="462" customFormat="1" ht="42.3" outlineLevel="1">
      <c r="A36" s="417" t="s">
        <v>572</v>
      </c>
      <c r="B36" s="418" t="s">
        <v>563</v>
      </c>
      <c r="C36" s="460">
        <v>45</v>
      </c>
      <c r="D36" s="370">
        <v>50</v>
      </c>
      <c r="E36" s="421">
        <v>1</v>
      </c>
      <c r="F36" s="424">
        <f t="shared" si="36"/>
        <v>2250</v>
      </c>
      <c r="G36" s="460">
        <f t="shared" si="37"/>
        <v>47.25</v>
      </c>
      <c r="H36" s="370">
        <v>300</v>
      </c>
      <c r="I36" s="421">
        <v>1</v>
      </c>
      <c r="J36" s="424">
        <f t="shared" si="38"/>
        <v>14175</v>
      </c>
      <c r="K36" s="460">
        <f t="shared" si="39"/>
        <v>49.612500000000004</v>
      </c>
      <c r="L36" s="370">
        <v>300</v>
      </c>
      <c r="M36" s="421">
        <v>1</v>
      </c>
      <c r="N36" s="424">
        <f t="shared" si="40"/>
        <v>14883.750000000002</v>
      </c>
      <c r="O36" s="460">
        <f t="shared" si="41"/>
        <v>52.093125000000008</v>
      </c>
      <c r="P36" s="370">
        <v>300</v>
      </c>
      <c r="Q36" s="421">
        <v>1</v>
      </c>
      <c r="R36" s="424">
        <f t="shared" si="42"/>
        <v>15627.937500000002</v>
      </c>
      <c r="S36" s="460">
        <f t="shared" si="43"/>
        <v>54.697781250000013</v>
      </c>
      <c r="T36" s="370">
        <v>0</v>
      </c>
      <c r="U36" s="421">
        <v>1</v>
      </c>
      <c r="V36" s="424">
        <f t="shared" si="44"/>
        <v>0</v>
      </c>
      <c r="W36" s="581">
        <f t="shared" si="24"/>
        <v>46936.6875</v>
      </c>
      <c r="X36" s="368">
        <f>+W36</f>
        <v>46936.6875</v>
      </c>
      <c r="Y36" s="368"/>
      <c r="Z36" s="368"/>
    </row>
    <row r="37" spans="1:29" s="462" customFormat="1" ht="28.2" outlineLevel="1">
      <c r="A37" s="417" t="s">
        <v>573</v>
      </c>
      <c r="B37" s="418" t="s">
        <v>563</v>
      </c>
      <c r="C37" s="460">
        <v>45</v>
      </c>
      <c r="D37" s="370">
        <v>80</v>
      </c>
      <c r="E37" s="421">
        <v>1</v>
      </c>
      <c r="F37" s="424">
        <f t="shared" si="36"/>
        <v>3600</v>
      </c>
      <c r="G37" s="460">
        <f t="shared" si="37"/>
        <v>47.25</v>
      </c>
      <c r="H37" s="370">
        <v>800</v>
      </c>
      <c r="I37" s="421">
        <v>1</v>
      </c>
      <c r="J37" s="424">
        <f t="shared" si="38"/>
        <v>37800</v>
      </c>
      <c r="K37" s="460">
        <f t="shared" si="39"/>
        <v>49.612500000000004</v>
      </c>
      <c r="L37" s="370">
        <v>800</v>
      </c>
      <c r="M37" s="421">
        <v>1</v>
      </c>
      <c r="N37" s="424">
        <f t="shared" si="40"/>
        <v>39690</v>
      </c>
      <c r="O37" s="460">
        <f t="shared" si="41"/>
        <v>52.093125000000008</v>
      </c>
      <c r="P37" s="370">
        <v>800</v>
      </c>
      <c r="Q37" s="421">
        <v>1</v>
      </c>
      <c r="R37" s="424">
        <f t="shared" si="42"/>
        <v>41674.500000000007</v>
      </c>
      <c r="S37" s="460">
        <f t="shared" si="43"/>
        <v>54.697781250000013</v>
      </c>
      <c r="T37" s="370">
        <v>0</v>
      </c>
      <c r="U37" s="421">
        <v>1</v>
      </c>
      <c r="V37" s="424">
        <f t="shared" si="44"/>
        <v>0</v>
      </c>
      <c r="W37" s="581">
        <f t="shared" si="24"/>
        <v>122764.5</v>
      </c>
      <c r="X37" s="368"/>
      <c r="Y37" s="368"/>
      <c r="Z37" s="368">
        <f>+W37</f>
        <v>122764.5</v>
      </c>
    </row>
    <row r="38" spans="1:29" outlineLevel="1">
      <c r="A38" s="417" t="s">
        <v>574</v>
      </c>
      <c r="B38" s="418" t="s">
        <v>563</v>
      </c>
      <c r="C38" s="425">
        <v>120</v>
      </c>
      <c r="D38" s="426">
        <f>3*5*4</f>
        <v>60</v>
      </c>
      <c r="E38" s="421">
        <v>1</v>
      </c>
      <c r="F38" s="424">
        <f>C38*D38*E38</f>
        <v>7200</v>
      </c>
      <c r="G38" s="425">
        <f t="shared" si="37"/>
        <v>126</v>
      </c>
      <c r="H38" s="426">
        <f>9*5*4</f>
        <v>180</v>
      </c>
      <c r="I38" s="421">
        <v>1</v>
      </c>
      <c r="J38" s="424">
        <f t="shared" si="38"/>
        <v>22680</v>
      </c>
      <c r="K38" s="425">
        <f t="shared" si="39"/>
        <v>132.30000000000001</v>
      </c>
      <c r="L38" s="426">
        <f>9*5*4</f>
        <v>180</v>
      </c>
      <c r="M38" s="421">
        <v>1</v>
      </c>
      <c r="N38" s="424">
        <f t="shared" si="40"/>
        <v>23814.000000000004</v>
      </c>
      <c r="O38" s="425">
        <f t="shared" si="41"/>
        <v>138.91500000000002</v>
      </c>
      <c r="P38" s="426">
        <f>9*5*4</f>
        <v>180</v>
      </c>
      <c r="Q38" s="421">
        <v>1</v>
      </c>
      <c r="R38" s="424">
        <f t="shared" si="42"/>
        <v>25004.700000000004</v>
      </c>
      <c r="S38" s="425">
        <f t="shared" si="43"/>
        <v>145.86075000000002</v>
      </c>
      <c r="T38" s="426">
        <f>3*5*4</f>
        <v>60</v>
      </c>
      <c r="U38" s="421">
        <v>1</v>
      </c>
      <c r="V38" s="424">
        <f t="shared" si="44"/>
        <v>8751.6450000000023</v>
      </c>
      <c r="W38" s="581">
        <f t="shared" si="24"/>
        <v>87450.345000000001</v>
      </c>
      <c r="X38" s="368">
        <f>+W38*$X$12</f>
        <v>69960.275999999998</v>
      </c>
      <c r="Y38" s="368">
        <f>+W38*$Y$12</f>
        <v>8745.0344999999998</v>
      </c>
      <c r="Z38" s="368">
        <f>+W38*$Z$12</f>
        <v>8745.0344999999998</v>
      </c>
    </row>
    <row r="39" spans="1:29" ht="18.3">
      <c r="A39" s="463" t="s">
        <v>575</v>
      </c>
      <c r="B39" s="431"/>
      <c r="C39" s="433"/>
      <c r="D39" s="464"/>
      <c r="E39" s="435"/>
      <c r="F39" s="432">
        <f>SUM(F26:F38)</f>
        <v>22950</v>
      </c>
      <c r="G39" s="433"/>
      <c r="H39" s="464"/>
      <c r="I39" s="465"/>
      <c r="J39" s="432">
        <f>SUM(J26:J38)</f>
        <v>157657.5</v>
      </c>
      <c r="K39" s="433"/>
      <c r="L39" s="464"/>
      <c r="M39" s="435"/>
      <c r="N39" s="432">
        <f>SUM(N26:N38)</f>
        <v>165540.375</v>
      </c>
      <c r="O39" s="433"/>
      <c r="P39" s="464"/>
      <c r="Q39" s="435"/>
      <c r="R39" s="432">
        <f>SUM(R26:R38)</f>
        <v>173817.39375000002</v>
      </c>
      <c r="S39" s="433"/>
      <c r="T39" s="464"/>
      <c r="U39" s="435"/>
      <c r="V39" s="432">
        <f>SUM(V26:V38)</f>
        <v>16044.682500000003</v>
      </c>
      <c r="W39" s="582">
        <f>SUM(W26:W38)</f>
        <v>536009.95125000004</v>
      </c>
      <c r="X39" s="384"/>
      <c r="Y39" s="384"/>
      <c r="Z39" s="384"/>
      <c r="AA39" s="439">
        <f>W39*$AA$10</f>
        <v>391421.23009303096</v>
      </c>
      <c r="AB39" s="439">
        <f>W39*$AB$10</f>
        <v>42937.852912642062</v>
      </c>
      <c r="AC39" s="439">
        <f>W39*$AC$10</f>
        <v>101650.86824432699</v>
      </c>
    </row>
    <row r="40" spans="1:29" ht="15.6" outlineLevel="1">
      <c r="A40" s="408" t="s">
        <v>58</v>
      </c>
      <c r="B40" s="466"/>
      <c r="D40" s="467"/>
      <c r="E40" s="468"/>
      <c r="F40" s="469"/>
      <c r="H40" s="467"/>
      <c r="I40" s="470"/>
      <c r="J40" s="469"/>
      <c r="L40" s="467"/>
      <c r="M40" s="468"/>
      <c r="N40" s="469"/>
      <c r="P40" s="467"/>
      <c r="Q40" s="468"/>
      <c r="R40" s="469"/>
      <c r="T40" s="467"/>
      <c r="U40" s="468"/>
      <c r="V40" s="469"/>
      <c r="W40" s="581"/>
    </row>
    <row r="41" spans="1:29" ht="15.6" outlineLevel="1">
      <c r="A41" s="471" t="s">
        <v>576</v>
      </c>
      <c r="B41" s="418" t="s">
        <v>563</v>
      </c>
      <c r="C41" s="425">
        <v>40</v>
      </c>
      <c r="D41" s="472">
        <f>10*10*1</f>
        <v>100</v>
      </c>
      <c r="E41" s="421">
        <v>1</v>
      </c>
      <c r="F41" s="424">
        <f>C41*D41*E41</f>
        <v>4000</v>
      </c>
      <c r="G41" s="425">
        <f t="shared" ref="G41:G46" si="45">C41*$B$6</f>
        <v>42</v>
      </c>
      <c r="H41" s="426">
        <f>10*10*11</f>
        <v>1100</v>
      </c>
      <c r="I41" s="421">
        <v>1</v>
      </c>
      <c r="J41" s="424">
        <f>G41*H41*I41</f>
        <v>46200</v>
      </c>
      <c r="K41" s="425">
        <f t="shared" ref="K41:K46" si="46">G41*$B$6</f>
        <v>44.1</v>
      </c>
      <c r="L41" s="426">
        <f>10*10*11</f>
        <v>1100</v>
      </c>
      <c r="M41" s="421">
        <v>1</v>
      </c>
      <c r="N41" s="424">
        <f>K41*L41*M41</f>
        <v>48510</v>
      </c>
      <c r="O41" s="425">
        <f t="shared" ref="O41:O46" si="47">K41*$B$6</f>
        <v>46.305000000000007</v>
      </c>
      <c r="P41" s="426">
        <f>10*10*11</f>
        <v>1100</v>
      </c>
      <c r="Q41" s="421">
        <v>1</v>
      </c>
      <c r="R41" s="424">
        <f>O41*P41*Q41</f>
        <v>50935.500000000007</v>
      </c>
      <c r="S41" s="425">
        <f t="shared" ref="S41:S46" si="48">O41*$B$6</f>
        <v>48.620250000000006</v>
      </c>
      <c r="T41" s="472">
        <v>0</v>
      </c>
      <c r="U41" s="421">
        <v>1</v>
      </c>
      <c r="V41" s="424">
        <f>S41*T41*U41</f>
        <v>0</v>
      </c>
      <c r="W41" s="581">
        <f t="shared" ref="W41:W46" si="49">F41+J41+N41+V41+R41</f>
        <v>149645.5</v>
      </c>
      <c r="X41" s="368">
        <f>+W41</f>
        <v>149645.5</v>
      </c>
    </row>
    <row r="42" spans="1:29" ht="15.6" outlineLevel="1">
      <c r="A42" s="471" t="s">
        <v>577</v>
      </c>
      <c r="B42" s="418" t="s">
        <v>563</v>
      </c>
      <c r="C42" s="425">
        <v>35</v>
      </c>
      <c r="D42" s="472">
        <v>0</v>
      </c>
      <c r="E42" s="421">
        <v>1</v>
      </c>
      <c r="F42" s="424">
        <f t="shared" ref="F42:F46" si="50">C42*D42*E42</f>
        <v>0</v>
      </c>
      <c r="G42" s="425">
        <f t="shared" si="45"/>
        <v>36.75</v>
      </c>
      <c r="H42" s="426">
        <f>35*10*11</f>
        <v>3850</v>
      </c>
      <c r="I42" s="421">
        <v>1</v>
      </c>
      <c r="J42" s="424">
        <f t="shared" ref="J42:J46" si="51">G42*H42*I42</f>
        <v>141487.5</v>
      </c>
      <c r="K42" s="425">
        <f t="shared" si="46"/>
        <v>38.587499999999999</v>
      </c>
      <c r="L42" s="426">
        <f>35*10*11</f>
        <v>3850</v>
      </c>
      <c r="M42" s="421">
        <v>1</v>
      </c>
      <c r="N42" s="424">
        <f t="shared" ref="N42:N46" si="52">K42*L42*M42</f>
        <v>148561.875</v>
      </c>
      <c r="O42" s="425">
        <f t="shared" si="47"/>
        <v>40.516874999999999</v>
      </c>
      <c r="P42" s="426">
        <f>35*10*11</f>
        <v>3850</v>
      </c>
      <c r="Q42" s="421">
        <v>1</v>
      </c>
      <c r="R42" s="424">
        <f t="shared" ref="R42:R46" si="53">O42*P42*Q42</f>
        <v>155989.96875</v>
      </c>
      <c r="S42" s="425">
        <f t="shared" si="48"/>
        <v>42.542718749999999</v>
      </c>
      <c r="T42" s="472">
        <v>0</v>
      </c>
      <c r="U42" s="421">
        <v>1</v>
      </c>
      <c r="V42" s="424">
        <f t="shared" ref="V42:V46" si="54">S42*T42*U42</f>
        <v>0</v>
      </c>
      <c r="W42" s="581">
        <f t="shared" si="49"/>
        <v>446039.34375</v>
      </c>
      <c r="X42" s="368">
        <f>+W42</f>
        <v>446039.34375</v>
      </c>
    </row>
    <row r="43" spans="1:29" ht="15.6" outlineLevel="1">
      <c r="A43" s="471" t="s">
        <v>578</v>
      </c>
      <c r="B43" s="418" t="s">
        <v>563</v>
      </c>
      <c r="C43" s="425">
        <v>55</v>
      </c>
      <c r="D43" s="472">
        <f>5*1</f>
        <v>5</v>
      </c>
      <c r="E43" s="421">
        <v>1</v>
      </c>
      <c r="F43" s="424">
        <f>C43*D43*E43</f>
        <v>275</v>
      </c>
      <c r="G43" s="425">
        <f>C43*$B$6</f>
        <v>57.75</v>
      </c>
      <c r="H43" s="426">
        <f>5*11</f>
        <v>55</v>
      </c>
      <c r="I43" s="421">
        <v>1</v>
      </c>
      <c r="J43" s="424">
        <f>G43*H43*I43</f>
        <v>3176.25</v>
      </c>
      <c r="K43" s="425">
        <f>G43*$B$6</f>
        <v>60.637500000000003</v>
      </c>
      <c r="L43" s="426">
        <f>5*11</f>
        <v>55</v>
      </c>
      <c r="M43" s="421">
        <v>1</v>
      </c>
      <c r="N43" s="424">
        <f>K43*L43*M43</f>
        <v>3335.0625</v>
      </c>
      <c r="O43" s="425">
        <f>K43*$B$6</f>
        <v>63.669375000000002</v>
      </c>
      <c r="P43" s="426">
        <f>5*11</f>
        <v>55</v>
      </c>
      <c r="Q43" s="421">
        <v>1</v>
      </c>
      <c r="R43" s="424">
        <f>O43*P43*Q43</f>
        <v>3501.8156250000002</v>
      </c>
      <c r="S43" s="425">
        <f>O43*$B$6</f>
        <v>66.852843750000005</v>
      </c>
      <c r="T43" s="472">
        <v>0</v>
      </c>
      <c r="U43" s="421">
        <v>1</v>
      </c>
      <c r="V43" s="424">
        <f>S43*T43*U43</f>
        <v>0</v>
      </c>
      <c r="W43" s="581">
        <f t="shared" si="49"/>
        <v>10288.128124999999</v>
      </c>
      <c r="X43" s="368">
        <f>+W43</f>
        <v>10288.128124999999</v>
      </c>
    </row>
    <row r="44" spans="1:29" ht="15.6" outlineLevel="1">
      <c r="A44" s="471" t="s">
        <v>579</v>
      </c>
      <c r="B44" s="418" t="s">
        <v>563</v>
      </c>
      <c r="C44" s="425">
        <v>55</v>
      </c>
      <c r="D44" s="472">
        <f>5*1</f>
        <v>5</v>
      </c>
      <c r="E44" s="421">
        <v>1</v>
      </c>
      <c r="F44" s="424">
        <f>C44*D44*E44</f>
        <v>275</v>
      </c>
      <c r="G44" s="425">
        <f>C44*$B$6</f>
        <v>57.75</v>
      </c>
      <c r="H44" s="426">
        <f>5*11</f>
        <v>55</v>
      </c>
      <c r="I44" s="421">
        <v>1</v>
      </c>
      <c r="J44" s="424">
        <f>G44*H44*I44</f>
        <v>3176.25</v>
      </c>
      <c r="K44" s="425">
        <f>G44*$B$6</f>
        <v>60.637500000000003</v>
      </c>
      <c r="L44" s="426">
        <f>5*11</f>
        <v>55</v>
      </c>
      <c r="M44" s="421">
        <v>1</v>
      </c>
      <c r="N44" s="424">
        <f>K44*L44*M44</f>
        <v>3335.0625</v>
      </c>
      <c r="O44" s="425">
        <f>K44*$B$6</f>
        <v>63.669375000000002</v>
      </c>
      <c r="P44" s="426">
        <f>5*11</f>
        <v>55</v>
      </c>
      <c r="Q44" s="421">
        <v>1</v>
      </c>
      <c r="R44" s="424">
        <f>O44*P44*Q44</f>
        <v>3501.8156250000002</v>
      </c>
      <c r="S44" s="425">
        <f>O44*$B$6</f>
        <v>66.852843750000005</v>
      </c>
      <c r="T44" s="472">
        <v>0</v>
      </c>
      <c r="U44" s="421">
        <v>1</v>
      </c>
      <c r="V44" s="424">
        <f>S44*T44*U44</f>
        <v>0</v>
      </c>
      <c r="W44" s="581">
        <f t="shared" si="49"/>
        <v>10288.128124999999</v>
      </c>
      <c r="X44" s="368">
        <f>+W44</f>
        <v>10288.128124999999</v>
      </c>
    </row>
    <row r="45" spans="1:29" ht="15.6" outlineLevel="1">
      <c r="A45" s="471" t="s">
        <v>580</v>
      </c>
      <c r="B45" s="418" t="s">
        <v>173</v>
      </c>
      <c r="C45" s="425">
        <v>30</v>
      </c>
      <c r="D45" s="472">
        <f>16*10*1</f>
        <v>160</v>
      </c>
      <c r="E45" s="421">
        <v>1</v>
      </c>
      <c r="F45" s="424">
        <f>C45*D45*E45</f>
        <v>4800</v>
      </c>
      <c r="G45" s="425">
        <f>C45*$B$6</f>
        <v>31.5</v>
      </c>
      <c r="H45" s="426">
        <f>16*10*11</f>
        <v>1760</v>
      </c>
      <c r="I45" s="421">
        <v>1</v>
      </c>
      <c r="J45" s="424">
        <f>G45*H45*I45</f>
        <v>55440</v>
      </c>
      <c r="K45" s="425">
        <f>G45*$B$6</f>
        <v>33.075000000000003</v>
      </c>
      <c r="L45" s="426">
        <f>16*10*11</f>
        <v>1760</v>
      </c>
      <c r="M45" s="421">
        <v>1</v>
      </c>
      <c r="N45" s="424">
        <f>K45*L45*M45</f>
        <v>58212.000000000007</v>
      </c>
      <c r="O45" s="425">
        <f>K45*$B$6</f>
        <v>34.728750000000005</v>
      </c>
      <c r="P45" s="426">
        <f>16*10*11</f>
        <v>1760</v>
      </c>
      <c r="Q45" s="421">
        <v>1</v>
      </c>
      <c r="R45" s="424">
        <f>O45*P45*Q45</f>
        <v>61122.600000000006</v>
      </c>
      <c r="S45" s="425">
        <f>O45*$B$6</f>
        <v>36.465187500000006</v>
      </c>
      <c r="T45" s="472">
        <v>0</v>
      </c>
      <c r="U45" s="421">
        <v>1</v>
      </c>
      <c r="V45" s="424">
        <f>S45*T45*U45</f>
        <v>0</v>
      </c>
      <c r="W45" s="581">
        <f t="shared" si="49"/>
        <v>179574.6</v>
      </c>
      <c r="Z45" s="368">
        <f>+W45</f>
        <v>179574.6</v>
      </c>
    </row>
    <row r="46" spans="1:29" ht="15.6" outlineLevel="1">
      <c r="A46" s="471" t="s">
        <v>581</v>
      </c>
      <c r="B46" s="418" t="s">
        <v>100</v>
      </c>
      <c r="C46" s="425">
        <v>150</v>
      </c>
      <c r="D46" s="472">
        <v>3</v>
      </c>
      <c r="E46" s="421">
        <v>1</v>
      </c>
      <c r="F46" s="424">
        <f t="shared" si="50"/>
        <v>450</v>
      </c>
      <c r="G46" s="425">
        <f t="shared" si="45"/>
        <v>157.5</v>
      </c>
      <c r="H46" s="426">
        <v>12</v>
      </c>
      <c r="I46" s="421">
        <v>1</v>
      </c>
      <c r="J46" s="424">
        <f t="shared" si="51"/>
        <v>1890</v>
      </c>
      <c r="K46" s="425">
        <f t="shared" si="46"/>
        <v>165.375</v>
      </c>
      <c r="L46" s="426">
        <v>12</v>
      </c>
      <c r="M46" s="421">
        <v>1</v>
      </c>
      <c r="N46" s="424">
        <f t="shared" si="52"/>
        <v>1984.5</v>
      </c>
      <c r="O46" s="425">
        <f t="shared" si="47"/>
        <v>173.64375000000001</v>
      </c>
      <c r="P46" s="426">
        <v>12</v>
      </c>
      <c r="Q46" s="421">
        <v>1</v>
      </c>
      <c r="R46" s="424">
        <f t="shared" si="53"/>
        <v>2083.7250000000004</v>
      </c>
      <c r="S46" s="425">
        <f t="shared" si="48"/>
        <v>182.32593750000001</v>
      </c>
      <c r="T46" s="472">
        <v>3</v>
      </c>
      <c r="U46" s="421">
        <v>1</v>
      </c>
      <c r="V46" s="424">
        <f t="shared" si="54"/>
        <v>546.97781250000003</v>
      </c>
      <c r="W46" s="581">
        <f t="shared" si="49"/>
        <v>6955.2028125000006</v>
      </c>
      <c r="X46" s="368">
        <f>+W46*$X$12</f>
        <v>5564.1622500000012</v>
      </c>
      <c r="Y46" s="368">
        <f>+W46*$Y$12</f>
        <v>695.52028125000015</v>
      </c>
      <c r="Z46" s="368">
        <f>+W46*$Z$12</f>
        <v>695.52028125000015</v>
      </c>
    </row>
    <row r="47" spans="1:29" ht="18.3" outlineLevel="1">
      <c r="A47" s="463" t="s">
        <v>582</v>
      </c>
      <c r="B47" s="431"/>
      <c r="C47" s="433"/>
      <c r="D47" s="464"/>
      <c r="E47" s="435"/>
      <c r="F47" s="432">
        <f>SUM(F41:F46)</f>
        <v>9800</v>
      </c>
      <c r="G47" s="433"/>
      <c r="H47" s="464"/>
      <c r="I47" s="465"/>
      <c r="J47" s="432">
        <f>SUM(J41:J46)</f>
        <v>251370</v>
      </c>
      <c r="K47" s="433"/>
      <c r="L47" s="464"/>
      <c r="M47" s="435"/>
      <c r="N47" s="432">
        <f>SUM(N41:N46)</f>
        <v>263938.5</v>
      </c>
      <c r="O47" s="433"/>
      <c r="P47" s="464"/>
      <c r="Q47" s="435"/>
      <c r="R47" s="432">
        <f>SUM(R41:R46)</f>
        <v>277135.42499999993</v>
      </c>
      <c r="S47" s="433"/>
      <c r="T47" s="464"/>
      <c r="U47" s="435"/>
      <c r="V47" s="432">
        <f>SUM(V41:V46)</f>
        <v>546.97781250000003</v>
      </c>
      <c r="W47" s="582">
        <f>SUM(W41:W46)</f>
        <v>802790.90281250002</v>
      </c>
      <c r="AA47" s="439">
        <f>W47*$AA$10</f>
        <v>586238.00165195833</v>
      </c>
      <c r="AB47" s="439">
        <f>W47*$AB$10</f>
        <v>64308.727149905222</v>
      </c>
      <c r="AC47" s="439">
        <f>W47*$AC$10</f>
        <v>152244.17401063643</v>
      </c>
    </row>
    <row r="48" spans="1:29" ht="15.6" outlineLevel="1">
      <c r="A48" s="408" t="s">
        <v>33</v>
      </c>
      <c r="B48" s="473" t="s">
        <v>583</v>
      </c>
      <c r="D48" s="467">
        <v>1</v>
      </c>
      <c r="E48" s="371">
        <v>1</v>
      </c>
      <c r="F48" s="410">
        <f>C48*D48*E48</f>
        <v>0</v>
      </c>
      <c r="H48" s="467"/>
      <c r="J48" s="410">
        <f>G48*H48*I48</f>
        <v>0</v>
      </c>
      <c r="L48" s="467"/>
      <c r="N48" s="410">
        <f>K48*L48*M48</f>
        <v>0</v>
      </c>
      <c r="P48" s="467"/>
      <c r="R48" s="410">
        <f>O48*P48*Q48</f>
        <v>0</v>
      </c>
      <c r="T48" s="467"/>
      <c r="V48" s="410">
        <f>S48*T48*U48</f>
        <v>0</v>
      </c>
      <c r="W48" s="581">
        <f>F48+J48+N48+V48+R48</f>
        <v>0</v>
      </c>
    </row>
    <row r="49" spans="1:29" ht="18.3" outlineLevel="1">
      <c r="A49" s="463" t="s">
        <v>584</v>
      </c>
      <c r="B49" s="431"/>
      <c r="C49" s="433"/>
      <c r="D49" s="464"/>
      <c r="E49" s="435"/>
      <c r="F49" s="432">
        <f>+F48</f>
        <v>0</v>
      </c>
      <c r="G49" s="433"/>
      <c r="H49" s="464"/>
      <c r="I49" s="465"/>
      <c r="J49" s="432">
        <f>+J48</f>
        <v>0</v>
      </c>
      <c r="K49" s="433"/>
      <c r="L49" s="464"/>
      <c r="M49" s="435"/>
      <c r="N49" s="432">
        <f>+N48</f>
        <v>0</v>
      </c>
      <c r="O49" s="433"/>
      <c r="P49" s="464"/>
      <c r="Q49" s="435"/>
      <c r="R49" s="432">
        <f>+R48</f>
        <v>0</v>
      </c>
      <c r="S49" s="433"/>
      <c r="T49" s="464"/>
      <c r="U49" s="435"/>
      <c r="V49" s="432">
        <f>+V48</f>
        <v>0</v>
      </c>
      <c r="W49" s="582">
        <f>+W48</f>
        <v>0</v>
      </c>
      <c r="X49" s="368">
        <f>+W49*$X$12</f>
        <v>0</v>
      </c>
      <c r="Y49" s="368">
        <f>+W49*$Y$12</f>
        <v>0</v>
      </c>
      <c r="Z49" s="368">
        <f>+W49*$Z$12</f>
        <v>0</v>
      </c>
      <c r="AA49" s="439">
        <f>W49*$AA$10</f>
        <v>0</v>
      </c>
      <c r="AB49" s="439">
        <f>W49*$AB$10</f>
        <v>0</v>
      </c>
      <c r="AC49" s="439">
        <f>W49*$AC$10</f>
        <v>0</v>
      </c>
    </row>
    <row r="50" spans="1:29" ht="15.6" outlineLevel="1">
      <c r="A50" s="408" t="s">
        <v>585</v>
      </c>
      <c r="B50" s="473" t="s">
        <v>583</v>
      </c>
      <c r="D50" s="467">
        <v>1</v>
      </c>
      <c r="E50" s="371">
        <v>1</v>
      </c>
      <c r="F50" s="410">
        <f>C50*D50*E50</f>
        <v>0</v>
      </c>
      <c r="H50" s="467"/>
      <c r="J50" s="410">
        <f>G50*H50*I50</f>
        <v>0</v>
      </c>
      <c r="L50" s="467"/>
      <c r="N50" s="410">
        <f>K50*L50*M50</f>
        <v>0</v>
      </c>
      <c r="P50" s="467"/>
      <c r="R50" s="410">
        <f>O50*P50*Q50</f>
        <v>0</v>
      </c>
      <c r="T50" s="467"/>
      <c r="V50" s="410">
        <f>S50*T50*U50</f>
        <v>0</v>
      </c>
      <c r="W50" s="581">
        <f>F50+J50+N50+V50+R50</f>
        <v>0</v>
      </c>
    </row>
    <row r="51" spans="1:29" ht="18.3" outlineLevel="1">
      <c r="A51" s="463" t="s">
        <v>586</v>
      </c>
      <c r="B51" s="431"/>
      <c r="C51" s="433"/>
      <c r="D51" s="464"/>
      <c r="E51" s="435"/>
      <c r="F51" s="432">
        <f>+F50</f>
        <v>0</v>
      </c>
      <c r="G51" s="433"/>
      <c r="H51" s="464"/>
      <c r="I51" s="465"/>
      <c r="J51" s="432">
        <f>+J50</f>
        <v>0</v>
      </c>
      <c r="K51" s="433"/>
      <c r="L51" s="464"/>
      <c r="M51" s="435"/>
      <c r="N51" s="432">
        <f>+N50</f>
        <v>0</v>
      </c>
      <c r="O51" s="433"/>
      <c r="P51" s="464"/>
      <c r="Q51" s="435"/>
      <c r="R51" s="432">
        <f>+R50</f>
        <v>0</v>
      </c>
      <c r="S51" s="433"/>
      <c r="T51" s="464"/>
      <c r="U51" s="435"/>
      <c r="V51" s="432">
        <f>+V50</f>
        <v>0</v>
      </c>
      <c r="W51" s="582">
        <f>+W50</f>
        <v>0</v>
      </c>
      <c r="X51" s="368">
        <f>+W51*$X$12</f>
        <v>0</v>
      </c>
      <c r="Y51" s="368">
        <f>+W51*$Y$12</f>
        <v>0</v>
      </c>
      <c r="Z51" s="368">
        <f>+W51*$Z$12</f>
        <v>0</v>
      </c>
      <c r="AA51" s="439">
        <f>W51*$AA$10</f>
        <v>0</v>
      </c>
      <c r="AB51" s="439">
        <f>W51*$AB$10</f>
        <v>0</v>
      </c>
      <c r="AC51" s="439">
        <f>W51*$AC$10</f>
        <v>0</v>
      </c>
    </row>
    <row r="52" spans="1:29" ht="15.6" outlineLevel="1">
      <c r="A52" s="408" t="s">
        <v>34</v>
      </c>
      <c r="B52" s="466"/>
      <c r="D52" s="467"/>
      <c r="E52" s="468"/>
      <c r="F52" s="469"/>
      <c r="H52" s="467"/>
      <c r="I52" s="470"/>
      <c r="J52" s="469"/>
      <c r="L52" s="467"/>
      <c r="M52" s="468"/>
      <c r="N52" s="469"/>
      <c r="P52" s="467"/>
      <c r="Q52" s="468"/>
      <c r="R52" s="469"/>
      <c r="T52" s="467"/>
      <c r="U52" s="468"/>
      <c r="V52" s="469"/>
      <c r="W52" s="581"/>
    </row>
    <row r="53" spans="1:29" ht="15.6" outlineLevel="1">
      <c r="A53" s="471" t="s">
        <v>587</v>
      </c>
      <c r="B53" s="418" t="s">
        <v>173</v>
      </c>
      <c r="C53" s="425">
        <v>800</v>
      </c>
      <c r="D53" s="426">
        <v>4</v>
      </c>
      <c r="E53" s="421">
        <v>1</v>
      </c>
      <c r="F53" s="424">
        <f>C53*D53*E53</f>
        <v>3200</v>
      </c>
      <c r="G53" s="425">
        <f>C53*$B$7</f>
        <v>840</v>
      </c>
      <c r="H53" s="426">
        <v>0</v>
      </c>
      <c r="I53" s="421">
        <v>1</v>
      </c>
      <c r="J53" s="424">
        <f>G53*H53*I53</f>
        <v>0</v>
      </c>
      <c r="K53" s="425">
        <f>G53*$B$7</f>
        <v>882</v>
      </c>
      <c r="L53" s="426">
        <v>0</v>
      </c>
      <c r="M53" s="421">
        <v>1</v>
      </c>
      <c r="N53" s="424">
        <f>K53*L53*M53</f>
        <v>0</v>
      </c>
      <c r="O53" s="425">
        <f>K53*$B$7</f>
        <v>926.1</v>
      </c>
      <c r="P53" s="426">
        <v>0</v>
      </c>
      <c r="Q53" s="421">
        <v>1</v>
      </c>
      <c r="R53" s="424">
        <f>O53*P53*Q53</f>
        <v>0</v>
      </c>
      <c r="S53" s="425">
        <f>O53*$B$7</f>
        <v>972.40500000000009</v>
      </c>
      <c r="T53" s="426">
        <v>0</v>
      </c>
      <c r="U53" s="421">
        <v>1</v>
      </c>
      <c r="V53" s="424">
        <f>S53*T53*U53</f>
        <v>0</v>
      </c>
      <c r="W53" s="581">
        <f>F53+J53+N53+V53+R53</f>
        <v>3200</v>
      </c>
    </row>
    <row r="54" spans="1:29" ht="15.6" outlineLevel="1">
      <c r="A54" s="471" t="s">
        <v>193</v>
      </c>
      <c r="B54" s="418" t="s">
        <v>173</v>
      </c>
      <c r="C54" s="425">
        <v>350</v>
      </c>
      <c r="D54" s="426">
        <v>2</v>
      </c>
      <c r="E54" s="421">
        <v>1</v>
      </c>
      <c r="F54" s="424">
        <f>C54*D54*E54</f>
        <v>700</v>
      </c>
      <c r="G54" s="425">
        <f t="shared" ref="G54:G57" si="55">C54*$B$7</f>
        <v>367.5</v>
      </c>
      <c r="H54" s="426">
        <v>0</v>
      </c>
      <c r="I54" s="421">
        <v>1</v>
      </c>
      <c r="J54" s="424">
        <f>G54*H54*I54</f>
        <v>0</v>
      </c>
      <c r="K54" s="425">
        <f t="shared" ref="K54:K57" si="56">G54*$B$7</f>
        <v>385.875</v>
      </c>
      <c r="L54" s="426">
        <v>0</v>
      </c>
      <c r="M54" s="421">
        <v>1</v>
      </c>
      <c r="N54" s="424">
        <f>K54*L54*M54</f>
        <v>0</v>
      </c>
      <c r="O54" s="425">
        <f t="shared" ref="O54:O57" si="57">K54*$B$7</f>
        <v>405.16875000000005</v>
      </c>
      <c r="P54" s="426">
        <v>0</v>
      </c>
      <c r="Q54" s="421">
        <v>1</v>
      </c>
      <c r="R54" s="424">
        <f>O54*P54*Q54</f>
        <v>0</v>
      </c>
      <c r="S54" s="425">
        <f t="shared" ref="S54:S57" si="58">O54*$B$7</f>
        <v>425.42718750000006</v>
      </c>
      <c r="T54" s="426">
        <v>0</v>
      </c>
      <c r="U54" s="421">
        <v>1</v>
      </c>
      <c r="V54" s="424">
        <f>S54*T54*U54</f>
        <v>0</v>
      </c>
      <c r="W54" s="581">
        <f>F54+J54+N54+V54+R54</f>
        <v>700</v>
      </c>
    </row>
    <row r="55" spans="1:29" ht="15.6" outlineLevel="1">
      <c r="A55" s="471" t="s">
        <v>588</v>
      </c>
      <c r="B55" s="418" t="s">
        <v>173</v>
      </c>
      <c r="C55" s="425">
        <v>300</v>
      </c>
      <c r="D55" s="426">
        <v>1</v>
      </c>
      <c r="E55" s="421">
        <v>1</v>
      </c>
      <c r="F55" s="424">
        <f>C55*D55*E55</f>
        <v>300</v>
      </c>
      <c r="G55" s="425">
        <f t="shared" si="55"/>
        <v>315</v>
      </c>
      <c r="H55" s="426">
        <v>0</v>
      </c>
      <c r="I55" s="421">
        <v>1</v>
      </c>
      <c r="J55" s="424">
        <f>G55*H55*I55</f>
        <v>0</v>
      </c>
      <c r="K55" s="425">
        <f t="shared" si="56"/>
        <v>330.75</v>
      </c>
      <c r="L55" s="426">
        <v>0</v>
      </c>
      <c r="M55" s="421">
        <v>1</v>
      </c>
      <c r="N55" s="424">
        <f>K55*L55*M55</f>
        <v>0</v>
      </c>
      <c r="O55" s="425">
        <f t="shared" si="57"/>
        <v>347.28750000000002</v>
      </c>
      <c r="P55" s="426">
        <v>0</v>
      </c>
      <c r="Q55" s="421">
        <v>1</v>
      </c>
      <c r="R55" s="424">
        <f>O55*P55*Q55</f>
        <v>0</v>
      </c>
      <c r="S55" s="425">
        <f t="shared" si="58"/>
        <v>364.65187500000002</v>
      </c>
      <c r="T55" s="426">
        <v>0</v>
      </c>
      <c r="U55" s="421">
        <v>1</v>
      </c>
      <c r="V55" s="424">
        <f>S55*T55*U55</f>
        <v>0</v>
      </c>
      <c r="W55" s="581">
        <f>F55+J55+N55+V55+R55</f>
        <v>300</v>
      </c>
    </row>
    <row r="56" spans="1:29" ht="15.6" outlineLevel="1">
      <c r="A56" s="471" t="s">
        <v>589</v>
      </c>
      <c r="B56" s="418" t="s">
        <v>173</v>
      </c>
      <c r="C56" s="425">
        <v>250</v>
      </c>
      <c r="D56" s="426">
        <v>60</v>
      </c>
      <c r="E56" s="421">
        <v>1</v>
      </c>
      <c r="F56" s="424">
        <f>C56*D56*E56</f>
        <v>15000</v>
      </c>
      <c r="G56" s="425">
        <f t="shared" si="55"/>
        <v>262.5</v>
      </c>
      <c r="H56" s="426">
        <v>2</v>
      </c>
      <c r="I56" s="421">
        <v>1</v>
      </c>
      <c r="J56" s="424">
        <f>G56*H56*I56</f>
        <v>525</v>
      </c>
      <c r="K56" s="425">
        <f t="shared" si="56"/>
        <v>275.625</v>
      </c>
      <c r="L56" s="426">
        <v>2</v>
      </c>
      <c r="M56" s="421">
        <v>1</v>
      </c>
      <c r="N56" s="424">
        <f>K56*L56*M56</f>
        <v>551.25</v>
      </c>
      <c r="O56" s="425">
        <f t="shared" si="57"/>
        <v>289.40625</v>
      </c>
      <c r="P56" s="426">
        <v>2</v>
      </c>
      <c r="Q56" s="421">
        <v>1</v>
      </c>
      <c r="R56" s="424">
        <f>O56*P56*Q56</f>
        <v>578.8125</v>
      </c>
      <c r="S56" s="425">
        <f t="shared" si="58"/>
        <v>303.87656250000003</v>
      </c>
      <c r="T56" s="426">
        <v>2</v>
      </c>
      <c r="U56" s="421">
        <v>1</v>
      </c>
      <c r="V56" s="424">
        <f>S56*T56*U56</f>
        <v>607.75312500000007</v>
      </c>
      <c r="W56" s="581">
        <f>F56+J56+N56+V56+R56</f>
        <v>17262.815624999999</v>
      </c>
    </row>
    <row r="57" spans="1:29" ht="15.6" outlineLevel="1">
      <c r="A57" s="471" t="s">
        <v>190</v>
      </c>
      <c r="B57" s="418" t="s">
        <v>590</v>
      </c>
      <c r="C57" s="425">
        <v>250</v>
      </c>
      <c r="D57" s="426">
        <v>3</v>
      </c>
      <c r="E57" s="421">
        <v>1</v>
      </c>
      <c r="F57" s="424">
        <f>C57*D57*E57</f>
        <v>750</v>
      </c>
      <c r="G57" s="425">
        <f t="shared" si="55"/>
        <v>262.5</v>
      </c>
      <c r="H57" s="426">
        <v>12</v>
      </c>
      <c r="I57" s="421">
        <v>1</v>
      </c>
      <c r="J57" s="424">
        <f>G57*H57*I57</f>
        <v>3150</v>
      </c>
      <c r="K57" s="425">
        <f t="shared" si="56"/>
        <v>275.625</v>
      </c>
      <c r="L57" s="426">
        <v>12</v>
      </c>
      <c r="M57" s="421">
        <v>1</v>
      </c>
      <c r="N57" s="424">
        <f>K57*L57*M57</f>
        <v>3307.5</v>
      </c>
      <c r="O57" s="425">
        <f t="shared" si="57"/>
        <v>289.40625</v>
      </c>
      <c r="P57" s="426">
        <v>12</v>
      </c>
      <c r="Q57" s="421">
        <v>1</v>
      </c>
      <c r="R57" s="424">
        <f>O57*P57*Q57</f>
        <v>3472.875</v>
      </c>
      <c r="S57" s="425">
        <f t="shared" si="58"/>
        <v>303.87656250000003</v>
      </c>
      <c r="T57" s="426">
        <v>3</v>
      </c>
      <c r="U57" s="421">
        <v>1</v>
      </c>
      <c r="V57" s="424">
        <f>S57*T57*U57</f>
        <v>911.62968750000005</v>
      </c>
      <c r="W57" s="581">
        <f>F57+J57+N57+V57+R57</f>
        <v>11592.004687500001</v>
      </c>
    </row>
    <row r="58" spans="1:29" ht="18.3" outlineLevel="1">
      <c r="A58" s="463" t="s">
        <v>591</v>
      </c>
      <c r="B58" s="431"/>
      <c r="C58" s="433"/>
      <c r="D58" s="464"/>
      <c r="E58" s="435"/>
      <c r="F58" s="432">
        <f>SUM(F53:F57)</f>
        <v>19950</v>
      </c>
      <c r="G58" s="433"/>
      <c r="H58" s="464"/>
      <c r="I58" s="465"/>
      <c r="J58" s="432">
        <f>SUM(J53:J57)</f>
        <v>3675</v>
      </c>
      <c r="K58" s="433"/>
      <c r="L58" s="464"/>
      <c r="M58" s="435"/>
      <c r="N58" s="432">
        <f>SUM(N53:N57)</f>
        <v>3858.75</v>
      </c>
      <c r="O58" s="433"/>
      <c r="P58" s="464"/>
      <c r="Q58" s="435"/>
      <c r="R58" s="432">
        <f>SUM(R53:R57)</f>
        <v>4051.6875</v>
      </c>
      <c r="S58" s="433"/>
      <c r="T58" s="464"/>
      <c r="U58" s="435"/>
      <c r="V58" s="432">
        <f>SUM(V53:V57)</f>
        <v>1519.3828125</v>
      </c>
      <c r="W58" s="582">
        <f>SUM(W53:W57)</f>
        <v>33054.8203125</v>
      </c>
      <c r="X58" s="368">
        <f>+W58*$X$12</f>
        <v>26443.856250000001</v>
      </c>
      <c r="Y58" s="368">
        <f>+W58*$Y$12</f>
        <v>3305.4820312500001</v>
      </c>
      <c r="Z58" s="368">
        <f>+W58*$Z$12</f>
        <v>3305.4820312500001</v>
      </c>
      <c r="AA58" s="439">
        <f>W58*$AA$10</f>
        <v>24138.280263360793</v>
      </c>
      <c r="AB58" s="439">
        <f>W58*$AB$10</f>
        <v>2647.904221408684</v>
      </c>
      <c r="AC58" s="439">
        <f>W58*$AC$10</f>
        <v>6268.6358277305226</v>
      </c>
    </row>
    <row r="59" spans="1:29" ht="15.6" outlineLevel="1">
      <c r="A59" s="474" t="s">
        <v>592</v>
      </c>
      <c r="B59" s="409"/>
      <c r="C59" s="475"/>
      <c r="D59" s="444"/>
      <c r="F59" s="469"/>
      <c r="G59" s="475"/>
      <c r="H59" s="444"/>
      <c r="J59" s="469"/>
      <c r="K59" s="475"/>
      <c r="L59" s="444"/>
      <c r="N59" s="469"/>
      <c r="O59" s="475"/>
      <c r="P59" s="444"/>
      <c r="R59" s="469"/>
      <c r="S59" s="475"/>
      <c r="T59" s="444"/>
      <c r="V59" s="469"/>
      <c r="W59" s="581"/>
    </row>
    <row r="60" spans="1:29" ht="15.6" outlineLevel="1">
      <c r="A60" s="408" t="s">
        <v>593</v>
      </c>
      <c r="B60" s="409"/>
      <c r="C60" s="475"/>
      <c r="D60" s="444"/>
      <c r="E60" s="373"/>
      <c r="F60" s="410"/>
      <c r="G60" s="475"/>
      <c r="H60" s="444"/>
      <c r="J60" s="410"/>
      <c r="K60" s="475"/>
      <c r="L60" s="444"/>
      <c r="M60" s="373"/>
      <c r="N60" s="410"/>
      <c r="O60" s="475"/>
      <c r="P60" s="444"/>
      <c r="Q60" s="373"/>
      <c r="R60" s="410"/>
      <c r="S60" s="475"/>
      <c r="T60" s="444"/>
      <c r="U60" s="373"/>
      <c r="V60" s="410"/>
      <c r="W60" s="581"/>
    </row>
    <row r="61" spans="1:29" ht="15.6" outlineLevel="1">
      <c r="A61" s="471" t="s">
        <v>594</v>
      </c>
      <c r="B61" s="418" t="s">
        <v>173</v>
      </c>
      <c r="C61" s="425"/>
      <c r="D61" s="426"/>
      <c r="E61" s="421"/>
      <c r="F61" s="424"/>
      <c r="G61" s="425"/>
      <c r="H61" s="426"/>
      <c r="I61" s="421"/>
      <c r="J61" s="424"/>
      <c r="K61" s="425"/>
      <c r="L61" s="426"/>
      <c r="M61" s="421"/>
      <c r="N61" s="424"/>
      <c r="O61" s="425"/>
      <c r="P61" s="426"/>
      <c r="Q61" s="421"/>
      <c r="R61" s="424"/>
      <c r="S61" s="425"/>
      <c r="T61" s="426"/>
      <c r="U61" s="421"/>
      <c r="V61" s="424"/>
      <c r="W61" s="580"/>
    </row>
    <row r="62" spans="1:29" ht="15.6" outlineLevel="1">
      <c r="A62" s="476" t="s">
        <v>595</v>
      </c>
      <c r="B62" s="418" t="s">
        <v>596</v>
      </c>
      <c r="C62" s="425">
        <v>5</v>
      </c>
      <c r="D62" s="426">
        <v>10</v>
      </c>
      <c r="E62" s="421">
        <v>1</v>
      </c>
      <c r="F62" s="424">
        <f t="shared" ref="F62:F104" si="59">C62*D62*E62</f>
        <v>50</v>
      </c>
      <c r="G62" s="425">
        <f t="shared" ref="G62:G65" si="60">C62*$B$7</f>
        <v>5.25</v>
      </c>
      <c r="H62" s="426">
        <v>10</v>
      </c>
      <c r="I62" s="421">
        <v>1</v>
      </c>
      <c r="J62" s="424">
        <f t="shared" ref="J62:J104" si="61">G62*H62*I62</f>
        <v>52.5</v>
      </c>
      <c r="K62" s="425">
        <f t="shared" ref="K62:K65" si="62">G62*$B$7</f>
        <v>5.5125000000000002</v>
      </c>
      <c r="L62" s="426">
        <v>10</v>
      </c>
      <c r="M62" s="421">
        <v>1</v>
      </c>
      <c r="N62" s="424">
        <f t="shared" ref="N62:N104" si="63">K62*L62*M62</f>
        <v>55.125</v>
      </c>
      <c r="O62" s="425">
        <f t="shared" ref="O62:O65" si="64">K62*$B$7</f>
        <v>5.7881250000000009</v>
      </c>
      <c r="P62" s="426">
        <v>10</v>
      </c>
      <c r="Q62" s="421">
        <v>1</v>
      </c>
      <c r="R62" s="424">
        <f t="shared" ref="R62:R104" si="65">O62*P62*Q62</f>
        <v>57.881250000000009</v>
      </c>
      <c r="S62" s="425">
        <f t="shared" ref="S62:S65" si="66">O62*$B$7</f>
        <v>6.0775312500000007</v>
      </c>
      <c r="T62" s="426">
        <v>0</v>
      </c>
      <c r="U62" s="421">
        <v>1</v>
      </c>
      <c r="V62" s="424">
        <f t="shared" ref="V62:V104" si="67">S62*T62*U62</f>
        <v>0</v>
      </c>
      <c r="W62" s="581">
        <f>F62+J62+N62+V62+R62</f>
        <v>215.50625000000002</v>
      </c>
      <c r="X62" s="368">
        <f>+W62</f>
        <v>215.50625000000002</v>
      </c>
    </row>
    <row r="63" spans="1:29" ht="15.6" outlineLevel="1">
      <c r="A63" s="476" t="s">
        <v>597</v>
      </c>
      <c r="B63" s="418" t="s">
        <v>598</v>
      </c>
      <c r="C63" s="425">
        <v>10</v>
      </c>
      <c r="D63" s="426">
        <v>10</v>
      </c>
      <c r="E63" s="421">
        <v>1</v>
      </c>
      <c r="F63" s="424">
        <f t="shared" si="59"/>
        <v>100</v>
      </c>
      <c r="G63" s="425">
        <f t="shared" si="60"/>
        <v>10.5</v>
      </c>
      <c r="H63" s="426">
        <v>10</v>
      </c>
      <c r="I63" s="421">
        <v>1</v>
      </c>
      <c r="J63" s="424">
        <f t="shared" si="61"/>
        <v>105</v>
      </c>
      <c r="K63" s="425">
        <f t="shared" si="62"/>
        <v>11.025</v>
      </c>
      <c r="L63" s="426">
        <v>10</v>
      </c>
      <c r="M63" s="421">
        <v>1</v>
      </c>
      <c r="N63" s="424">
        <f t="shared" si="63"/>
        <v>110.25</v>
      </c>
      <c r="O63" s="425">
        <f t="shared" si="64"/>
        <v>11.576250000000002</v>
      </c>
      <c r="P63" s="426">
        <v>10</v>
      </c>
      <c r="Q63" s="421">
        <v>1</v>
      </c>
      <c r="R63" s="424">
        <f t="shared" si="65"/>
        <v>115.76250000000002</v>
      </c>
      <c r="S63" s="425">
        <f t="shared" si="66"/>
        <v>12.155062500000001</v>
      </c>
      <c r="T63" s="426">
        <v>0</v>
      </c>
      <c r="U63" s="421">
        <v>1</v>
      </c>
      <c r="V63" s="424">
        <f t="shared" si="67"/>
        <v>0</v>
      </c>
      <c r="W63" s="581">
        <f>F63+J63+N63+V63+R63</f>
        <v>431.01250000000005</v>
      </c>
      <c r="X63" s="368">
        <f>+W63</f>
        <v>431.01250000000005</v>
      </c>
    </row>
    <row r="64" spans="1:29" ht="15.6" outlineLevel="1">
      <c r="A64" s="476" t="s">
        <v>599</v>
      </c>
      <c r="B64" s="418" t="s">
        <v>598</v>
      </c>
      <c r="C64" s="425">
        <v>45</v>
      </c>
      <c r="D64" s="426">
        <v>10</v>
      </c>
      <c r="E64" s="421">
        <v>1</v>
      </c>
      <c r="F64" s="424">
        <f t="shared" si="59"/>
        <v>450</v>
      </c>
      <c r="G64" s="425">
        <f t="shared" si="60"/>
        <v>47.25</v>
      </c>
      <c r="H64" s="426">
        <v>10</v>
      </c>
      <c r="I64" s="421">
        <v>1</v>
      </c>
      <c r="J64" s="424">
        <f t="shared" si="61"/>
        <v>472.5</v>
      </c>
      <c r="K64" s="425">
        <f t="shared" si="62"/>
        <v>49.612500000000004</v>
      </c>
      <c r="L64" s="426">
        <v>10</v>
      </c>
      <c r="M64" s="421">
        <v>1</v>
      </c>
      <c r="N64" s="424">
        <f t="shared" si="63"/>
        <v>496.12500000000006</v>
      </c>
      <c r="O64" s="425">
        <f t="shared" si="64"/>
        <v>52.093125000000008</v>
      </c>
      <c r="P64" s="426">
        <v>10</v>
      </c>
      <c r="Q64" s="421">
        <v>1</v>
      </c>
      <c r="R64" s="424">
        <f t="shared" si="65"/>
        <v>520.93125000000009</v>
      </c>
      <c r="S64" s="425">
        <f t="shared" si="66"/>
        <v>54.697781250000013</v>
      </c>
      <c r="T64" s="426">
        <v>0</v>
      </c>
      <c r="U64" s="421">
        <v>1</v>
      </c>
      <c r="V64" s="424">
        <f t="shared" si="67"/>
        <v>0</v>
      </c>
      <c r="W64" s="581">
        <f>F64+J64+N64+V64+R64</f>
        <v>1939.5562500000001</v>
      </c>
      <c r="X64" s="368">
        <f>+W64</f>
        <v>1939.5562500000001</v>
      </c>
    </row>
    <row r="65" spans="1:24" ht="15.6" outlineLevel="1">
      <c r="A65" s="476" t="s">
        <v>600</v>
      </c>
      <c r="B65" s="418" t="s">
        <v>601</v>
      </c>
      <c r="C65" s="425">
        <v>5</v>
      </c>
      <c r="D65" s="426">
        <v>10</v>
      </c>
      <c r="E65" s="421">
        <v>1</v>
      </c>
      <c r="F65" s="424">
        <f t="shared" si="59"/>
        <v>50</v>
      </c>
      <c r="G65" s="425">
        <f t="shared" si="60"/>
        <v>5.25</v>
      </c>
      <c r="H65" s="426">
        <v>10</v>
      </c>
      <c r="I65" s="421">
        <v>1</v>
      </c>
      <c r="J65" s="424">
        <f t="shared" si="61"/>
        <v>52.5</v>
      </c>
      <c r="K65" s="425">
        <f t="shared" si="62"/>
        <v>5.5125000000000002</v>
      </c>
      <c r="L65" s="426">
        <v>10</v>
      </c>
      <c r="M65" s="421">
        <v>1</v>
      </c>
      <c r="N65" s="424">
        <f t="shared" si="63"/>
        <v>55.125</v>
      </c>
      <c r="O65" s="425">
        <f t="shared" si="64"/>
        <v>5.7881250000000009</v>
      </c>
      <c r="P65" s="426">
        <v>10</v>
      </c>
      <c r="Q65" s="421">
        <v>1</v>
      </c>
      <c r="R65" s="424">
        <f t="shared" si="65"/>
        <v>57.881250000000009</v>
      </c>
      <c r="S65" s="425">
        <f t="shared" si="66"/>
        <v>6.0775312500000007</v>
      </c>
      <c r="T65" s="426">
        <v>0</v>
      </c>
      <c r="U65" s="421">
        <v>1</v>
      </c>
      <c r="V65" s="424">
        <f t="shared" si="67"/>
        <v>0</v>
      </c>
      <c r="W65" s="581">
        <f>F65+J65+N65+V65+R65</f>
        <v>215.50625000000002</v>
      </c>
      <c r="X65" s="368">
        <f>+W65</f>
        <v>215.50625000000002</v>
      </c>
    </row>
    <row r="66" spans="1:24" ht="15.6" outlineLevel="1">
      <c r="A66" s="476"/>
      <c r="B66" s="418"/>
      <c r="C66" s="425"/>
      <c r="D66" s="426"/>
      <c r="E66" s="421"/>
      <c r="F66" s="424"/>
      <c r="G66" s="425"/>
      <c r="H66" s="426"/>
      <c r="I66" s="421"/>
      <c r="J66" s="424"/>
      <c r="K66" s="425"/>
      <c r="L66" s="426"/>
      <c r="M66" s="421"/>
      <c r="N66" s="424"/>
      <c r="O66" s="425"/>
      <c r="P66" s="426"/>
      <c r="Q66" s="421"/>
      <c r="R66" s="424"/>
      <c r="S66" s="425"/>
      <c r="T66" s="426"/>
      <c r="U66" s="421"/>
      <c r="V66" s="424"/>
      <c r="W66" s="581"/>
    </row>
    <row r="67" spans="1:24" ht="15.6" outlineLevel="1">
      <c r="A67" s="471" t="s">
        <v>602</v>
      </c>
      <c r="B67" s="418"/>
      <c r="C67" s="419"/>
      <c r="D67" s="420"/>
      <c r="E67" s="421"/>
      <c r="F67" s="410"/>
      <c r="G67" s="419"/>
      <c r="H67" s="420"/>
      <c r="I67" s="421"/>
      <c r="J67" s="410"/>
      <c r="K67" s="419"/>
      <c r="L67" s="420"/>
      <c r="M67" s="421"/>
      <c r="N67" s="410"/>
      <c r="O67" s="419"/>
      <c r="P67" s="420"/>
      <c r="Q67" s="421"/>
      <c r="R67" s="410"/>
      <c r="S67" s="419"/>
      <c r="T67" s="420"/>
      <c r="U67" s="421"/>
      <c r="V67" s="410"/>
      <c r="W67" s="581"/>
    </row>
    <row r="68" spans="1:24" ht="15.6" outlineLevel="1">
      <c r="A68" s="476" t="s">
        <v>595</v>
      </c>
      <c r="B68" s="418" t="s">
        <v>596</v>
      </c>
      <c r="C68" s="425">
        <v>5</v>
      </c>
      <c r="D68" s="426">
        <v>0</v>
      </c>
      <c r="E68" s="421">
        <v>1</v>
      </c>
      <c r="F68" s="424">
        <f t="shared" si="59"/>
        <v>0</v>
      </c>
      <c r="G68" s="425">
        <f t="shared" ref="G68:G71" si="68">C68*$B$7</f>
        <v>5.25</v>
      </c>
      <c r="H68" s="426">
        <v>35</v>
      </c>
      <c r="I68" s="421">
        <v>1</v>
      </c>
      <c r="J68" s="424">
        <f t="shared" si="61"/>
        <v>183.75</v>
      </c>
      <c r="K68" s="425">
        <f t="shared" ref="K68:K71" si="69">G68*$B$7</f>
        <v>5.5125000000000002</v>
      </c>
      <c r="L68" s="426">
        <v>35</v>
      </c>
      <c r="M68" s="421">
        <v>1</v>
      </c>
      <c r="N68" s="424">
        <f t="shared" si="63"/>
        <v>192.9375</v>
      </c>
      <c r="O68" s="425">
        <f t="shared" ref="O68:O71" si="70">K68*$B$7</f>
        <v>5.7881250000000009</v>
      </c>
      <c r="P68" s="426">
        <v>35</v>
      </c>
      <c r="Q68" s="421">
        <v>1</v>
      </c>
      <c r="R68" s="424">
        <f t="shared" si="65"/>
        <v>202.58437500000002</v>
      </c>
      <c r="S68" s="425">
        <f t="shared" ref="S68:S71" si="71">O68*$B$7</f>
        <v>6.0775312500000007</v>
      </c>
      <c r="T68" s="426">
        <v>0</v>
      </c>
      <c r="U68" s="421">
        <v>1</v>
      </c>
      <c r="V68" s="424">
        <f t="shared" si="67"/>
        <v>0</v>
      </c>
      <c r="W68" s="581">
        <f>F68+J68+N68+V68+R68</f>
        <v>579.27187500000002</v>
      </c>
      <c r="X68" s="368">
        <f>+W68</f>
        <v>579.27187500000002</v>
      </c>
    </row>
    <row r="69" spans="1:24" ht="15.6" outlineLevel="1">
      <c r="A69" s="476" t="s">
        <v>597</v>
      </c>
      <c r="B69" s="418" t="s">
        <v>596</v>
      </c>
      <c r="C69" s="425">
        <v>10</v>
      </c>
      <c r="D69" s="426">
        <v>0</v>
      </c>
      <c r="E69" s="421">
        <v>1</v>
      </c>
      <c r="F69" s="424">
        <f t="shared" si="59"/>
        <v>0</v>
      </c>
      <c r="G69" s="425">
        <f t="shared" si="68"/>
        <v>10.5</v>
      </c>
      <c r="H69" s="426">
        <v>35</v>
      </c>
      <c r="I69" s="421">
        <v>1</v>
      </c>
      <c r="J69" s="424">
        <f t="shared" si="61"/>
        <v>367.5</v>
      </c>
      <c r="K69" s="425">
        <f t="shared" si="69"/>
        <v>11.025</v>
      </c>
      <c r="L69" s="426">
        <v>35</v>
      </c>
      <c r="M69" s="421">
        <v>1</v>
      </c>
      <c r="N69" s="424">
        <f t="shared" si="63"/>
        <v>385.875</v>
      </c>
      <c r="O69" s="425">
        <f t="shared" si="70"/>
        <v>11.576250000000002</v>
      </c>
      <c r="P69" s="426">
        <v>35</v>
      </c>
      <c r="Q69" s="421">
        <v>1</v>
      </c>
      <c r="R69" s="424">
        <f t="shared" si="65"/>
        <v>405.16875000000005</v>
      </c>
      <c r="S69" s="425">
        <f t="shared" si="71"/>
        <v>12.155062500000001</v>
      </c>
      <c r="T69" s="426">
        <v>0</v>
      </c>
      <c r="U69" s="421">
        <v>1</v>
      </c>
      <c r="V69" s="424">
        <f t="shared" si="67"/>
        <v>0</v>
      </c>
      <c r="W69" s="581">
        <f>F69+J69+N69+V69+R69</f>
        <v>1158.54375</v>
      </c>
      <c r="X69" s="368">
        <f>+W69</f>
        <v>1158.54375</v>
      </c>
    </row>
    <row r="70" spans="1:24" ht="15.6" outlineLevel="1">
      <c r="A70" s="476" t="s">
        <v>599</v>
      </c>
      <c r="B70" s="418" t="s">
        <v>596</v>
      </c>
      <c r="C70" s="425">
        <v>45</v>
      </c>
      <c r="D70" s="426">
        <v>0</v>
      </c>
      <c r="E70" s="421">
        <v>1</v>
      </c>
      <c r="F70" s="424">
        <f t="shared" si="59"/>
        <v>0</v>
      </c>
      <c r="G70" s="425">
        <f t="shared" si="68"/>
        <v>47.25</v>
      </c>
      <c r="H70" s="426">
        <v>35</v>
      </c>
      <c r="I70" s="421">
        <v>1</v>
      </c>
      <c r="J70" s="424">
        <f t="shared" si="61"/>
        <v>1653.75</v>
      </c>
      <c r="K70" s="425">
        <f t="shared" si="69"/>
        <v>49.612500000000004</v>
      </c>
      <c r="L70" s="426">
        <v>35</v>
      </c>
      <c r="M70" s="421">
        <v>1</v>
      </c>
      <c r="N70" s="424">
        <f t="shared" si="63"/>
        <v>1736.4375000000002</v>
      </c>
      <c r="O70" s="425">
        <f t="shared" si="70"/>
        <v>52.093125000000008</v>
      </c>
      <c r="P70" s="426">
        <v>35</v>
      </c>
      <c r="Q70" s="421">
        <v>1</v>
      </c>
      <c r="R70" s="424">
        <f t="shared" si="65"/>
        <v>1823.2593750000003</v>
      </c>
      <c r="S70" s="425">
        <f t="shared" si="71"/>
        <v>54.697781250000013</v>
      </c>
      <c r="T70" s="426">
        <v>0</v>
      </c>
      <c r="U70" s="421">
        <v>1</v>
      </c>
      <c r="V70" s="424">
        <f t="shared" si="67"/>
        <v>0</v>
      </c>
      <c r="W70" s="581">
        <f>F70+J70+N70+V70+R70</f>
        <v>5213.4468750000005</v>
      </c>
      <c r="X70" s="368">
        <f>+W70</f>
        <v>5213.4468750000005</v>
      </c>
    </row>
    <row r="71" spans="1:24" ht="15.6" outlineLevel="1">
      <c r="A71" s="476" t="s">
        <v>600</v>
      </c>
      <c r="B71" s="418" t="s">
        <v>596</v>
      </c>
      <c r="C71" s="425">
        <v>5</v>
      </c>
      <c r="D71" s="426">
        <v>0</v>
      </c>
      <c r="E71" s="421">
        <v>1</v>
      </c>
      <c r="F71" s="424">
        <f t="shared" si="59"/>
        <v>0</v>
      </c>
      <c r="G71" s="425">
        <f t="shared" si="68"/>
        <v>5.25</v>
      </c>
      <c r="H71" s="426">
        <v>35</v>
      </c>
      <c r="I71" s="421">
        <v>1</v>
      </c>
      <c r="J71" s="424">
        <f t="shared" si="61"/>
        <v>183.75</v>
      </c>
      <c r="K71" s="425">
        <f t="shared" si="69"/>
        <v>5.5125000000000002</v>
      </c>
      <c r="L71" s="426">
        <v>35</v>
      </c>
      <c r="M71" s="421">
        <v>1</v>
      </c>
      <c r="N71" s="424">
        <f t="shared" si="63"/>
        <v>192.9375</v>
      </c>
      <c r="O71" s="425">
        <f t="shared" si="70"/>
        <v>5.7881250000000009</v>
      </c>
      <c r="P71" s="426">
        <v>35</v>
      </c>
      <c r="Q71" s="421">
        <v>1</v>
      </c>
      <c r="R71" s="424">
        <f t="shared" si="65"/>
        <v>202.58437500000002</v>
      </c>
      <c r="S71" s="425">
        <f t="shared" si="71"/>
        <v>6.0775312500000007</v>
      </c>
      <c r="T71" s="426">
        <v>0</v>
      </c>
      <c r="U71" s="421">
        <v>1</v>
      </c>
      <c r="V71" s="424">
        <f t="shared" si="67"/>
        <v>0</v>
      </c>
      <c r="W71" s="581">
        <f>F71+J71+N71+V71+R71</f>
        <v>579.27187500000002</v>
      </c>
      <c r="X71" s="368">
        <f>+W71</f>
        <v>579.27187500000002</v>
      </c>
    </row>
    <row r="72" spans="1:24" ht="15.6" outlineLevel="1">
      <c r="A72" s="476"/>
      <c r="B72" s="418"/>
      <c r="C72" s="425"/>
      <c r="D72" s="426"/>
      <c r="E72" s="421"/>
      <c r="F72" s="424"/>
      <c r="G72" s="425"/>
      <c r="H72" s="426"/>
      <c r="I72" s="421"/>
      <c r="J72" s="424"/>
      <c r="K72" s="425"/>
      <c r="L72" s="426"/>
      <c r="M72" s="421"/>
      <c r="N72" s="424"/>
      <c r="O72" s="425"/>
      <c r="P72" s="426"/>
      <c r="Q72" s="421"/>
      <c r="R72" s="424"/>
      <c r="S72" s="425"/>
      <c r="T72" s="426"/>
      <c r="U72" s="421"/>
      <c r="V72" s="424"/>
      <c r="W72" s="585"/>
    </row>
    <row r="73" spans="1:24" ht="15.6" outlineLevel="1">
      <c r="A73" s="471" t="s">
        <v>603</v>
      </c>
      <c r="B73" s="418"/>
      <c r="C73" s="425"/>
      <c r="D73" s="426"/>
      <c r="E73" s="421"/>
      <c r="F73" s="424"/>
      <c r="G73" s="425"/>
      <c r="H73" s="426"/>
      <c r="I73" s="421"/>
      <c r="J73" s="424"/>
      <c r="K73" s="425"/>
      <c r="L73" s="426"/>
      <c r="M73" s="421"/>
      <c r="N73" s="424"/>
      <c r="O73" s="425"/>
      <c r="P73" s="426"/>
      <c r="Q73" s="421"/>
      <c r="R73" s="424"/>
      <c r="S73" s="425"/>
      <c r="T73" s="426"/>
      <c r="U73" s="421"/>
      <c r="V73" s="424"/>
      <c r="W73" s="580"/>
    </row>
    <row r="74" spans="1:24" ht="15.6" outlineLevel="1">
      <c r="A74" s="476" t="s">
        <v>595</v>
      </c>
      <c r="B74" s="418" t="s">
        <v>596</v>
      </c>
      <c r="C74" s="425">
        <v>5</v>
      </c>
      <c r="D74" s="426">
        <v>1762</v>
      </c>
      <c r="E74" s="421">
        <v>1</v>
      </c>
      <c r="F74" s="424">
        <f t="shared" si="59"/>
        <v>8810</v>
      </c>
      <c r="G74" s="425">
        <f t="shared" ref="G74:G75" si="72">C74*$B$7</f>
        <v>5.25</v>
      </c>
      <c r="H74" s="426">
        <v>1762</v>
      </c>
      <c r="I74" s="421">
        <v>1</v>
      </c>
      <c r="J74" s="424">
        <f t="shared" si="61"/>
        <v>9250.5</v>
      </c>
      <c r="K74" s="425">
        <f t="shared" ref="K74:K75" si="73">G74*$B$7</f>
        <v>5.5125000000000002</v>
      </c>
      <c r="L74" s="426">
        <v>1762</v>
      </c>
      <c r="M74" s="421">
        <v>1</v>
      </c>
      <c r="N74" s="424">
        <f t="shared" si="63"/>
        <v>9713.0249999999996</v>
      </c>
      <c r="O74" s="425">
        <f t="shared" ref="O74:O75" si="74">K74*$B$7</f>
        <v>5.7881250000000009</v>
      </c>
      <c r="P74" s="426">
        <v>1762</v>
      </c>
      <c r="Q74" s="421">
        <v>1</v>
      </c>
      <c r="R74" s="424">
        <f t="shared" si="65"/>
        <v>10198.676250000002</v>
      </c>
      <c r="S74" s="425">
        <f t="shared" ref="S74:S75" si="75">O74*$B$7</f>
        <v>6.0775312500000007</v>
      </c>
      <c r="T74" s="426">
        <v>0</v>
      </c>
      <c r="U74" s="421">
        <v>1</v>
      </c>
      <c r="V74" s="424">
        <f t="shared" si="67"/>
        <v>0</v>
      </c>
      <c r="W74" s="581">
        <f>F74+J74+N74+V74+R74</f>
        <v>37972.201250000006</v>
      </c>
      <c r="X74" s="368">
        <f>+W74</f>
        <v>37972.201250000006</v>
      </c>
    </row>
    <row r="75" spans="1:24" ht="15.6" outlineLevel="1">
      <c r="A75" s="476" t="s">
        <v>597</v>
      </c>
      <c r="B75" s="418" t="s">
        <v>596</v>
      </c>
      <c r="C75" s="425">
        <v>10</v>
      </c>
      <c r="D75" s="426">
        <v>1762</v>
      </c>
      <c r="E75" s="421">
        <v>1</v>
      </c>
      <c r="F75" s="424">
        <f t="shared" si="59"/>
        <v>17620</v>
      </c>
      <c r="G75" s="425">
        <f t="shared" si="72"/>
        <v>10.5</v>
      </c>
      <c r="H75" s="426">
        <v>1762</v>
      </c>
      <c r="I75" s="421">
        <v>1</v>
      </c>
      <c r="J75" s="424">
        <f t="shared" si="61"/>
        <v>18501</v>
      </c>
      <c r="K75" s="425">
        <f t="shared" si="73"/>
        <v>11.025</v>
      </c>
      <c r="L75" s="426">
        <v>1762</v>
      </c>
      <c r="M75" s="421">
        <v>1</v>
      </c>
      <c r="N75" s="424">
        <f t="shared" si="63"/>
        <v>19426.05</v>
      </c>
      <c r="O75" s="425">
        <f t="shared" si="74"/>
        <v>11.576250000000002</v>
      </c>
      <c r="P75" s="426">
        <v>1762</v>
      </c>
      <c r="Q75" s="421">
        <v>1</v>
      </c>
      <c r="R75" s="424">
        <f t="shared" si="65"/>
        <v>20397.352500000005</v>
      </c>
      <c r="S75" s="425">
        <f t="shared" si="75"/>
        <v>12.155062500000001</v>
      </c>
      <c r="T75" s="426">
        <v>0</v>
      </c>
      <c r="U75" s="421">
        <v>1</v>
      </c>
      <c r="V75" s="424">
        <f t="shared" si="67"/>
        <v>0</v>
      </c>
      <c r="W75" s="581">
        <f>F75+J75+N75+V75+R75</f>
        <v>75944.402500000011</v>
      </c>
      <c r="X75" s="368">
        <f>+W75</f>
        <v>75944.402500000011</v>
      </c>
    </row>
    <row r="76" spans="1:24" ht="15.6" outlineLevel="1">
      <c r="A76" s="476"/>
      <c r="B76" s="418"/>
      <c r="C76" s="425"/>
      <c r="D76" s="426"/>
      <c r="E76" s="421"/>
      <c r="F76" s="424"/>
      <c r="G76" s="425"/>
      <c r="H76" s="426"/>
      <c r="I76" s="421"/>
      <c r="J76" s="424"/>
      <c r="K76" s="425"/>
      <c r="L76" s="426"/>
      <c r="M76" s="421"/>
      <c r="N76" s="424"/>
      <c r="O76" s="425"/>
      <c r="P76" s="426"/>
      <c r="Q76" s="421"/>
      <c r="R76" s="424"/>
      <c r="S76" s="425"/>
      <c r="T76" s="426"/>
      <c r="U76" s="421"/>
      <c r="V76" s="424"/>
      <c r="W76" s="585"/>
    </row>
    <row r="77" spans="1:24" ht="15.6" outlineLevel="1">
      <c r="A77" s="471" t="s">
        <v>604</v>
      </c>
      <c r="B77" s="418"/>
      <c r="C77" s="425"/>
      <c r="D77" s="426"/>
      <c r="E77" s="421"/>
      <c r="F77" s="424"/>
      <c r="G77" s="425"/>
      <c r="H77" s="426"/>
      <c r="I77" s="421"/>
      <c r="J77" s="424"/>
      <c r="K77" s="425"/>
      <c r="L77" s="426"/>
      <c r="M77" s="421"/>
      <c r="N77" s="424"/>
      <c r="O77" s="425"/>
      <c r="P77" s="426"/>
      <c r="Q77" s="421"/>
      <c r="R77" s="424"/>
      <c r="S77" s="425"/>
      <c r="T77" s="426"/>
      <c r="U77" s="421"/>
      <c r="V77" s="424"/>
      <c r="W77" s="580"/>
    </row>
    <row r="78" spans="1:24" ht="15.6" outlineLevel="1">
      <c r="A78" s="476" t="s">
        <v>595</v>
      </c>
      <c r="B78" s="418" t="s">
        <v>596</v>
      </c>
      <c r="C78" s="425">
        <v>5</v>
      </c>
      <c r="D78" s="426">
        <v>337</v>
      </c>
      <c r="E78" s="421">
        <v>1</v>
      </c>
      <c r="F78" s="424">
        <f t="shared" ref="F78:F79" si="76">C78*D78*E78</f>
        <v>1685</v>
      </c>
      <c r="G78" s="425">
        <f t="shared" ref="G78:G104" si="77">C78*$B$7</f>
        <v>5.25</v>
      </c>
      <c r="H78" s="426">
        <v>337</v>
      </c>
      <c r="I78" s="421">
        <v>1</v>
      </c>
      <c r="J78" s="424">
        <f t="shared" ref="J78:J79" si="78">G78*H78*I78</f>
        <v>1769.25</v>
      </c>
      <c r="K78" s="425">
        <f t="shared" ref="K78:K79" si="79">G78*$B$7</f>
        <v>5.5125000000000002</v>
      </c>
      <c r="L78" s="426">
        <v>337</v>
      </c>
      <c r="M78" s="421">
        <v>1</v>
      </c>
      <c r="N78" s="424">
        <f t="shared" ref="N78:N79" si="80">K78*L78*M78</f>
        <v>1857.7125000000001</v>
      </c>
      <c r="O78" s="425">
        <f t="shared" ref="O78:O79" si="81">K78*$B$7</f>
        <v>5.7881250000000009</v>
      </c>
      <c r="P78" s="426">
        <v>337</v>
      </c>
      <c r="Q78" s="421">
        <v>1</v>
      </c>
      <c r="R78" s="424">
        <f t="shared" ref="R78:R79" si="82">O78*P78*Q78</f>
        <v>1950.5981250000002</v>
      </c>
      <c r="S78" s="425">
        <f t="shared" ref="S78:S79" si="83">O78*$B$7</f>
        <v>6.0775312500000007</v>
      </c>
      <c r="T78" s="426">
        <v>0</v>
      </c>
      <c r="U78" s="421">
        <v>1</v>
      </c>
      <c r="V78" s="424">
        <f t="shared" ref="V78:V79" si="84">S78*T78*U78</f>
        <v>0</v>
      </c>
      <c r="W78" s="581">
        <f>F78+J78+N78+V78+R78</f>
        <v>7262.5606250000001</v>
      </c>
      <c r="X78" s="368">
        <f>+W78</f>
        <v>7262.5606250000001</v>
      </c>
    </row>
    <row r="79" spans="1:24" ht="15.6" outlineLevel="1">
      <c r="A79" s="476" t="s">
        <v>597</v>
      </c>
      <c r="B79" s="418" t="s">
        <v>596</v>
      </c>
      <c r="C79" s="425">
        <v>10</v>
      </c>
      <c r="D79" s="426">
        <v>337</v>
      </c>
      <c r="E79" s="421">
        <v>1</v>
      </c>
      <c r="F79" s="424">
        <f t="shared" si="76"/>
        <v>3370</v>
      </c>
      <c r="G79" s="425">
        <f t="shared" si="77"/>
        <v>10.5</v>
      </c>
      <c r="H79" s="426">
        <v>337</v>
      </c>
      <c r="I79" s="421">
        <v>1</v>
      </c>
      <c r="J79" s="424">
        <f t="shared" si="78"/>
        <v>3538.5</v>
      </c>
      <c r="K79" s="425">
        <f t="shared" si="79"/>
        <v>11.025</v>
      </c>
      <c r="L79" s="426">
        <v>337</v>
      </c>
      <c r="M79" s="421">
        <v>1</v>
      </c>
      <c r="N79" s="424">
        <f t="shared" si="80"/>
        <v>3715.4250000000002</v>
      </c>
      <c r="O79" s="425">
        <f t="shared" si="81"/>
        <v>11.576250000000002</v>
      </c>
      <c r="P79" s="426">
        <v>337</v>
      </c>
      <c r="Q79" s="421">
        <v>1</v>
      </c>
      <c r="R79" s="424">
        <f t="shared" si="82"/>
        <v>3901.1962500000004</v>
      </c>
      <c r="S79" s="425">
        <f t="shared" si="83"/>
        <v>12.155062500000001</v>
      </c>
      <c r="T79" s="426">
        <v>0</v>
      </c>
      <c r="U79" s="421">
        <v>1</v>
      </c>
      <c r="V79" s="424">
        <f t="shared" si="84"/>
        <v>0</v>
      </c>
      <c r="W79" s="581">
        <f>F79+J79+N79+V79+R79</f>
        <v>14525.12125</v>
      </c>
      <c r="X79" s="368">
        <f>+W79</f>
        <v>14525.12125</v>
      </c>
    </row>
    <row r="80" spans="1:24" ht="15.6" outlineLevel="1">
      <c r="A80" s="476"/>
      <c r="B80" s="418"/>
      <c r="C80" s="425"/>
      <c r="D80" s="426"/>
      <c r="E80" s="421"/>
      <c r="F80" s="424"/>
      <c r="G80" s="425"/>
      <c r="H80" s="426"/>
      <c r="I80" s="421"/>
      <c r="J80" s="424"/>
      <c r="K80" s="425"/>
      <c r="L80" s="426"/>
      <c r="M80" s="421"/>
      <c r="N80" s="424"/>
      <c r="O80" s="425"/>
      <c r="P80" s="426"/>
      <c r="Q80" s="421"/>
      <c r="R80" s="424"/>
      <c r="S80" s="425"/>
      <c r="T80" s="426"/>
      <c r="U80" s="421"/>
      <c r="V80" s="424"/>
      <c r="W80" s="585"/>
    </row>
    <row r="81" spans="1:26" ht="15.6" outlineLevel="1">
      <c r="A81" s="471" t="s">
        <v>605</v>
      </c>
      <c r="B81" s="418"/>
      <c r="C81" s="425"/>
      <c r="D81" s="426"/>
      <c r="E81" s="421"/>
      <c r="F81" s="424"/>
      <c r="G81" s="425"/>
      <c r="H81" s="426"/>
      <c r="I81" s="421"/>
      <c r="J81" s="424"/>
      <c r="K81" s="425"/>
      <c r="L81" s="426"/>
      <c r="M81" s="421"/>
      <c r="N81" s="424"/>
      <c r="O81" s="425"/>
      <c r="P81" s="426"/>
      <c r="Q81" s="421"/>
      <c r="R81" s="424"/>
      <c r="S81" s="425"/>
      <c r="T81" s="426"/>
      <c r="U81" s="421"/>
      <c r="V81" s="424"/>
      <c r="W81" s="580"/>
    </row>
    <row r="82" spans="1:26" ht="15.6" outlineLevel="1">
      <c r="A82" s="476" t="s">
        <v>595</v>
      </c>
      <c r="B82" s="418" t="s">
        <v>596</v>
      </c>
      <c r="C82" s="425">
        <v>5</v>
      </c>
      <c r="D82" s="426">
        <v>0</v>
      </c>
      <c r="E82" s="421">
        <v>1</v>
      </c>
      <c r="F82" s="424">
        <f t="shared" ref="F82:F84" si="85">C82*D82*E82</f>
        <v>0</v>
      </c>
      <c r="G82" s="425">
        <f t="shared" si="77"/>
        <v>5.25</v>
      </c>
      <c r="H82" s="426">
        <v>102</v>
      </c>
      <c r="I82" s="421">
        <v>1</v>
      </c>
      <c r="J82" s="424">
        <f t="shared" ref="J82:J84" si="86">G82*H82*I82</f>
        <v>535.5</v>
      </c>
      <c r="K82" s="425">
        <f t="shared" ref="K82:K84" si="87">G82*$B$7</f>
        <v>5.5125000000000002</v>
      </c>
      <c r="L82" s="426">
        <f>+H82</f>
        <v>102</v>
      </c>
      <c r="M82" s="421">
        <v>1</v>
      </c>
      <c r="N82" s="424">
        <f t="shared" ref="N82:N84" si="88">K82*L82*M82</f>
        <v>562.27499999999998</v>
      </c>
      <c r="O82" s="425">
        <f t="shared" ref="O82:O84" si="89">K82*$B$7</f>
        <v>5.7881250000000009</v>
      </c>
      <c r="P82" s="426">
        <f>+H82</f>
        <v>102</v>
      </c>
      <c r="Q82" s="421">
        <v>1</v>
      </c>
      <c r="R82" s="424">
        <f t="shared" ref="R82:R84" si="90">O82*P82*Q82</f>
        <v>590.38875000000007</v>
      </c>
      <c r="S82" s="425">
        <f t="shared" ref="S82:S84" si="91">O82*$B$7</f>
        <v>6.0775312500000007</v>
      </c>
      <c r="T82" s="426">
        <v>0</v>
      </c>
      <c r="U82" s="421">
        <v>1</v>
      </c>
      <c r="V82" s="424">
        <f t="shared" ref="V82:V84" si="92">S82*T82*U82</f>
        <v>0</v>
      </c>
      <c r="W82" s="581">
        <f>F82+J82+N82+V82+R82</f>
        <v>1688.1637500000002</v>
      </c>
      <c r="Y82" s="368">
        <f>+W82</f>
        <v>1688.1637500000002</v>
      </c>
    </row>
    <row r="83" spans="1:26" ht="15.6" outlineLevel="1">
      <c r="A83" s="476" t="s">
        <v>597</v>
      </c>
      <c r="B83" s="418" t="s">
        <v>596</v>
      </c>
      <c r="C83" s="425">
        <v>10</v>
      </c>
      <c r="D83" s="426">
        <v>0</v>
      </c>
      <c r="E83" s="421">
        <v>1</v>
      </c>
      <c r="F83" s="424">
        <f t="shared" si="85"/>
        <v>0</v>
      </c>
      <c r="G83" s="425">
        <f t="shared" si="77"/>
        <v>10.5</v>
      </c>
      <c r="H83" s="426">
        <v>102</v>
      </c>
      <c r="I83" s="421">
        <v>1</v>
      </c>
      <c r="J83" s="424">
        <f t="shared" si="86"/>
        <v>1071</v>
      </c>
      <c r="K83" s="425">
        <f t="shared" si="87"/>
        <v>11.025</v>
      </c>
      <c r="L83" s="426">
        <f>+H83</f>
        <v>102</v>
      </c>
      <c r="M83" s="421">
        <v>1</v>
      </c>
      <c r="N83" s="424">
        <f t="shared" si="88"/>
        <v>1124.55</v>
      </c>
      <c r="O83" s="425">
        <f t="shared" si="89"/>
        <v>11.576250000000002</v>
      </c>
      <c r="P83" s="426">
        <f>+H83</f>
        <v>102</v>
      </c>
      <c r="Q83" s="421">
        <v>1</v>
      </c>
      <c r="R83" s="424">
        <f t="shared" si="90"/>
        <v>1180.7775000000001</v>
      </c>
      <c r="S83" s="425">
        <f t="shared" si="91"/>
        <v>12.155062500000001</v>
      </c>
      <c r="T83" s="426">
        <v>0</v>
      </c>
      <c r="U83" s="421">
        <v>1</v>
      </c>
      <c r="V83" s="424">
        <f t="shared" si="92"/>
        <v>0</v>
      </c>
      <c r="W83" s="581">
        <f>F83+J83+N83+V83+R83</f>
        <v>3376.3275000000003</v>
      </c>
      <c r="Y83" s="368">
        <f>+W83</f>
        <v>3376.3275000000003</v>
      </c>
    </row>
    <row r="84" spans="1:26" ht="15.6" outlineLevel="1">
      <c r="A84" s="476" t="s">
        <v>606</v>
      </c>
      <c r="B84" s="418" t="s">
        <v>173</v>
      </c>
      <c r="C84" s="425">
        <v>40</v>
      </c>
      <c r="D84" s="426">
        <v>0</v>
      </c>
      <c r="E84" s="421">
        <v>1</v>
      </c>
      <c r="F84" s="424">
        <f t="shared" si="85"/>
        <v>0</v>
      </c>
      <c r="G84" s="425">
        <f t="shared" si="77"/>
        <v>42</v>
      </c>
      <c r="H84" s="426">
        <v>102</v>
      </c>
      <c r="I84" s="421">
        <v>1</v>
      </c>
      <c r="J84" s="424">
        <f t="shared" si="86"/>
        <v>4284</v>
      </c>
      <c r="K84" s="425">
        <f t="shared" si="87"/>
        <v>44.1</v>
      </c>
      <c r="L84" s="426">
        <f>+H84</f>
        <v>102</v>
      </c>
      <c r="M84" s="421">
        <v>1</v>
      </c>
      <c r="N84" s="424">
        <f t="shared" si="88"/>
        <v>4498.2</v>
      </c>
      <c r="O84" s="425">
        <f t="shared" si="89"/>
        <v>46.305000000000007</v>
      </c>
      <c r="P84" s="426">
        <f>+H84</f>
        <v>102</v>
      </c>
      <c r="Q84" s="421">
        <v>1</v>
      </c>
      <c r="R84" s="424">
        <f t="shared" si="90"/>
        <v>4723.1100000000006</v>
      </c>
      <c r="S84" s="425">
        <f t="shared" si="91"/>
        <v>48.620250000000006</v>
      </c>
      <c r="T84" s="426">
        <v>0</v>
      </c>
      <c r="U84" s="421">
        <v>1</v>
      </c>
      <c r="V84" s="424">
        <f t="shared" si="92"/>
        <v>0</v>
      </c>
      <c r="W84" s="581">
        <f>F84+J84+N84+V84+R84</f>
        <v>13505.310000000001</v>
      </c>
      <c r="Y84" s="368">
        <f>+W84</f>
        <v>13505.310000000001</v>
      </c>
    </row>
    <row r="85" spans="1:26" ht="15.6" outlineLevel="1">
      <c r="A85" s="476"/>
      <c r="B85" s="418"/>
      <c r="C85" s="425"/>
      <c r="D85" s="426"/>
      <c r="E85" s="421"/>
      <c r="F85" s="424"/>
      <c r="G85" s="425"/>
      <c r="H85" s="426"/>
      <c r="I85" s="421"/>
      <c r="J85" s="424"/>
      <c r="K85" s="425"/>
      <c r="L85" s="426"/>
      <c r="M85" s="421"/>
      <c r="N85" s="424"/>
      <c r="O85" s="425"/>
      <c r="P85" s="426"/>
      <c r="Q85" s="421"/>
      <c r="R85" s="424"/>
      <c r="S85" s="425"/>
      <c r="T85" s="426"/>
      <c r="U85" s="421"/>
      <c r="V85" s="424"/>
      <c r="W85" s="585"/>
    </row>
    <row r="86" spans="1:26" ht="15.6" outlineLevel="1">
      <c r="A86" s="471" t="s">
        <v>607</v>
      </c>
      <c r="B86" s="418"/>
      <c r="C86" s="425"/>
      <c r="D86" s="426"/>
      <c r="E86" s="421"/>
      <c r="F86" s="424"/>
      <c r="G86" s="425"/>
      <c r="H86" s="426"/>
      <c r="I86" s="421"/>
      <c r="J86" s="424"/>
      <c r="K86" s="425"/>
      <c r="L86" s="426"/>
      <c r="M86" s="421"/>
      <c r="N86" s="424"/>
      <c r="O86" s="425"/>
      <c r="P86" s="426"/>
      <c r="Q86" s="421"/>
      <c r="R86" s="424"/>
      <c r="S86" s="425"/>
      <c r="T86" s="426"/>
      <c r="U86" s="421"/>
      <c r="V86" s="424"/>
      <c r="W86" s="585"/>
    </row>
    <row r="87" spans="1:26" ht="15.6" outlineLevel="1">
      <c r="A87" s="476" t="s">
        <v>595</v>
      </c>
      <c r="B87" s="418" t="s">
        <v>596</v>
      </c>
      <c r="C87" s="425">
        <v>5</v>
      </c>
      <c r="D87" s="426">
        <v>8</v>
      </c>
      <c r="E87" s="421">
        <v>1</v>
      </c>
      <c r="F87" s="424">
        <f t="shared" ref="F87:F90" si="93">C87*D87*E87</f>
        <v>40</v>
      </c>
      <c r="G87" s="425">
        <f t="shared" ref="G87:G90" si="94">C87*$B$7</f>
        <v>5.25</v>
      </c>
      <c r="H87" s="426">
        <v>8</v>
      </c>
      <c r="I87" s="421">
        <v>1</v>
      </c>
      <c r="J87" s="424">
        <f t="shared" ref="J87:J90" si="95">G87*H87*I87</f>
        <v>42</v>
      </c>
      <c r="K87" s="425">
        <f t="shared" ref="K87:K90" si="96">G87*$B$7</f>
        <v>5.5125000000000002</v>
      </c>
      <c r="L87" s="426">
        <v>8</v>
      </c>
      <c r="M87" s="421">
        <v>1</v>
      </c>
      <c r="N87" s="424">
        <f t="shared" ref="N87:N90" si="97">K87*L87*M87</f>
        <v>44.1</v>
      </c>
      <c r="O87" s="425">
        <f t="shared" ref="O87:O90" si="98">K87*$B$7</f>
        <v>5.7881250000000009</v>
      </c>
      <c r="P87" s="426">
        <v>8</v>
      </c>
      <c r="Q87" s="421">
        <v>1</v>
      </c>
      <c r="R87" s="424">
        <f t="shared" ref="R87:R90" si="99">O87*P87*Q87</f>
        <v>46.305000000000007</v>
      </c>
      <c r="S87" s="425">
        <f t="shared" ref="S87:S90" si="100">O87*$B$7</f>
        <v>6.0775312500000007</v>
      </c>
      <c r="T87" s="426">
        <v>0</v>
      </c>
      <c r="U87" s="421">
        <v>1</v>
      </c>
      <c r="V87" s="424">
        <f t="shared" ref="V87:V90" si="101">S87*T87*U87</f>
        <v>0</v>
      </c>
      <c r="W87" s="581">
        <f>F87+J87+N87+V87+R87</f>
        <v>172.405</v>
      </c>
      <c r="Z87" s="368">
        <f>+W87</f>
        <v>172.405</v>
      </c>
    </row>
    <row r="88" spans="1:26" ht="15.6" outlineLevel="1">
      <c r="A88" s="476" t="s">
        <v>597</v>
      </c>
      <c r="B88" s="418" t="s">
        <v>596</v>
      </c>
      <c r="C88" s="425">
        <v>10</v>
      </c>
      <c r="D88" s="426">
        <v>8</v>
      </c>
      <c r="E88" s="421">
        <v>1</v>
      </c>
      <c r="F88" s="424">
        <f t="shared" si="93"/>
        <v>80</v>
      </c>
      <c r="G88" s="425">
        <f t="shared" si="94"/>
        <v>10.5</v>
      </c>
      <c r="H88" s="426">
        <v>8</v>
      </c>
      <c r="I88" s="421">
        <v>1</v>
      </c>
      <c r="J88" s="424">
        <f t="shared" si="95"/>
        <v>84</v>
      </c>
      <c r="K88" s="425">
        <f t="shared" si="96"/>
        <v>11.025</v>
      </c>
      <c r="L88" s="426">
        <v>8</v>
      </c>
      <c r="M88" s="421">
        <v>1</v>
      </c>
      <c r="N88" s="424">
        <f t="shared" si="97"/>
        <v>88.2</v>
      </c>
      <c r="O88" s="425">
        <f t="shared" si="98"/>
        <v>11.576250000000002</v>
      </c>
      <c r="P88" s="426">
        <v>8</v>
      </c>
      <c r="Q88" s="421">
        <v>1</v>
      </c>
      <c r="R88" s="424">
        <f t="shared" si="99"/>
        <v>92.610000000000014</v>
      </c>
      <c r="S88" s="425">
        <f t="shared" si="100"/>
        <v>12.155062500000001</v>
      </c>
      <c r="T88" s="426">
        <v>0</v>
      </c>
      <c r="U88" s="421">
        <v>1</v>
      </c>
      <c r="V88" s="424">
        <f t="shared" si="101"/>
        <v>0</v>
      </c>
      <c r="W88" s="581">
        <f>F88+J88+N88+V88+R88</f>
        <v>344.81</v>
      </c>
      <c r="Z88" s="368">
        <f>+W88</f>
        <v>344.81</v>
      </c>
    </row>
    <row r="89" spans="1:26" ht="15.6" outlineLevel="1">
      <c r="A89" s="476" t="s">
        <v>599</v>
      </c>
      <c r="B89" s="418" t="s">
        <v>596</v>
      </c>
      <c r="C89" s="425">
        <v>45</v>
      </c>
      <c r="D89" s="426">
        <v>8</v>
      </c>
      <c r="E89" s="421">
        <v>1</v>
      </c>
      <c r="F89" s="424">
        <f t="shared" si="93"/>
        <v>360</v>
      </c>
      <c r="G89" s="425">
        <f t="shared" si="94"/>
        <v>47.25</v>
      </c>
      <c r="H89" s="426">
        <v>8</v>
      </c>
      <c r="I89" s="421">
        <v>1</v>
      </c>
      <c r="J89" s="424">
        <f t="shared" si="95"/>
        <v>378</v>
      </c>
      <c r="K89" s="425">
        <f t="shared" si="96"/>
        <v>49.612500000000004</v>
      </c>
      <c r="L89" s="426">
        <v>8</v>
      </c>
      <c r="M89" s="421">
        <v>1</v>
      </c>
      <c r="N89" s="424">
        <f t="shared" si="97"/>
        <v>396.90000000000003</v>
      </c>
      <c r="O89" s="425">
        <f t="shared" si="98"/>
        <v>52.093125000000008</v>
      </c>
      <c r="P89" s="426">
        <v>8</v>
      </c>
      <c r="Q89" s="421">
        <v>1</v>
      </c>
      <c r="R89" s="424">
        <f t="shared" si="99"/>
        <v>416.74500000000006</v>
      </c>
      <c r="S89" s="425">
        <f t="shared" si="100"/>
        <v>54.697781250000013</v>
      </c>
      <c r="T89" s="426">
        <v>0</v>
      </c>
      <c r="U89" s="421">
        <v>1</v>
      </c>
      <c r="V89" s="424">
        <f t="shared" si="101"/>
        <v>0</v>
      </c>
      <c r="W89" s="581">
        <f>F89+J89+N89+V89+R89</f>
        <v>1551.6450000000002</v>
      </c>
      <c r="Z89" s="368">
        <f>+W89</f>
        <v>1551.6450000000002</v>
      </c>
    </row>
    <row r="90" spans="1:26" ht="15.6" outlineLevel="1">
      <c r="A90" s="476" t="s">
        <v>600</v>
      </c>
      <c r="B90" s="418" t="s">
        <v>596</v>
      </c>
      <c r="C90" s="425">
        <v>5</v>
      </c>
      <c r="D90" s="426">
        <v>8</v>
      </c>
      <c r="E90" s="421">
        <v>1</v>
      </c>
      <c r="F90" s="424">
        <f t="shared" si="93"/>
        <v>40</v>
      </c>
      <c r="G90" s="425">
        <f t="shared" si="94"/>
        <v>5.25</v>
      </c>
      <c r="H90" s="426">
        <v>8</v>
      </c>
      <c r="I90" s="421">
        <v>1</v>
      </c>
      <c r="J90" s="424">
        <f t="shared" si="95"/>
        <v>42</v>
      </c>
      <c r="K90" s="425">
        <f t="shared" si="96"/>
        <v>5.5125000000000002</v>
      </c>
      <c r="L90" s="426">
        <v>8</v>
      </c>
      <c r="M90" s="421">
        <v>1</v>
      </c>
      <c r="N90" s="424">
        <f t="shared" si="97"/>
        <v>44.1</v>
      </c>
      <c r="O90" s="425">
        <f t="shared" si="98"/>
        <v>5.7881250000000009</v>
      </c>
      <c r="P90" s="426">
        <v>8</v>
      </c>
      <c r="Q90" s="421">
        <v>1</v>
      </c>
      <c r="R90" s="424">
        <f t="shared" si="99"/>
        <v>46.305000000000007</v>
      </c>
      <c r="S90" s="425">
        <f t="shared" si="100"/>
        <v>6.0775312500000007</v>
      </c>
      <c r="T90" s="426">
        <v>0</v>
      </c>
      <c r="U90" s="421">
        <v>1</v>
      </c>
      <c r="V90" s="424">
        <f t="shared" si="101"/>
        <v>0</v>
      </c>
      <c r="W90" s="581">
        <f>F90+J90+N90+V90+R90</f>
        <v>172.405</v>
      </c>
      <c r="Z90" s="368">
        <f>+W90</f>
        <v>172.405</v>
      </c>
    </row>
    <row r="91" spans="1:26" ht="15.6" outlineLevel="1">
      <c r="A91" s="477"/>
      <c r="B91" s="418"/>
      <c r="C91" s="425"/>
      <c r="D91" s="426"/>
      <c r="E91" s="421"/>
      <c r="F91" s="424"/>
      <c r="G91" s="425"/>
      <c r="H91" s="426"/>
      <c r="I91" s="421"/>
      <c r="J91" s="424"/>
      <c r="K91" s="425"/>
      <c r="L91" s="426"/>
      <c r="M91" s="421"/>
      <c r="N91" s="424"/>
      <c r="O91" s="425"/>
      <c r="P91" s="426"/>
      <c r="Q91" s="421"/>
      <c r="R91" s="424"/>
      <c r="S91" s="425"/>
      <c r="T91" s="426"/>
      <c r="U91" s="421"/>
      <c r="V91" s="424"/>
      <c r="W91" s="580"/>
    </row>
    <row r="92" spans="1:26" ht="15.6" outlineLevel="1">
      <c r="A92" s="471" t="s">
        <v>608</v>
      </c>
      <c r="B92" s="418"/>
      <c r="C92" s="425"/>
      <c r="D92" s="426"/>
      <c r="E92" s="421"/>
      <c r="F92" s="424"/>
      <c r="G92" s="425"/>
      <c r="H92" s="426"/>
      <c r="I92" s="421"/>
      <c r="J92" s="424"/>
      <c r="K92" s="425"/>
      <c r="L92" s="426"/>
      <c r="M92" s="421"/>
      <c r="N92" s="424"/>
      <c r="O92" s="425"/>
      <c r="P92" s="426"/>
      <c r="Q92" s="421"/>
      <c r="R92" s="424"/>
      <c r="S92" s="425"/>
      <c r="T92" s="426"/>
      <c r="U92" s="421"/>
      <c r="V92" s="424"/>
      <c r="W92" s="585"/>
    </row>
    <row r="93" spans="1:26" ht="15.6" outlineLevel="1">
      <c r="A93" s="476" t="s">
        <v>595</v>
      </c>
      <c r="B93" s="418" t="s">
        <v>596</v>
      </c>
      <c r="C93" s="425">
        <v>5</v>
      </c>
      <c r="D93" s="426">
        <v>150</v>
      </c>
      <c r="E93" s="421">
        <v>1</v>
      </c>
      <c r="F93" s="424">
        <f t="shared" ref="F93:F94" si="102">C93*D93*E93</f>
        <v>750</v>
      </c>
      <c r="G93" s="425">
        <f t="shared" ref="G93:G94" si="103">C93*$B$7</f>
        <v>5.25</v>
      </c>
      <c r="H93" s="426">
        <v>150</v>
      </c>
      <c r="I93" s="421">
        <v>1</v>
      </c>
      <c r="J93" s="424">
        <f t="shared" ref="J93:J94" si="104">G93*H93*I93</f>
        <v>787.5</v>
      </c>
      <c r="K93" s="425">
        <f t="shared" ref="K93:K94" si="105">G93*$B$7</f>
        <v>5.5125000000000002</v>
      </c>
      <c r="L93" s="426">
        <f>+H93</f>
        <v>150</v>
      </c>
      <c r="M93" s="421">
        <v>1</v>
      </c>
      <c r="N93" s="424">
        <f t="shared" ref="N93:N94" si="106">K93*L93*M93</f>
        <v>826.875</v>
      </c>
      <c r="O93" s="425">
        <f t="shared" ref="O93:O94" si="107">K93*$B$7</f>
        <v>5.7881250000000009</v>
      </c>
      <c r="P93" s="426">
        <f>+H93</f>
        <v>150</v>
      </c>
      <c r="Q93" s="421">
        <v>1</v>
      </c>
      <c r="R93" s="424">
        <f t="shared" ref="R93:R94" si="108">O93*P93*Q93</f>
        <v>868.21875000000011</v>
      </c>
      <c r="S93" s="425">
        <f t="shared" ref="S93:S94" si="109">O93*$B$7</f>
        <v>6.0775312500000007</v>
      </c>
      <c r="T93" s="426">
        <v>0</v>
      </c>
      <c r="U93" s="421">
        <v>1</v>
      </c>
      <c r="V93" s="424">
        <f t="shared" ref="V93:V94" si="110">S93*T93*U93</f>
        <v>0</v>
      </c>
      <c r="W93" s="581">
        <f>F93+J93+N93+V93+R93</f>
        <v>3232.59375</v>
      </c>
      <c r="Z93" s="368">
        <f>+W93</f>
        <v>3232.59375</v>
      </c>
    </row>
    <row r="94" spans="1:26" ht="15.6" outlineLevel="1">
      <c r="A94" s="476" t="s">
        <v>597</v>
      </c>
      <c r="B94" s="418" t="s">
        <v>596</v>
      </c>
      <c r="C94" s="425">
        <v>10</v>
      </c>
      <c r="D94" s="426">
        <v>150</v>
      </c>
      <c r="E94" s="421">
        <v>1</v>
      </c>
      <c r="F94" s="424">
        <f t="shared" si="102"/>
        <v>1500</v>
      </c>
      <c r="G94" s="425">
        <f t="shared" si="103"/>
        <v>10.5</v>
      </c>
      <c r="H94" s="426">
        <v>150</v>
      </c>
      <c r="I94" s="421">
        <v>1</v>
      </c>
      <c r="J94" s="424">
        <f t="shared" si="104"/>
        <v>1575</v>
      </c>
      <c r="K94" s="425">
        <f t="shared" si="105"/>
        <v>11.025</v>
      </c>
      <c r="L94" s="426">
        <f>+H94</f>
        <v>150</v>
      </c>
      <c r="M94" s="421">
        <v>1</v>
      </c>
      <c r="N94" s="424">
        <f t="shared" si="106"/>
        <v>1653.75</v>
      </c>
      <c r="O94" s="425">
        <f t="shared" si="107"/>
        <v>11.576250000000002</v>
      </c>
      <c r="P94" s="426">
        <f>+H94</f>
        <v>150</v>
      </c>
      <c r="Q94" s="421">
        <v>1</v>
      </c>
      <c r="R94" s="424">
        <f t="shared" si="108"/>
        <v>1736.4375000000002</v>
      </c>
      <c r="S94" s="425">
        <f t="shared" si="109"/>
        <v>12.155062500000001</v>
      </c>
      <c r="T94" s="426">
        <v>0</v>
      </c>
      <c r="U94" s="421">
        <v>1</v>
      </c>
      <c r="V94" s="424">
        <f t="shared" si="110"/>
        <v>0</v>
      </c>
      <c r="W94" s="581">
        <f>F94+J94+N94+V94+R94</f>
        <v>6465.1875</v>
      </c>
      <c r="Z94" s="368">
        <f>+W94</f>
        <v>6465.1875</v>
      </c>
    </row>
    <row r="95" spans="1:26" ht="15.6" outlineLevel="1">
      <c r="A95" s="477"/>
      <c r="B95" s="418"/>
      <c r="C95" s="425"/>
      <c r="D95" s="426"/>
      <c r="E95" s="421"/>
      <c r="F95" s="424"/>
      <c r="G95" s="425"/>
      <c r="H95" s="426"/>
      <c r="I95" s="421"/>
      <c r="J95" s="424"/>
      <c r="K95" s="425"/>
      <c r="L95" s="426"/>
      <c r="M95" s="421"/>
      <c r="N95" s="424"/>
      <c r="O95" s="425"/>
      <c r="P95" s="426"/>
      <c r="Q95" s="421"/>
      <c r="R95" s="424"/>
      <c r="S95" s="425"/>
      <c r="T95" s="426"/>
      <c r="U95" s="421"/>
      <c r="V95" s="424"/>
      <c r="W95" s="585"/>
    </row>
    <row r="96" spans="1:26" ht="15.6" outlineLevel="1">
      <c r="A96" s="471" t="s">
        <v>609</v>
      </c>
      <c r="B96" s="418" t="s">
        <v>590</v>
      </c>
      <c r="C96" s="419">
        <v>25</v>
      </c>
      <c r="D96" s="420">
        <v>3</v>
      </c>
      <c r="E96" s="421">
        <v>1</v>
      </c>
      <c r="F96" s="410">
        <f t="shared" si="59"/>
        <v>75</v>
      </c>
      <c r="G96" s="419">
        <f>C96*$B$6</f>
        <v>26.25</v>
      </c>
      <c r="H96" s="420">
        <v>6</v>
      </c>
      <c r="I96" s="421">
        <v>1</v>
      </c>
      <c r="J96" s="410">
        <f t="shared" si="61"/>
        <v>157.5</v>
      </c>
      <c r="K96" s="419">
        <f>G96*$B$6</f>
        <v>27.5625</v>
      </c>
      <c r="L96" s="420">
        <v>6</v>
      </c>
      <c r="M96" s="421">
        <v>1</v>
      </c>
      <c r="N96" s="410">
        <f t="shared" si="63"/>
        <v>165.375</v>
      </c>
      <c r="O96" s="419">
        <f>K96*$B$6</f>
        <v>28.940625000000001</v>
      </c>
      <c r="P96" s="420">
        <v>6</v>
      </c>
      <c r="Q96" s="421">
        <v>1</v>
      </c>
      <c r="R96" s="410">
        <f t="shared" si="65"/>
        <v>173.64375000000001</v>
      </c>
      <c r="S96" s="419">
        <f>O96*$B$6</f>
        <v>30.387656250000003</v>
      </c>
      <c r="T96" s="420">
        <v>3</v>
      </c>
      <c r="U96" s="421">
        <v>1</v>
      </c>
      <c r="V96" s="410">
        <f t="shared" si="67"/>
        <v>91.162968750000005</v>
      </c>
      <c r="W96" s="581">
        <f t="shared" ref="W96:W104" si="111">F96+J96+N96+V96+R96</f>
        <v>662.68171875000007</v>
      </c>
      <c r="X96" s="368">
        <f t="shared" ref="X96:X104" si="112">+W96*$X$12</f>
        <v>530.14537500000006</v>
      </c>
      <c r="Y96" s="368">
        <f t="shared" ref="Y96:Y104" si="113">+W96*$Y$12</f>
        <v>66.268171875000007</v>
      </c>
      <c r="Z96" s="368">
        <f t="shared" ref="Z96:Z104" si="114">+W96*$Z$12</f>
        <v>66.268171875000007</v>
      </c>
    </row>
    <row r="97" spans="1:29" ht="15.6" outlineLevel="1">
      <c r="A97" s="471" t="s">
        <v>610</v>
      </c>
      <c r="B97" s="418" t="s">
        <v>590</v>
      </c>
      <c r="C97" s="419">
        <v>50</v>
      </c>
      <c r="D97" s="420">
        <v>3</v>
      </c>
      <c r="E97" s="421">
        <v>1</v>
      </c>
      <c r="F97" s="410">
        <f t="shared" si="59"/>
        <v>150</v>
      </c>
      <c r="G97" s="419">
        <f>C97*$B$6</f>
        <v>52.5</v>
      </c>
      <c r="H97" s="420">
        <v>1</v>
      </c>
      <c r="I97" s="421">
        <v>1</v>
      </c>
      <c r="J97" s="410">
        <f t="shared" si="61"/>
        <v>52.5</v>
      </c>
      <c r="K97" s="419">
        <f>G97*$B$6</f>
        <v>55.125</v>
      </c>
      <c r="L97" s="420">
        <v>1</v>
      </c>
      <c r="M97" s="421">
        <v>1</v>
      </c>
      <c r="N97" s="410">
        <f t="shared" si="63"/>
        <v>55.125</v>
      </c>
      <c r="O97" s="419">
        <f>K97*$B$6</f>
        <v>57.881250000000001</v>
      </c>
      <c r="P97" s="420">
        <v>1</v>
      </c>
      <c r="Q97" s="421">
        <v>1</v>
      </c>
      <c r="R97" s="410">
        <f t="shared" si="65"/>
        <v>57.881250000000001</v>
      </c>
      <c r="S97" s="419">
        <f>O97*$B$6</f>
        <v>60.775312500000005</v>
      </c>
      <c r="T97" s="420">
        <v>3</v>
      </c>
      <c r="U97" s="421">
        <v>1</v>
      </c>
      <c r="V97" s="410">
        <f t="shared" si="67"/>
        <v>182.32593750000001</v>
      </c>
      <c r="W97" s="581">
        <f t="shared" si="111"/>
        <v>497.83218750000003</v>
      </c>
      <c r="X97" s="368">
        <f t="shared" si="112"/>
        <v>398.26575000000003</v>
      </c>
      <c r="Y97" s="368">
        <f t="shared" si="113"/>
        <v>49.783218750000003</v>
      </c>
      <c r="Z97" s="368">
        <f t="shared" si="114"/>
        <v>49.783218750000003</v>
      </c>
    </row>
    <row r="98" spans="1:29" ht="15.6" outlineLevel="1">
      <c r="A98" s="471" t="s">
        <v>611</v>
      </c>
      <c r="B98" s="418" t="s">
        <v>590</v>
      </c>
      <c r="C98" s="419">
        <v>15</v>
      </c>
      <c r="D98" s="420">
        <v>3</v>
      </c>
      <c r="E98" s="421">
        <v>1</v>
      </c>
      <c r="F98" s="410">
        <f t="shared" si="59"/>
        <v>45</v>
      </c>
      <c r="G98" s="419">
        <f>C98*$B$6</f>
        <v>15.75</v>
      </c>
      <c r="H98" s="420">
        <v>6</v>
      </c>
      <c r="I98" s="421">
        <v>1</v>
      </c>
      <c r="J98" s="410">
        <f t="shared" si="61"/>
        <v>94.5</v>
      </c>
      <c r="K98" s="419">
        <f>G98*$B$6</f>
        <v>16.537500000000001</v>
      </c>
      <c r="L98" s="420">
        <v>6</v>
      </c>
      <c r="M98" s="421">
        <v>1</v>
      </c>
      <c r="N98" s="410">
        <f t="shared" si="63"/>
        <v>99.225000000000009</v>
      </c>
      <c r="O98" s="419">
        <f>K98*$B$6</f>
        <v>17.364375000000003</v>
      </c>
      <c r="P98" s="420">
        <v>6</v>
      </c>
      <c r="Q98" s="421">
        <v>1</v>
      </c>
      <c r="R98" s="410">
        <f t="shared" si="65"/>
        <v>104.18625000000002</v>
      </c>
      <c r="S98" s="419">
        <f>O98*$B$6</f>
        <v>18.232593750000003</v>
      </c>
      <c r="T98" s="420">
        <v>3</v>
      </c>
      <c r="U98" s="421">
        <v>1</v>
      </c>
      <c r="V98" s="410">
        <f t="shared" si="67"/>
        <v>54.697781250000006</v>
      </c>
      <c r="W98" s="581">
        <f t="shared" si="111"/>
        <v>397.60903125000004</v>
      </c>
      <c r="X98" s="479">
        <f t="shared" si="112"/>
        <v>318.08722500000005</v>
      </c>
      <c r="Y98" s="368">
        <f t="shared" si="113"/>
        <v>39.760903125000006</v>
      </c>
      <c r="Z98" s="368">
        <f t="shared" si="114"/>
        <v>39.760903125000006</v>
      </c>
    </row>
    <row r="99" spans="1:29" ht="15.6" outlineLevel="1">
      <c r="A99" s="478" t="s">
        <v>612</v>
      </c>
      <c r="B99" s="418" t="s">
        <v>590</v>
      </c>
      <c r="C99" s="425">
        <v>50</v>
      </c>
      <c r="D99" s="426">
        <v>3</v>
      </c>
      <c r="E99" s="421">
        <v>1</v>
      </c>
      <c r="F99" s="424">
        <f t="shared" si="59"/>
        <v>150</v>
      </c>
      <c r="G99" s="425">
        <f t="shared" ref="G99:G100" si="115">C99*$B$7</f>
        <v>52.5</v>
      </c>
      <c r="H99" s="426">
        <v>12</v>
      </c>
      <c r="I99" s="421">
        <v>1</v>
      </c>
      <c r="J99" s="424">
        <f t="shared" si="61"/>
        <v>630</v>
      </c>
      <c r="K99" s="425">
        <f t="shared" ref="K99:K100" si="116">G99*$B$7</f>
        <v>55.125</v>
      </c>
      <c r="L99" s="426">
        <v>12</v>
      </c>
      <c r="M99" s="421">
        <v>1</v>
      </c>
      <c r="N99" s="424">
        <f t="shared" si="63"/>
        <v>661.5</v>
      </c>
      <c r="O99" s="425">
        <f t="shared" ref="O99:O100" si="117">K99*$B$7</f>
        <v>57.881250000000001</v>
      </c>
      <c r="P99" s="426">
        <v>12</v>
      </c>
      <c r="Q99" s="421">
        <v>1</v>
      </c>
      <c r="R99" s="424">
        <f t="shared" si="65"/>
        <v>694.57500000000005</v>
      </c>
      <c r="S99" s="425">
        <f t="shared" ref="S99:S100" si="118">O99*$B$7</f>
        <v>60.775312500000005</v>
      </c>
      <c r="T99" s="426">
        <v>3</v>
      </c>
      <c r="U99" s="421">
        <v>1</v>
      </c>
      <c r="V99" s="424">
        <f t="shared" si="67"/>
        <v>182.32593750000001</v>
      </c>
      <c r="W99" s="581">
        <f t="shared" si="111"/>
        <v>2318.4009375000001</v>
      </c>
      <c r="X99" s="368">
        <f t="shared" si="112"/>
        <v>1854.7207500000002</v>
      </c>
      <c r="Y99" s="368">
        <f t="shared" si="113"/>
        <v>231.84009375000002</v>
      </c>
      <c r="Z99" s="368">
        <f t="shared" si="114"/>
        <v>231.84009375000002</v>
      </c>
    </row>
    <row r="100" spans="1:29" ht="15.6" outlineLevel="1">
      <c r="A100" s="478" t="s">
        <v>613</v>
      </c>
      <c r="B100" s="418" t="s">
        <v>590</v>
      </c>
      <c r="C100" s="425">
        <v>6</v>
      </c>
      <c r="D100" s="426">
        <f>5*3</f>
        <v>15</v>
      </c>
      <c r="E100" s="421">
        <v>1</v>
      </c>
      <c r="F100" s="424">
        <f t="shared" si="59"/>
        <v>90</v>
      </c>
      <c r="G100" s="425">
        <f t="shared" si="115"/>
        <v>6.3000000000000007</v>
      </c>
      <c r="H100" s="426">
        <f>6*12</f>
        <v>72</v>
      </c>
      <c r="I100" s="421">
        <v>1</v>
      </c>
      <c r="J100" s="424">
        <f t="shared" si="61"/>
        <v>453.6</v>
      </c>
      <c r="K100" s="425">
        <f t="shared" si="116"/>
        <v>6.6150000000000011</v>
      </c>
      <c r="L100" s="426">
        <f>6*12</f>
        <v>72</v>
      </c>
      <c r="M100" s="421">
        <v>1</v>
      </c>
      <c r="N100" s="424">
        <f t="shared" si="63"/>
        <v>476.28000000000009</v>
      </c>
      <c r="O100" s="425">
        <f t="shared" si="117"/>
        <v>6.9457500000000012</v>
      </c>
      <c r="P100" s="426">
        <f>6*12</f>
        <v>72</v>
      </c>
      <c r="Q100" s="421">
        <v>1</v>
      </c>
      <c r="R100" s="424">
        <f t="shared" si="65"/>
        <v>500.09400000000011</v>
      </c>
      <c r="S100" s="425">
        <f t="shared" si="118"/>
        <v>7.2930375000000014</v>
      </c>
      <c r="T100" s="426">
        <f>5*3</f>
        <v>15</v>
      </c>
      <c r="U100" s="421">
        <v>1</v>
      </c>
      <c r="V100" s="424">
        <f t="shared" si="67"/>
        <v>109.39556250000003</v>
      </c>
      <c r="W100" s="581">
        <f t="shared" si="111"/>
        <v>1629.3695625000003</v>
      </c>
      <c r="X100" s="368">
        <f t="shared" si="112"/>
        <v>1303.4956500000003</v>
      </c>
      <c r="Y100" s="368">
        <f t="shared" si="113"/>
        <v>162.93695625000004</v>
      </c>
      <c r="Z100" s="368">
        <f t="shared" si="114"/>
        <v>162.93695625000004</v>
      </c>
    </row>
    <row r="101" spans="1:29" ht="15.6" outlineLevel="1">
      <c r="A101" s="478" t="s">
        <v>614</v>
      </c>
      <c r="B101" s="418" t="s">
        <v>590</v>
      </c>
      <c r="C101" s="425">
        <v>6</v>
      </c>
      <c r="D101" s="426">
        <f>+((10+1+1+8)*2)</f>
        <v>40</v>
      </c>
      <c r="E101" s="421">
        <v>1</v>
      </c>
      <c r="F101" s="424">
        <f t="shared" si="59"/>
        <v>240</v>
      </c>
      <c r="G101" s="425">
        <f t="shared" si="77"/>
        <v>6.3000000000000007</v>
      </c>
      <c r="H101" s="426">
        <f>+((10+35+1+1+8)*12)</f>
        <v>660</v>
      </c>
      <c r="I101" s="421">
        <v>1</v>
      </c>
      <c r="J101" s="424">
        <f t="shared" si="61"/>
        <v>4158.0000000000009</v>
      </c>
      <c r="K101" s="425">
        <f t="shared" ref="K101:K104" si="119">G101*$B$7</f>
        <v>6.6150000000000011</v>
      </c>
      <c r="L101" s="426">
        <f>+((10+35+1+1+8)*12)</f>
        <v>660</v>
      </c>
      <c r="M101" s="421">
        <v>1</v>
      </c>
      <c r="N101" s="424">
        <f t="shared" si="63"/>
        <v>4365.9000000000005</v>
      </c>
      <c r="O101" s="425">
        <f t="shared" ref="O101:O104" si="120">K101*$B$7</f>
        <v>6.9457500000000012</v>
      </c>
      <c r="P101" s="426">
        <f>+((10+35+1+1+8)*12)</f>
        <v>660</v>
      </c>
      <c r="Q101" s="421">
        <v>1</v>
      </c>
      <c r="R101" s="424">
        <f t="shared" si="65"/>
        <v>4584.1950000000006</v>
      </c>
      <c r="S101" s="425">
        <f t="shared" ref="S101:S104" si="121">O101*$B$7</f>
        <v>7.2930375000000014</v>
      </c>
      <c r="T101" s="426">
        <v>3</v>
      </c>
      <c r="U101" s="421">
        <v>1</v>
      </c>
      <c r="V101" s="424">
        <f t="shared" si="67"/>
        <v>21.879112500000005</v>
      </c>
      <c r="W101" s="581">
        <f t="shared" si="111"/>
        <v>13369.974112500004</v>
      </c>
      <c r="X101" s="368">
        <f t="shared" si="112"/>
        <v>10695.979290000003</v>
      </c>
      <c r="Y101" s="368">
        <f t="shared" si="113"/>
        <v>1336.9974112500004</v>
      </c>
      <c r="Z101" s="368">
        <f t="shared" si="114"/>
        <v>1336.9974112500004</v>
      </c>
    </row>
    <row r="102" spans="1:29" ht="15.6" outlineLevel="1">
      <c r="A102" s="478" t="s">
        <v>615</v>
      </c>
      <c r="B102" s="418" t="s">
        <v>590</v>
      </c>
      <c r="C102" s="419">
        <v>20</v>
      </c>
      <c r="D102" s="420">
        <v>3</v>
      </c>
      <c r="E102" s="421">
        <v>1</v>
      </c>
      <c r="F102" s="410">
        <f t="shared" si="59"/>
        <v>60</v>
      </c>
      <c r="G102" s="419">
        <f t="shared" si="77"/>
        <v>21</v>
      </c>
      <c r="H102" s="420">
        <v>12</v>
      </c>
      <c r="I102" s="421">
        <v>1</v>
      </c>
      <c r="J102" s="410">
        <f t="shared" si="61"/>
        <v>252</v>
      </c>
      <c r="K102" s="419">
        <f t="shared" si="119"/>
        <v>22.05</v>
      </c>
      <c r="L102" s="420">
        <v>12</v>
      </c>
      <c r="M102" s="421">
        <v>1</v>
      </c>
      <c r="N102" s="410">
        <f t="shared" si="63"/>
        <v>264.60000000000002</v>
      </c>
      <c r="O102" s="419">
        <f t="shared" si="120"/>
        <v>23.152500000000003</v>
      </c>
      <c r="P102" s="420">
        <v>12</v>
      </c>
      <c r="Q102" s="421">
        <v>1</v>
      </c>
      <c r="R102" s="410">
        <f t="shared" si="65"/>
        <v>277.83000000000004</v>
      </c>
      <c r="S102" s="419">
        <f t="shared" si="121"/>
        <v>24.310125000000003</v>
      </c>
      <c r="T102" s="420">
        <v>3</v>
      </c>
      <c r="U102" s="421">
        <v>1</v>
      </c>
      <c r="V102" s="410">
        <f t="shared" si="67"/>
        <v>72.930375000000012</v>
      </c>
      <c r="W102" s="581">
        <f t="shared" si="111"/>
        <v>927.36037500000009</v>
      </c>
      <c r="X102" s="368">
        <f t="shared" si="112"/>
        <v>741.88830000000007</v>
      </c>
      <c r="Y102" s="368">
        <f t="shared" si="113"/>
        <v>92.736037500000009</v>
      </c>
      <c r="Z102" s="368">
        <f t="shared" si="114"/>
        <v>92.736037500000009</v>
      </c>
    </row>
    <row r="103" spans="1:29" ht="15.6" outlineLevel="1">
      <c r="A103" s="478" t="s">
        <v>616</v>
      </c>
      <c r="B103" s="418" t="s">
        <v>590</v>
      </c>
      <c r="C103" s="425">
        <v>50</v>
      </c>
      <c r="D103" s="426">
        <v>3</v>
      </c>
      <c r="E103" s="421">
        <v>1</v>
      </c>
      <c r="F103" s="424">
        <f t="shared" si="59"/>
        <v>150</v>
      </c>
      <c r="G103" s="425">
        <f t="shared" si="77"/>
        <v>52.5</v>
      </c>
      <c r="H103" s="426">
        <v>12</v>
      </c>
      <c r="I103" s="421">
        <v>1</v>
      </c>
      <c r="J103" s="424">
        <f t="shared" si="61"/>
        <v>630</v>
      </c>
      <c r="K103" s="425">
        <f t="shared" si="119"/>
        <v>55.125</v>
      </c>
      <c r="L103" s="426">
        <v>12</v>
      </c>
      <c r="M103" s="421">
        <v>1</v>
      </c>
      <c r="N103" s="424">
        <f t="shared" si="63"/>
        <v>661.5</v>
      </c>
      <c r="O103" s="425">
        <f t="shared" si="120"/>
        <v>57.881250000000001</v>
      </c>
      <c r="P103" s="426">
        <v>12</v>
      </c>
      <c r="Q103" s="421">
        <v>1</v>
      </c>
      <c r="R103" s="424">
        <f t="shared" si="65"/>
        <v>694.57500000000005</v>
      </c>
      <c r="S103" s="425">
        <f t="shared" si="121"/>
        <v>60.775312500000005</v>
      </c>
      <c r="T103" s="426">
        <v>3</v>
      </c>
      <c r="U103" s="421">
        <v>1</v>
      </c>
      <c r="V103" s="424">
        <f t="shared" si="67"/>
        <v>182.32593750000001</v>
      </c>
      <c r="W103" s="581">
        <f t="shared" si="111"/>
        <v>2318.4009375000001</v>
      </c>
      <c r="X103" s="368">
        <f t="shared" si="112"/>
        <v>1854.7207500000002</v>
      </c>
      <c r="Y103" s="368">
        <f t="shared" si="113"/>
        <v>231.84009375000002</v>
      </c>
      <c r="Z103" s="368">
        <f t="shared" si="114"/>
        <v>231.84009375000002</v>
      </c>
    </row>
    <row r="104" spans="1:29" ht="15.6" outlineLevel="1">
      <c r="A104" s="478" t="s">
        <v>617</v>
      </c>
      <c r="B104" s="418" t="s">
        <v>590</v>
      </c>
      <c r="C104" s="419">
        <v>25</v>
      </c>
      <c r="D104" s="420">
        <v>3</v>
      </c>
      <c r="E104" s="421">
        <v>1</v>
      </c>
      <c r="F104" s="410">
        <f t="shared" si="59"/>
        <v>75</v>
      </c>
      <c r="G104" s="419">
        <f t="shared" si="77"/>
        <v>26.25</v>
      </c>
      <c r="H104" s="420">
        <v>12</v>
      </c>
      <c r="I104" s="421">
        <v>1</v>
      </c>
      <c r="J104" s="410">
        <f t="shared" si="61"/>
        <v>315</v>
      </c>
      <c r="K104" s="419">
        <f t="shared" si="119"/>
        <v>27.5625</v>
      </c>
      <c r="L104" s="420">
        <v>12</v>
      </c>
      <c r="M104" s="421">
        <v>1</v>
      </c>
      <c r="N104" s="410">
        <f t="shared" si="63"/>
        <v>330.75</v>
      </c>
      <c r="O104" s="419">
        <f t="shared" si="120"/>
        <v>28.940625000000001</v>
      </c>
      <c r="P104" s="420">
        <v>12</v>
      </c>
      <c r="Q104" s="421">
        <v>1</v>
      </c>
      <c r="R104" s="410">
        <f t="shared" si="65"/>
        <v>347.28750000000002</v>
      </c>
      <c r="S104" s="419">
        <f t="shared" si="121"/>
        <v>30.387656250000003</v>
      </c>
      <c r="T104" s="420">
        <v>3</v>
      </c>
      <c r="U104" s="421">
        <v>1</v>
      </c>
      <c r="V104" s="410">
        <f t="shared" si="67"/>
        <v>91.162968750000005</v>
      </c>
      <c r="W104" s="581">
        <f t="shared" si="111"/>
        <v>1159.20046875</v>
      </c>
      <c r="X104" s="368">
        <f t="shared" si="112"/>
        <v>927.36037500000009</v>
      </c>
      <c r="Y104" s="368">
        <f t="shared" si="113"/>
        <v>115.92004687500001</v>
      </c>
      <c r="Z104" s="368">
        <f t="shared" si="114"/>
        <v>115.92004687500001</v>
      </c>
    </row>
    <row r="105" spans="1:29" ht="18.3" outlineLevel="1">
      <c r="A105" s="480" t="s">
        <v>618</v>
      </c>
      <c r="B105" s="431"/>
      <c r="C105" s="455"/>
      <c r="D105" s="456"/>
      <c r="E105" s="457"/>
      <c r="F105" s="454">
        <f>SUM(F60:F104)</f>
        <v>35940</v>
      </c>
      <c r="G105" s="455"/>
      <c r="H105" s="456"/>
      <c r="I105" s="481"/>
      <c r="J105" s="454">
        <f>SUM(J60:J104)</f>
        <v>51672.6</v>
      </c>
      <c r="K105" s="455"/>
      <c r="L105" s="456"/>
      <c r="M105" s="457"/>
      <c r="N105" s="454">
        <f>SUM(N60:N104)</f>
        <v>54256.229999999996</v>
      </c>
      <c r="O105" s="455"/>
      <c r="P105" s="456"/>
      <c r="Q105" s="457"/>
      <c r="R105" s="454">
        <f>SUM(R60:R104)</f>
        <v>56969.041499999992</v>
      </c>
      <c r="S105" s="455"/>
      <c r="T105" s="456"/>
      <c r="U105" s="457"/>
      <c r="V105" s="454">
        <f>SUM(V60:V104)</f>
        <v>988.20658125000011</v>
      </c>
      <c r="W105" s="584">
        <f>SUM(W60:W104)</f>
        <v>199826.07808125005</v>
      </c>
      <c r="AA105" s="439">
        <f>W105*$AA$10</f>
        <v>145922.97979697058</v>
      </c>
      <c r="AB105" s="439">
        <f>W105*$AB$10</f>
        <v>16007.357193189502</v>
      </c>
      <c r="AC105" s="439">
        <f>W105*$AC$10</f>
        <v>37895.741091089949</v>
      </c>
    </row>
    <row r="106" spans="1:29" ht="15.6" outlineLevel="1">
      <c r="A106" s="482"/>
      <c r="B106" s="427"/>
      <c r="C106" s="475"/>
      <c r="D106" s="444"/>
      <c r="F106" s="414"/>
      <c r="G106" s="475"/>
      <c r="H106" s="444"/>
      <c r="J106" s="414"/>
      <c r="K106" s="475"/>
      <c r="L106" s="444"/>
      <c r="N106" s="414"/>
      <c r="O106" s="475"/>
      <c r="P106" s="444"/>
      <c r="R106" s="414"/>
      <c r="S106" s="475"/>
      <c r="T106" s="444"/>
      <c r="V106" s="414"/>
      <c r="W106" s="581"/>
    </row>
    <row r="107" spans="1:29" ht="18.3" outlineLevel="1">
      <c r="A107" s="483" t="s">
        <v>619</v>
      </c>
      <c r="B107" s="484"/>
      <c r="C107" s="486"/>
      <c r="D107" s="487"/>
      <c r="E107" s="488"/>
      <c r="F107" s="485">
        <f>F21+F25+F39+F49+F51+F58+F47+F105</f>
        <v>114224.75</v>
      </c>
      <c r="G107" s="486"/>
      <c r="H107" s="487"/>
      <c r="I107" s="489"/>
      <c r="J107" s="485">
        <f>J21+J25+J39+J49+J51+J58+J47+J105</f>
        <v>662025</v>
      </c>
      <c r="K107" s="486"/>
      <c r="L107" s="487"/>
      <c r="M107" s="488"/>
      <c r="N107" s="485">
        <f>N21+N25+N39+N49+N51+N58+N47+N105</f>
        <v>695126.25</v>
      </c>
      <c r="O107" s="486"/>
      <c r="P107" s="487"/>
      <c r="Q107" s="488"/>
      <c r="R107" s="485">
        <f>R21+R25+R39+R49+R51+R58+R47+R105</f>
        <v>729882.5625</v>
      </c>
      <c r="S107" s="486"/>
      <c r="T107" s="487"/>
      <c r="U107" s="488"/>
      <c r="V107" s="485">
        <f>V21+V25+V39+V49+V51+V58+V47+V105</f>
        <v>57316.589465625009</v>
      </c>
      <c r="W107" s="586">
        <f>W21+W25+W39+W49+W51+W58+W47+W105</f>
        <v>2258575.1519656251</v>
      </c>
      <c r="X107" s="368">
        <f>SUM(X14:X106)</f>
        <v>1566519.5334475001</v>
      </c>
      <c r="Y107" s="368">
        <f>SUM(Y14:Y106)</f>
        <v>205910.9742590625</v>
      </c>
      <c r="Z107" s="368">
        <f>SUM(Z14:Z106)</f>
        <v>486144.64425906254</v>
      </c>
    </row>
    <row r="108" spans="1:29">
      <c r="A108" s="490"/>
      <c r="B108" s="427"/>
      <c r="C108" s="475"/>
      <c r="D108" s="444"/>
      <c r="F108" s="414"/>
      <c r="G108" s="475"/>
      <c r="H108" s="444"/>
      <c r="J108" s="414"/>
      <c r="K108" s="475"/>
      <c r="L108" s="444"/>
      <c r="N108" s="414"/>
      <c r="O108" s="475"/>
      <c r="P108" s="444"/>
      <c r="R108" s="414"/>
      <c r="S108" s="475"/>
      <c r="T108" s="444"/>
      <c r="V108" s="414"/>
      <c r="W108" s="581"/>
    </row>
    <row r="109" spans="1:29" ht="20.399999999999999">
      <c r="A109" s="491" t="s">
        <v>62</v>
      </c>
      <c r="B109" s="492"/>
      <c r="C109" s="493"/>
      <c r="D109" s="493"/>
      <c r="E109" s="493"/>
      <c r="F109" s="493"/>
      <c r="G109" s="493"/>
      <c r="H109" s="493"/>
      <c r="I109" s="493"/>
      <c r="J109" s="493"/>
      <c r="K109" s="493"/>
      <c r="L109" s="493"/>
      <c r="M109" s="493"/>
      <c r="N109" s="493"/>
      <c r="O109" s="493"/>
      <c r="P109" s="493"/>
      <c r="Q109" s="493"/>
      <c r="R109" s="493"/>
      <c r="S109" s="493"/>
      <c r="T109" s="493"/>
      <c r="U109" s="493"/>
      <c r="V109" s="493"/>
      <c r="W109" s="587"/>
    </row>
    <row r="110" spans="1:29" ht="15" customHeight="1">
      <c r="A110" s="494" t="s">
        <v>64</v>
      </c>
      <c r="B110" s="495" t="s">
        <v>143</v>
      </c>
      <c r="C110" s="419">
        <f>+F107-F49-F51</f>
        <v>114224.75</v>
      </c>
      <c r="D110" s="420">
        <v>1</v>
      </c>
      <c r="E110" s="421">
        <v>0.15</v>
      </c>
      <c r="F110" s="410">
        <f>C110*D110*E110</f>
        <v>17133.712499999998</v>
      </c>
      <c r="G110" s="419">
        <f>+J107-J49-J51</f>
        <v>662025</v>
      </c>
      <c r="H110" s="420">
        <v>1</v>
      </c>
      <c r="I110" s="421">
        <f>+E110</f>
        <v>0.15</v>
      </c>
      <c r="J110" s="410">
        <f>G110*H110*I110</f>
        <v>99303.75</v>
      </c>
      <c r="K110" s="419">
        <f>+N107-N49-N51</f>
        <v>695126.25</v>
      </c>
      <c r="L110" s="420">
        <v>1</v>
      </c>
      <c r="M110" s="421">
        <f>+E110</f>
        <v>0.15</v>
      </c>
      <c r="N110" s="410">
        <f>K110*L110*M110</f>
        <v>104268.9375</v>
      </c>
      <c r="O110" s="419">
        <f>+R107-R49-R51</f>
        <v>729882.5625</v>
      </c>
      <c r="P110" s="420">
        <v>1</v>
      </c>
      <c r="Q110" s="421">
        <f>+E110</f>
        <v>0.15</v>
      </c>
      <c r="R110" s="410">
        <f>O110*P110*Q110</f>
        <v>109482.38437499999</v>
      </c>
      <c r="S110" s="419">
        <f>+V107-V49-V51</f>
        <v>57316.589465625009</v>
      </c>
      <c r="T110" s="420">
        <v>1</v>
      </c>
      <c r="U110" s="421">
        <f>+E110</f>
        <v>0.15</v>
      </c>
      <c r="V110" s="410">
        <f>S110*T110*U110</f>
        <v>8597.4884198437503</v>
      </c>
      <c r="W110" s="581">
        <f>F110+J110+N110+V110+R110</f>
        <v>338786.27279484377</v>
      </c>
      <c r="X110" s="368">
        <f>+X107*10%</f>
        <v>156651.95334475001</v>
      </c>
      <c r="Y110" s="368">
        <f t="shared" ref="Y110:Z110" si="122">+Y107*10%</f>
        <v>20591.09742590625</v>
      </c>
      <c r="Z110" s="368">
        <f t="shared" si="122"/>
        <v>48614.464425906255</v>
      </c>
      <c r="AA110" s="439">
        <f>W110*$AA$10</f>
        <v>247398.65244431113</v>
      </c>
      <c r="AB110" s="439">
        <f>W110*$AB$10</f>
        <v>27138.964707956489</v>
      </c>
      <c r="AC110" s="439">
        <f>W110*$AC$10</f>
        <v>64248.655642576159</v>
      </c>
    </row>
    <row r="111" spans="1:29">
      <c r="A111" s="496"/>
      <c r="B111" s="427"/>
      <c r="C111" s="460"/>
      <c r="D111" s="497"/>
      <c r="E111" s="498"/>
      <c r="F111" s="410"/>
      <c r="G111" s="460"/>
      <c r="H111" s="497"/>
      <c r="I111" s="499"/>
      <c r="J111" s="410"/>
      <c r="K111" s="460"/>
      <c r="L111" s="497"/>
      <c r="M111" s="498"/>
      <c r="N111" s="410"/>
      <c r="O111" s="460"/>
      <c r="P111" s="497"/>
      <c r="Q111" s="498"/>
      <c r="R111" s="410"/>
      <c r="S111" s="460"/>
      <c r="T111" s="497"/>
      <c r="U111" s="498"/>
      <c r="V111" s="410"/>
      <c r="W111" s="581"/>
    </row>
    <row r="112" spans="1:29" ht="18.3">
      <c r="A112" s="483" t="s">
        <v>620</v>
      </c>
      <c r="B112" s="484"/>
      <c r="C112" s="486"/>
      <c r="D112" s="487"/>
      <c r="E112" s="488"/>
      <c r="F112" s="485">
        <f>SUM(F110:F111)</f>
        <v>17133.712499999998</v>
      </c>
      <c r="G112" s="486"/>
      <c r="H112" s="487"/>
      <c r="I112" s="489"/>
      <c r="J112" s="485">
        <f>SUM(J110:J111)</f>
        <v>99303.75</v>
      </c>
      <c r="K112" s="486"/>
      <c r="L112" s="487"/>
      <c r="M112" s="488"/>
      <c r="N112" s="485">
        <f>SUM(N110:N111)</f>
        <v>104268.9375</v>
      </c>
      <c r="O112" s="486"/>
      <c r="P112" s="487"/>
      <c r="Q112" s="488"/>
      <c r="R112" s="485">
        <f>SUM(R110:R111)</f>
        <v>109482.38437499999</v>
      </c>
      <c r="S112" s="486"/>
      <c r="T112" s="487"/>
      <c r="U112" s="488"/>
      <c r="V112" s="485">
        <f>SUM(V110:V111)</f>
        <v>8597.4884198437503</v>
      </c>
      <c r="W112" s="586">
        <f>SUM(W110:W111)</f>
        <v>338786.27279484377</v>
      </c>
    </row>
    <row r="113" spans="1:29">
      <c r="A113" s="410"/>
      <c r="B113" s="427"/>
      <c r="C113" s="460"/>
      <c r="D113" s="497"/>
      <c r="E113" s="498"/>
      <c r="F113" s="410"/>
      <c r="G113" s="460"/>
      <c r="H113" s="497"/>
      <c r="I113" s="499"/>
      <c r="J113" s="410"/>
      <c r="K113" s="460"/>
      <c r="L113" s="497"/>
      <c r="M113" s="498"/>
      <c r="N113" s="410"/>
      <c r="O113" s="460"/>
      <c r="P113" s="497"/>
      <c r="Q113" s="498"/>
      <c r="R113" s="410"/>
      <c r="S113" s="460"/>
      <c r="T113" s="497"/>
      <c r="U113" s="498"/>
      <c r="V113" s="410"/>
      <c r="W113" s="581"/>
    </row>
    <row r="114" spans="1:29" ht="18.3">
      <c r="A114" s="500" t="s">
        <v>621</v>
      </c>
      <c r="B114" s="501"/>
      <c r="C114" s="503"/>
      <c r="D114" s="504"/>
      <c r="E114" s="505"/>
      <c r="F114" s="502">
        <f>F107+F112</f>
        <v>131358.46249999999</v>
      </c>
      <c r="G114" s="503"/>
      <c r="H114" s="504"/>
      <c r="I114" s="506"/>
      <c r="J114" s="502">
        <f>J107+J112</f>
        <v>761328.75</v>
      </c>
      <c r="K114" s="503"/>
      <c r="L114" s="504"/>
      <c r="M114" s="505"/>
      <c r="N114" s="502">
        <f>N107+N112</f>
        <v>799395.1875</v>
      </c>
      <c r="O114" s="503"/>
      <c r="P114" s="504"/>
      <c r="Q114" s="505"/>
      <c r="R114" s="502">
        <f>R107+R112</f>
        <v>839364.94687500002</v>
      </c>
      <c r="S114" s="503"/>
      <c r="T114" s="504"/>
      <c r="U114" s="505"/>
      <c r="V114" s="502">
        <f>V107+V112</f>
        <v>65914.077885468752</v>
      </c>
      <c r="W114" s="588">
        <f>W107+W112</f>
        <v>2597361.4247604688</v>
      </c>
      <c r="X114" s="368">
        <f>+X107+X110</f>
        <v>1723171.4867922501</v>
      </c>
      <c r="Y114" s="368">
        <f t="shared" ref="Y114:Z114" si="123">+Y107+Y110</f>
        <v>226502.07168496875</v>
      </c>
      <c r="Z114" s="368">
        <f t="shared" si="123"/>
        <v>534759.10868496879</v>
      </c>
    </row>
    <row r="115" spans="1:29" ht="15.6">
      <c r="A115" s="507" t="s">
        <v>622</v>
      </c>
      <c r="B115" s="508"/>
      <c r="C115" s="510"/>
      <c r="D115" s="511"/>
      <c r="E115" s="512"/>
      <c r="F115" s="509">
        <f>C115*D115*E115</f>
        <v>0</v>
      </c>
      <c r="G115" s="510"/>
      <c r="H115" s="511"/>
      <c r="I115" s="513"/>
      <c r="J115" s="509">
        <f>G115*H115*I115</f>
        <v>0</v>
      </c>
      <c r="K115" s="510"/>
      <c r="L115" s="511"/>
      <c r="M115" s="512"/>
      <c r="N115" s="509">
        <f>K115*L115*M115</f>
        <v>0</v>
      </c>
      <c r="O115" s="510"/>
      <c r="P115" s="511"/>
      <c r="Q115" s="512"/>
      <c r="R115" s="509">
        <f>O115*P115*Q115</f>
        <v>0</v>
      </c>
      <c r="S115" s="510"/>
      <c r="T115" s="511"/>
      <c r="U115" s="512"/>
      <c r="V115" s="509">
        <f>S115*T115*U115</f>
        <v>0</v>
      </c>
      <c r="W115" s="581">
        <f>F115+J115+N115+V115+R115</f>
        <v>0</v>
      </c>
    </row>
    <row r="116" spans="1:29" ht="18.3">
      <c r="A116" s="500" t="s">
        <v>623</v>
      </c>
      <c r="B116" s="501"/>
      <c r="C116" s="503"/>
      <c r="D116" s="504"/>
      <c r="E116" s="505"/>
      <c r="F116" s="502">
        <f>F114+F115</f>
        <v>131358.46249999999</v>
      </c>
      <c r="G116" s="503"/>
      <c r="H116" s="504"/>
      <c r="I116" s="506"/>
      <c r="J116" s="502">
        <f>J114+J115</f>
        <v>761328.75</v>
      </c>
      <c r="K116" s="503"/>
      <c r="L116" s="504"/>
      <c r="M116" s="505"/>
      <c r="N116" s="502">
        <f>N114+N115</f>
        <v>799395.1875</v>
      </c>
      <c r="O116" s="503"/>
      <c r="P116" s="504"/>
      <c r="Q116" s="505"/>
      <c r="R116" s="502">
        <f>R114+R115</f>
        <v>839364.94687500002</v>
      </c>
      <c r="S116" s="503"/>
      <c r="T116" s="504"/>
      <c r="U116" s="505"/>
      <c r="V116" s="502">
        <f>V114+V115</f>
        <v>65914.077885468752</v>
      </c>
      <c r="W116" s="588">
        <f>W114+W115</f>
        <v>2597361.4247604688</v>
      </c>
    </row>
    <row r="117" spans="1:29">
      <c r="A117" s="418"/>
      <c r="B117" s="418"/>
      <c r="W117" s="414"/>
    </row>
    <row r="118" spans="1:29" ht="31.2">
      <c r="A118" s="514" t="s">
        <v>624</v>
      </c>
      <c r="B118" s="515"/>
      <c r="C118" s="516"/>
      <c r="D118" s="517"/>
      <c r="E118" s="518"/>
      <c r="F118" s="519"/>
      <c r="G118" s="516"/>
      <c r="H118" s="517"/>
      <c r="I118" s="520"/>
      <c r="J118" s="519"/>
      <c r="K118" s="516"/>
      <c r="L118" s="517"/>
      <c r="M118" s="518"/>
      <c r="N118" s="519"/>
      <c r="O118" s="516"/>
      <c r="P118" s="517"/>
      <c r="Q118" s="518"/>
      <c r="R118" s="519"/>
      <c r="S118" s="516"/>
      <c r="T118" s="517"/>
      <c r="U118" s="518"/>
      <c r="V118" s="519"/>
      <c r="W118" s="519"/>
      <c r="X118" s="368">
        <f>+A2*X12</f>
        <v>0</v>
      </c>
      <c r="Y118" s="368">
        <f>+A2*Y12</f>
        <v>0</v>
      </c>
      <c r="Z118" s="368">
        <f>+A2*Z12</f>
        <v>0</v>
      </c>
      <c r="AA118" s="407">
        <f>AA110+AA105+AA58+AA51+AA49+AA47+AA39+AA25+AA21</f>
        <v>1896723.0020730516</v>
      </c>
      <c r="AB118" s="407">
        <f>AB110+AB105+AB58+AB51+AB49+AB47+AB39+AB25+AB21</f>
        <v>208065.39609433309</v>
      </c>
      <c r="AC118" s="407">
        <f>AC110+AC105+AC58+AC51+AC49+AC47+AC39+AC25+AC21</f>
        <v>492573.02659308387</v>
      </c>
    </row>
    <row r="119" spans="1:29">
      <c r="D119" s="523"/>
      <c r="E119" s="524"/>
      <c r="F119" s="525"/>
      <c r="G119" s="525"/>
      <c r="H119" s="523"/>
      <c r="I119" s="526"/>
      <c r="J119" s="525"/>
      <c r="K119" s="525"/>
      <c r="L119" s="523"/>
      <c r="M119" s="524"/>
      <c r="N119" s="525"/>
      <c r="O119" s="525"/>
      <c r="P119" s="523"/>
      <c r="Q119" s="524"/>
      <c r="R119" s="525"/>
      <c r="S119" s="525"/>
      <c r="T119" s="523"/>
      <c r="U119" s="524"/>
      <c r="V119" s="525"/>
    </row>
    <row r="120" spans="1:29">
      <c r="D120" s="523"/>
      <c r="E120" s="524" t="s">
        <v>541</v>
      </c>
      <c r="F120" s="525">
        <f>F116*$X$121</f>
        <v>95924.50822036725</v>
      </c>
      <c r="G120" s="525"/>
      <c r="H120" s="523"/>
      <c r="I120" s="524" t="s">
        <v>541</v>
      </c>
      <c r="J120" s="525">
        <f>J116*$X$121</f>
        <v>555960.26740779588</v>
      </c>
      <c r="K120" s="525"/>
      <c r="L120" s="523"/>
      <c r="M120" s="524" t="s">
        <v>541</v>
      </c>
      <c r="N120" s="525">
        <f>N116*$X$121</f>
        <v>583758.2807781857</v>
      </c>
      <c r="O120" s="525"/>
      <c r="P120" s="523"/>
      <c r="Q120" s="524" t="s">
        <v>541</v>
      </c>
      <c r="R120" s="525">
        <f>R116*$X$121</f>
        <v>612946.19481709495</v>
      </c>
      <c r="S120" s="525"/>
      <c r="T120" s="523"/>
      <c r="U120" s="524" t="s">
        <v>541</v>
      </c>
      <c r="V120" s="525">
        <f>V116*$X$121</f>
        <v>48133.750849607997</v>
      </c>
      <c r="W120" s="527">
        <f>SUM(E120:V120)</f>
        <v>1896723.0020730521</v>
      </c>
      <c r="X120" s="369">
        <f>+X118-X114</f>
        <v>-1723171.4867922501</v>
      </c>
      <c r="Y120" s="369">
        <f>+Y118-Y114</f>
        <v>-226502.07168496875</v>
      </c>
      <c r="Z120" s="369">
        <f>+Z118-Z114</f>
        <v>-534759.10868496879</v>
      </c>
    </row>
    <row r="121" spans="1:29">
      <c r="D121" s="523"/>
      <c r="E121" s="524" t="s">
        <v>542</v>
      </c>
      <c r="F121" s="525">
        <f>F116*$Y$121</f>
        <v>10522.659753802112</v>
      </c>
      <c r="G121" s="525"/>
      <c r="H121" s="523"/>
      <c r="I121" s="524" t="s">
        <v>542</v>
      </c>
      <c r="J121" s="525">
        <f>J116*$Y$121</f>
        <v>60987.341390642956</v>
      </c>
      <c r="K121" s="525"/>
      <c r="L121" s="523"/>
      <c r="M121" s="524" t="s">
        <v>542</v>
      </c>
      <c r="N121" s="525">
        <f>N116*$Y$121</f>
        <v>64036.708460175098</v>
      </c>
      <c r="O121" s="525"/>
      <c r="P121" s="523"/>
      <c r="Q121" s="524" t="s">
        <v>542</v>
      </c>
      <c r="R121" s="525">
        <f>R116*$Y$121</f>
        <v>67238.543883183855</v>
      </c>
      <c r="S121" s="525"/>
      <c r="T121" s="523"/>
      <c r="U121" s="524" t="s">
        <v>542</v>
      </c>
      <c r="V121" s="525">
        <f>V116*$Y$121</f>
        <v>5280.1426065290607</v>
      </c>
      <c r="W121" s="527">
        <f t="shared" ref="W121:W122" si="124">SUM(E121:V121)</f>
        <v>208065.39609433309</v>
      </c>
      <c r="X121" s="522">
        <v>0.73024993133097349</v>
      </c>
      <c r="Y121" s="522">
        <v>8.0106447301041703E-2</v>
      </c>
      <c r="Z121" s="522">
        <v>0.18964362136798479</v>
      </c>
    </row>
    <row r="122" spans="1:29">
      <c r="D122" s="523"/>
      <c r="E122" s="524" t="s">
        <v>543</v>
      </c>
      <c r="F122" s="525">
        <f>F116*$Z$121</f>
        <v>24911.294525830628</v>
      </c>
      <c r="G122" s="525"/>
      <c r="H122" s="523"/>
      <c r="I122" s="524" t="s">
        <v>543</v>
      </c>
      <c r="J122" s="525">
        <f>J116*$Z$121</f>
        <v>144381.14120156114</v>
      </c>
      <c r="K122" s="525"/>
      <c r="L122" s="523"/>
      <c r="M122" s="524" t="s">
        <v>543</v>
      </c>
      <c r="N122" s="525">
        <f>N116*$Z$121</f>
        <v>151600.19826163922</v>
      </c>
      <c r="O122" s="525"/>
      <c r="P122" s="523"/>
      <c r="Q122" s="524" t="s">
        <v>543</v>
      </c>
      <c r="R122" s="525">
        <f>R116*$Z$121</f>
        <v>159180.20817472116</v>
      </c>
      <c r="S122" s="525"/>
      <c r="T122" s="523"/>
      <c r="U122" s="524" t="s">
        <v>543</v>
      </c>
      <c r="V122" s="525">
        <f>V116*$Z$121</f>
        <v>12500.184429331695</v>
      </c>
      <c r="W122" s="527">
        <f t="shared" si="124"/>
        <v>492573.02659308381</v>
      </c>
      <c r="X122" s="371"/>
      <c r="Y122" s="371"/>
      <c r="Z122" s="371"/>
    </row>
    <row r="123" spans="1:29">
      <c r="D123" s="523"/>
      <c r="E123" s="524"/>
      <c r="F123" s="525"/>
      <c r="G123" s="525"/>
      <c r="H123" s="523"/>
      <c r="I123" s="526"/>
      <c r="J123" s="525"/>
      <c r="K123" s="525"/>
      <c r="L123" s="523"/>
      <c r="M123" s="524"/>
      <c r="N123" s="525"/>
      <c r="O123" s="525"/>
      <c r="P123" s="523"/>
      <c r="Q123" s="524"/>
      <c r="R123" s="525"/>
      <c r="S123" s="525"/>
      <c r="T123" s="523"/>
      <c r="U123" s="524"/>
      <c r="V123" s="525"/>
      <c r="W123" s="525">
        <f>SUM(W120:W122)</f>
        <v>2597361.4247604692</v>
      </c>
    </row>
    <row r="124" spans="1:29">
      <c r="D124" s="523"/>
      <c r="E124" s="524"/>
      <c r="F124" s="525"/>
      <c r="G124" s="525"/>
      <c r="H124" s="523"/>
      <c r="I124" s="526"/>
      <c r="J124" s="525"/>
      <c r="K124" s="525"/>
      <c r="L124" s="523"/>
      <c r="M124" s="524"/>
      <c r="N124" s="525"/>
      <c r="O124" s="525"/>
      <c r="P124" s="523"/>
      <c r="Q124" s="524"/>
      <c r="R124" s="525"/>
      <c r="S124" s="525"/>
      <c r="T124" s="523"/>
      <c r="U124" s="524"/>
      <c r="V124" s="525"/>
    </row>
    <row r="125" spans="1:29">
      <c r="D125" s="523"/>
      <c r="E125" s="524"/>
      <c r="F125" s="525"/>
      <c r="G125" s="525"/>
      <c r="H125" s="523"/>
      <c r="I125" s="526"/>
      <c r="J125" s="525"/>
      <c r="K125" s="525"/>
      <c r="L125" s="523"/>
      <c r="M125" s="524"/>
      <c r="N125" s="525"/>
      <c r="O125" s="525"/>
      <c r="P125" s="523"/>
      <c r="Q125" s="524"/>
      <c r="R125" s="525"/>
      <c r="S125" s="525"/>
      <c r="T125" s="523"/>
      <c r="U125" s="524"/>
      <c r="V125" s="525"/>
    </row>
  </sheetData>
  <autoFilter ref="A11:Z11" xr:uid="{A4E118BB-3057-46A0-8B2F-8F11109544AA}"/>
  <mergeCells count="11">
    <mergeCell ref="W9:W10"/>
    <mergeCell ref="C2:W2"/>
    <mergeCell ref="C3:W3"/>
    <mergeCell ref="C4:W4"/>
    <mergeCell ref="K9:N9"/>
    <mergeCell ref="O9:R9"/>
    <mergeCell ref="A9:A10"/>
    <mergeCell ref="B9:B10"/>
    <mergeCell ref="C9:F9"/>
    <mergeCell ref="G9:J9"/>
    <mergeCell ref="S9:V9"/>
  </mergeCells>
  <printOptions horizontalCentered="1"/>
  <pageMargins left="0.25" right="0.25" top="0.75" bottom="0.75" header="0.3" footer="0.3"/>
  <pageSetup scale="34" orientation="landscape" r:id="rId1"/>
  <headerFooter alignWithMargins="0"/>
  <rowBreaks count="1" manualBreakCount="1">
    <brk id="113" max="17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F023C-3AE7-4E9C-A381-4C4F2117FE7B}">
  <dimension ref="B1:AB70"/>
  <sheetViews>
    <sheetView topLeftCell="A21" zoomScale="90" zoomScaleNormal="90" workbookViewId="0">
      <selection activeCell="A13" sqref="A13"/>
    </sheetView>
  </sheetViews>
  <sheetFormatPr defaultColWidth="8.5546875" defaultRowHeight="12.6" outlineLevelRow="1"/>
  <cols>
    <col min="1" max="1" width="2.5546875" style="6" customWidth="1"/>
    <col min="2" max="2" width="55.1640625" style="7" customWidth="1"/>
    <col min="3" max="3" width="15.1640625" style="8" customWidth="1"/>
    <col min="4" max="4" width="10.44140625" style="8" customWidth="1"/>
    <col min="5" max="5" width="17.83203125" style="9" customWidth="1"/>
    <col min="6" max="6" width="15.1640625" style="8" customWidth="1"/>
    <col min="7" max="7" width="10.44140625" style="7" customWidth="1"/>
    <col min="8" max="8" width="18.44140625" style="10" customWidth="1"/>
    <col min="9" max="9" width="15.1640625" style="8" customWidth="1"/>
    <col min="10" max="10" width="10.44140625" style="7" customWidth="1"/>
    <col min="11" max="11" width="17.83203125" style="7" customWidth="1"/>
    <col min="12" max="12" width="15.1640625" style="8" customWidth="1"/>
    <col min="13" max="13" width="10.44140625" style="7" customWidth="1"/>
    <col min="14" max="14" width="17.83203125" style="7" customWidth="1"/>
    <col min="15" max="15" width="15.1640625" style="8" customWidth="1"/>
    <col min="16" max="16" width="10.44140625" style="11" customWidth="1"/>
    <col min="17" max="17" width="17.83203125" style="7" customWidth="1"/>
    <col min="18" max="18" width="15.1640625" style="8" customWidth="1"/>
    <col min="19" max="19" width="10.44140625" style="11" customWidth="1"/>
    <col min="20" max="20" width="17.83203125" style="7" customWidth="1"/>
    <col min="21" max="21" width="16.44140625" style="7" customWidth="1"/>
    <col min="22" max="26" width="8.5546875" style="6" customWidth="1"/>
    <col min="27" max="16384" width="8.5546875" style="6"/>
  </cols>
  <sheetData>
    <row r="1" spans="2:23" ht="13.5" customHeight="1">
      <c r="B1" s="646" t="s">
        <v>71</v>
      </c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  <c r="P1" s="647"/>
      <c r="Q1" s="647"/>
      <c r="R1" s="647"/>
      <c r="S1" s="647"/>
      <c r="T1" s="647"/>
      <c r="U1" s="647"/>
      <c r="V1" s="647"/>
      <c r="W1" s="647"/>
    </row>
    <row r="2" spans="2:23" ht="13.5" customHeight="1">
      <c r="B2" s="646" t="s">
        <v>72</v>
      </c>
      <c r="C2" s="647"/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7"/>
      <c r="P2" s="647"/>
      <c r="Q2" s="647"/>
      <c r="R2" s="647"/>
      <c r="S2" s="647"/>
      <c r="T2" s="647"/>
      <c r="U2" s="647"/>
      <c r="V2" s="647"/>
      <c r="W2" s="647"/>
    </row>
    <row r="3" spans="2:23">
      <c r="B3" s="646" t="s">
        <v>73</v>
      </c>
      <c r="C3" s="647"/>
      <c r="D3" s="647"/>
      <c r="E3" s="647"/>
      <c r="F3" s="647"/>
      <c r="G3" s="647"/>
      <c r="H3" s="647"/>
      <c r="I3" s="647"/>
      <c r="J3" s="647"/>
      <c r="K3" s="647"/>
      <c r="L3" s="647"/>
      <c r="M3" s="647"/>
      <c r="N3" s="647"/>
      <c r="O3" s="647"/>
      <c r="P3" s="647"/>
      <c r="Q3" s="647"/>
      <c r="R3" s="647"/>
      <c r="S3" s="647"/>
      <c r="T3" s="647"/>
      <c r="U3" s="647"/>
      <c r="V3" s="647"/>
      <c r="W3" s="647"/>
    </row>
    <row r="4" spans="2:23">
      <c r="B4" s="646" t="s">
        <v>74</v>
      </c>
      <c r="C4" s="647"/>
      <c r="D4" s="647"/>
      <c r="E4" s="647"/>
      <c r="F4" s="647"/>
      <c r="G4" s="647"/>
      <c r="H4" s="647"/>
      <c r="I4" s="647"/>
      <c r="J4" s="647"/>
      <c r="K4" s="647"/>
      <c r="L4" s="647"/>
      <c r="M4" s="647"/>
      <c r="N4" s="647"/>
      <c r="O4" s="647"/>
      <c r="P4" s="647"/>
      <c r="Q4" s="647"/>
      <c r="R4" s="647"/>
      <c r="S4" s="647"/>
      <c r="T4" s="647"/>
      <c r="U4" s="647"/>
      <c r="V4" s="647"/>
      <c r="W4" s="647"/>
    </row>
    <row r="5" spans="2:23">
      <c r="B5" s="646" t="s">
        <v>625</v>
      </c>
      <c r="C5" s="647"/>
      <c r="D5" s="647"/>
      <c r="E5" s="647"/>
      <c r="F5" s="647"/>
      <c r="G5" s="647"/>
      <c r="H5" s="647"/>
      <c r="I5" s="647"/>
      <c r="J5" s="647"/>
      <c r="K5" s="647"/>
      <c r="L5" s="647"/>
      <c r="M5" s="647"/>
      <c r="N5" s="647"/>
      <c r="O5" s="647"/>
      <c r="P5" s="647"/>
      <c r="Q5" s="647"/>
      <c r="R5" s="647"/>
      <c r="S5" s="647"/>
      <c r="T5" s="647"/>
      <c r="U5" s="647"/>
      <c r="V5" s="647"/>
      <c r="W5" s="647"/>
    </row>
    <row r="6" spans="2:23">
      <c r="B6" s="2"/>
      <c r="C6" s="3"/>
      <c r="D6" s="3"/>
      <c r="E6" s="3"/>
      <c r="F6" s="3"/>
      <c r="G6" s="3"/>
      <c r="H6" s="4"/>
      <c r="I6" s="3"/>
      <c r="J6" s="2"/>
      <c r="K6" s="2"/>
      <c r="L6" s="3"/>
      <c r="M6" s="2"/>
      <c r="N6" s="2"/>
      <c r="O6" s="3"/>
      <c r="P6" s="2"/>
      <c r="Q6" s="2"/>
      <c r="R6" s="3"/>
      <c r="S6" s="2"/>
      <c r="T6" s="2"/>
      <c r="U6" s="2"/>
    </row>
    <row r="7" spans="2:23" ht="36.9">
      <c r="B7" s="5"/>
      <c r="C7" s="12" t="s">
        <v>626</v>
      </c>
      <c r="D7" s="12" t="s">
        <v>627</v>
      </c>
      <c r="E7" s="12" t="s">
        <v>628</v>
      </c>
      <c r="F7" s="12" t="s">
        <v>629</v>
      </c>
      <c r="G7" s="12" t="s">
        <v>630</v>
      </c>
      <c r="H7" s="13" t="s">
        <v>631</v>
      </c>
      <c r="I7" s="12" t="s">
        <v>632</v>
      </c>
      <c r="J7" s="12" t="s">
        <v>633</v>
      </c>
      <c r="K7" s="12" t="s">
        <v>634</v>
      </c>
      <c r="L7" s="12" t="s">
        <v>635</v>
      </c>
      <c r="M7" s="12" t="s">
        <v>636</v>
      </c>
      <c r="N7" s="12" t="s">
        <v>637</v>
      </c>
      <c r="O7" s="12" t="s">
        <v>638</v>
      </c>
      <c r="P7" s="12" t="s">
        <v>639</v>
      </c>
      <c r="Q7" s="12" t="s">
        <v>640</v>
      </c>
      <c r="R7" s="12" t="s">
        <v>641</v>
      </c>
      <c r="S7" s="12" t="s">
        <v>642</v>
      </c>
      <c r="T7" s="12" t="s">
        <v>643</v>
      </c>
      <c r="U7" s="12" t="s">
        <v>644</v>
      </c>
      <c r="V7" s="12" t="s">
        <v>645</v>
      </c>
      <c r="W7" s="12" t="s">
        <v>646</v>
      </c>
    </row>
    <row r="8" spans="2:23" s="17" customFormat="1" ht="12.3">
      <c r="B8" s="14"/>
      <c r="C8" s="15" t="s">
        <v>647</v>
      </c>
      <c r="D8" s="15" t="s">
        <v>647</v>
      </c>
      <c r="E8" s="15" t="s">
        <v>647</v>
      </c>
      <c r="F8" s="15" t="s">
        <v>647</v>
      </c>
      <c r="G8" s="15" t="s">
        <v>648</v>
      </c>
      <c r="H8" s="16" t="s">
        <v>648</v>
      </c>
      <c r="I8" s="15" t="s">
        <v>647</v>
      </c>
      <c r="J8" s="15" t="s">
        <v>648</v>
      </c>
      <c r="K8" s="15" t="s">
        <v>648</v>
      </c>
      <c r="L8" s="15" t="s">
        <v>647</v>
      </c>
      <c r="M8" s="15" t="s">
        <v>648</v>
      </c>
      <c r="N8" s="15" t="s">
        <v>648</v>
      </c>
      <c r="O8" s="15" t="s">
        <v>647</v>
      </c>
      <c r="P8" s="15" t="s">
        <v>648</v>
      </c>
      <c r="Q8" s="15" t="s">
        <v>648</v>
      </c>
      <c r="R8" s="15" t="s">
        <v>647</v>
      </c>
      <c r="S8" s="15" t="s">
        <v>648</v>
      </c>
      <c r="T8" s="15" t="s">
        <v>648</v>
      </c>
      <c r="U8" s="15" t="s">
        <v>648</v>
      </c>
      <c r="V8" s="15"/>
      <c r="W8" s="15" t="s">
        <v>648</v>
      </c>
    </row>
    <row r="9" spans="2:23" s="8" customFormat="1">
      <c r="B9" s="18" t="s">
        <v>649</v>
      </c>
      <c r="C9" s="18"/>
      <c r="D9" s="18"/>
      <c r="E9" s="18"/>
      <c r="F9" s="18"/>
      <c r="G9" s="18"/>
      <c r="H9" s="19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</row>
    <row r="10" spans="2:23" s="8" customFormat="1" outlineLevel="1">
      <c r="B10" s="20" t="s">
        <v>650</v>
      </c>
      <c r="C10" s="20"/>
      <c r="D10" s="20"/>
      <c r="E10" s="20"/>
      <c r="F10" s="20"/>
      <c r="G10" s="20"/>
      <c r="H10" s="21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</row>
    <row r="11" spans="2:23" s="8" customFormat="1" outlineLevel="1">
      <c r="B11" s="22" t="str">
        <f>'Program Budget'!D12</f>
        <v xml:space="preserve">Key Personnel: Chief of Party - Roger Sanchez O’Neill </v>
      </c>
      <c r="C11" s="72">
        <f>'Program Budget'!G12</f>
        <v>11</v>
      </c>
      <c r="D11" s="23">
        <f>'Program Budget'!E12+'Program Budget'!E153+'Program Budget'!E215+'Program Budget'!E274+'Program Budget'!E343+'Program Budget'!E410+'Program Budget'!E482+'Program Budget'!E557+'Program Budget'!E612+'Program Budget'!E686+'Program Budget'!E760+'Program Budget'!E832+'Program Budget'!E891</f>
        <v>1</v>
      </c>
      <c r="E11" s="24">
        <f>'Program Budget'!I12+'Program Budget'!I153+'Program Budget'!I215+'Program Budget'!I274+'Program Budget'!I343+'Program Budget'!I410+'Program Budget'!I482+'Program Budget'!I557+'Program Budget'!I612+'Program Budget'!I686+'Program Budget'!I760+'Program Budget'!I832+'Program Budget'!I891</f>
        <v>105416.66666666667</v>
      </c>
      <c r="F11" s="72">
        <f>'Program Budget'!K12</f>
        <v>12</v>
      </c>
      <c r="G11" s="23">
        <f>'Program Budget'!J12+'Program Budget'!J153+'Program Budget'!J215+'Program Budget'!J274+'Program Budget'!J343+'Program Budget'!J410+'Program Budget'!J482+'Program Budget'!J557+'Program Budget'!J612+'Program Budget'!J686+'Program Budget'!J760+'Program Budget'!J832+'Program Budget'!J891</f>
        <v>1</v>
      </c>
      <c r="H11" s="24">
        <f>'Program Budget'!L12+'Program Budget'!L153+'Program Budget'!L215+'Program Budget'!L274+'Program Budget'!L343+'Program Budget'!L410+'Program Budget'!L482+'Program Budget'!L557+'Program Budget'!L612+'Program Budget'!L686+'Program Budget'!L760+'Program Budget'!L832+'Program Budget'!L891</f>
        <v>120750</v>
      </c>
      <c r="I11" s="72">
        <f>'Program Budget'!N12</f>
        <v>12</v>
      </c>
      <c r="J11" s="23">
        <f>'Program Budget'!M12+'Program Budget'!M153+'Program Budget'!M215+'Program Budget'!M274+'Program Budget'!M343+'Program Budget'!M410+'Program Budget'!M482+'Program Budget'!M557+'Program Budget'!M612+'Program Budget'!M686+'Program Budget'!M760+'Program Budget'!M832+'Program Budget'!M891</f>
        <v>1</v>
      </c>
      <c r="K11" s="24">
        <f>'Program Budget'!O12+'Program Budget'!O153+'Program Budget'!O215+'Program Budget'!O274+'Program Budget'!O343+'Program Budget'!O410+'Program Budget'!O482+'Program Budget'!O557+'Program Budget'!O612+'Program Budget'!O686+'Program Budget'!O760+'Program Budget'!O832+'Program Budget'!O891</f>
        <v>126787.5</v>
      </c>
      <c r="L11" s="72">
        <f>'Program Budget'!Q12</f>
        <v>12</v>
      </c>
      <c r="M11" s="23">
        <f>'Program Budget'!P12+'Program Budget'!P153+'Program Budget'!P215+'Program Budget'!P274+'Program Budget'!P343+'Program Budget'!P410+'Program Budget'!P482+'Program Budget'!P557+'Program Budget'!P612+'Program Budget'!P686+'Program Budget'!P760+'Program Budget'!P832+'Program Budget'!P891</f>
        <v>1</v>
      </c>
      <c r="N11" s="24">
        <f>'Program Budget'!R12+'Program Budget'!R153+'Program Budget'!R215+'Program Budget'!R274+'Program Budget'!R343+'Program Budget'!R410+'Program Budget'!R482+'Program Budget'!R557+'Program Budget'!R612+'Program Budget'!R686+'Program Budget'!R760+'Program Budget'!R832+'Program Budget'!R891</f>
        <v>133126.875</v>
      </c>
      <c r="O11" s="72">
        <f>'Program Budget'!T12</f>
        <v>12</v>
      </c>
      <c r="P11" s="23">
        <f>'Program Budget'!S12+'Program Budget'!S153+'Program Budget'!S215+'Program Budget'!S274+'Program Budget'!S343+'Program Budget'!S410+'Program Budget'!S482+'Program Budget'!S557+'Program Budget'!S612+'Program Budget'!S686+'Program Budget'!S760+'Program Budget'!S832+'Program Budget'!S891</f>
        <v>1</v>
      </c>
      <c r="Q11" s="24">
        <f>'Program Budget'!U12+'Program Budget'!U153+'Program Budget'!U215+'Program Budget'!U274+'Program Budget'!U343+'Program Budget'!U410+'Program Budget'!U482+'Program Budget'!U557+'Program Budget'!U612+'Program Budget'!U686+'Program Budget'!U760+'Program Budget'!U832+'Program Budget'!U891</f>
        <v>139783.21875</v>
      </c>
      <c r="R11" s="72">
        <f>'Program Budget'!W12</f>
        <v>12</v>
      </c>
      <c r="S11" s="23">
        <f>'Program Budget'!V12+'Program Budget'!V153+'Program Budget'!V215+'Program Budget'!V274+'Program Budget'!V343+'Program Budget'!V410+'Program Budget'!V482+'Program Budget'!V557+'Program Budget'!V612+'Program Budget'!V686+'Program Budget'!V760+'Program Budget'!V832+'Program Budget'!V891</f>
        <v>1</v>
      </c>
      <c r="T11" s="24">
        <f>'Program Budget'!X12+'Program Budget'!X153+'Program Budget'!X215+'Program Budget'!X274+'Program Budget'!X343+'Program Budget'!X410+'Program Budget'!X482+'Program Budget'!X557+'Program Budget'!X612+'Program Budget'!X686+'Program Budget'!X760+'Program Budget'!X832+'Program Budget'!X891</f>
        <v>146772.37968750001</v>
      </c>
      <c r="U11" s="531">
        <f>E11+H11+K11+N11+Q11+T11</f>
        <v>772636.6401041667</v>
      </c>
      <c r="V11" s="532">
        <f>C11+F11+I11+L11+O11+R11</f>
        <v>71</v>
      </c>
      <c r="W11" s="534">
        <f>U11/V11</f>
        <v>10882.206198650236</v>
      </c>
    </row>
    <row r="12" spans="2:23" s="8" customFormat="1" outlineLevel="1">
      <c r="B12" s="22" t="str">
        <f>'Program Budget'!D13</f>
        <v>Key Personnel: Deputy Chief of Party - David Medina Mayo</v>
      </c>
      <c r="C12" s="72">
        <f>'Program Budget'!G13</f>
        <v>11</v>
      </c>
      <c r="D12" s="23">
        <f>'Program Budget'!E13+'Program Budget'!E154+'Program Budget'!E216+'Program Budget'!E275+'Program Budget'!E344+'Program Budget'!E411+'Program Budget'!E483+'Program Budget'!E558+'Program Budget'!E613+'Program Budget'!E687+'Program Budget'!E761+'Program Budget'!E833+'Program Budget'!E892</f>
        <v>1</v>
      </c>
      <c r="E12" s="24">
        <f>'Program Budget'!I13+'Program Budget'!I154+'Program Budget'!I216+'Program Budget'!I275+'Program Budget'!I344+'Program Budget'!I411+'Program Budget'!I483+'Program Budget'!I558+'Program Budget'!I613+'Program Budget'!I687+'Program Budget'!I761+'Program Budget'!I833+'Program Budget'!I892</f>
        <v>71500</v>
      </c>
      <c r="F12" s="72">
        <f>'Program Budget'!K13</f>
        <v>12</v>
      </c>
      <c r="G12" s="23">
        <f>'Program Budget'!J13+'Program Budget'!J154+'Program Budget'!J216+'Program Budget'!J275+'Program Budget'!J344+'Program Budget'!J411+'Program Budget'!J483+'Program Budget'!J558+'Program Budget'!J613+'Program Budget'!J687+'Program Budget'!J761+'Program Budget'!J833+'Program Budget'!J892</f>
        <v>1</v>
      </c>
      <c r="H12" s="24">
        <f>'Program Budget'!L13+'Program Budget'!L154+'Program Budget'!L216+'Program Budget'!L275+'Program Budget'!L344+'Program Budget'!L411+'Program Budget'!L483+'Program Budget'!L558+'Program Budget'!L613+'Program Budget'!L687+'Program Budget'!L761+'Program Budget'!L833+'Program Budget'!L892</f>
        <v>81900</v>
      </c>
      <c r="I12" s="72">
        <f>'Program Budget'!N13</f>
        <v>12</v>
      </c>
      <c r="J12" s="23">
        <f>'Program Budget'!M13+'Program Budget'!M154+'Program Budget'!M216+'Program Budget'!M275+'Program Budget'!M344+'Program Budget'!M411+'Program Budget'!M483+'Program Budget'!M558+'Program Budget'!M613+'Program Budget'!M687+'Program Budget'!M761+'Program Budget'!M833+'Program Budget'!M892</f>
        <v>1</v>
      </c>
      <c r="K12" s="24">
        <f>'Program Budget'!O13+'Program Budget'!O154+'Program Budget'!O216+'Program Budget'!O275+'Program Budget'!O344+'Program Budget'!O411+'Program Budget'!O483+'Program Budget'!O558+'Program Budget'!O613+'Program Budget'!O687+'Program Budget'!O761+'Program Budget'!O833+'Program Budget'!O892</f>
        <v>85995</v>
      </c>
      <c r="L12" s="72">
        <f>'Program Budget'!Q13</f>
        <v>12</v>
      </c>
      <c r="M12" s="23">
        <f>'Program Budget'!P13+'Program Budget'!P154+'Program Budget'!P216+'Program Budget'!P275+'Program Budget'!P344+'Program Budget'!P411+'Program Budget'!P483+'Program Budget'!P558+'Program Budget'!P613+'Program Budget'!P687+'Program Budget'!P761+'Program Budget'!P833+'Program Budget'!P892</f>
        <v>1</v>
      </c>
      <c r="N12" s="24">
        <f>'Program Budget'!R13+'Program Budget'!R154+'Program Budget'!R216+'Program Budget'!R275+'Program Budget'!R344+'Program Budget'!R411+'Program Budget'!R483+'Program Budget'!R558+'Program Budget'!R613+'Program Budget'!R687+'Program Budget'!R761+'Program Budget'!R833+'Program Budget'!R892</f>
        <v>90294.75</v>
      </c>
      <c r="O12" s="72">
        <f>'Program Budget'!T13</f>
        <v>12</v>
      </c>
      <c r="P12" s="23">
        <f>'Program Budget'!S13+'Program Budget'!S154+'Program Budget'!S216+'Program Budget'!S275+'Program Budget'!S344+'Program Budget'!S411+'Program Budget'!S483+'Program Budget'!S558+'Program Budget'!S613+'Program Budget'!S687+'Program Budget'!S761+'Program Budget'!S833+'Program Budget'!S892</f>
        <v>1</v>
      </c>
      <c r="Q12" s="24">
        <f>'Program Budget'!U13+'Program Budget'!U154+'Program Budget'!U216+'Program Budget'!U275+'Program Budget'!U344+'Program Budget'!U411+'Program Budget'!U483+'Program Budget'!U558+'Program Budget'!U613+'Program Budget'!U687+'Program Budget'!U761+'Program Budget'!U833+'Program Budget'!U892</f>
        <v>94809.487500000003</v>
      </c>
      <c r="R12" s="72">
        <f>'Program Budget'!W13</f>
        <v>12</v>
      </c>
      <c r="S12" s="23">
        <f>'Program Budget'!V13+'Program Budget'!V154+'Program Budget'!V216+'Program Budget'!V275+'Program Budget'!V344+'Program Budget'!V411+'Program Budget'!V483+'Program Budget'!V558+'Program Budget'!V613+'Program Budget'!V687+'Program Budget'!V761+'Program Budget'!V833+'Program Budget'!V892</f>
        <v>1</v>
      </c>
      <c r="T12" s="24">
        <f>'Program Budget'!X13+'Program Budget'!X154+'Program Budget'!X216+'Program Budget'!X275+'Program Budget'!X344+'Program Budget'!X411+'Program Budget'!X483+'Program Budget'!X558+'Program Budget'!X613+'Program Budget'!X687+'Program Budget'!X761+'Program Budget'!X833+'Program Budget'!X892</f>
        <v>99549.961875000008</v>
      </c>
      <c r="U12" s="531">
        <f t="shared" ref="U12:U44" si="0">E12+H12+K12+N12+Q12+T12</f>
        <v>524049.19937499997</v>
      </c>
      <c r="V12" s="532">
        <f t="shared" ref="V12:V44" si="1">C12+F12+I12+L12+O12+R12</f>
        <v>71</v>
      </c>
      <c r="W12" s="534">
        <f t="shared" ref="W12:W44" si="2">U12/V12</f>
        <v>7380.9746390845066</v>
      </c>
    </row>
    <row r="13" spans="2:23" s="8" customFormat="1" outlineLevel="1">
      <c r="B13" s="22" t="str">
        <f>'Program Budget'!D14</f>
        <v>Policy &amp; Sustainability Specialist</v>
      </c>
      <c r="C13" s="72">
        <f>'Program Budget'!G14</f>
        <v>0</v>
      </c>
      <c r="D13" s="23">
        <f>'Program Budget'!E14+'Program Budget'!E155+'Program Budget'!E217+'Program Budget'!E276+'Program Budget'!E345+'Program Budget'!E412+'Program Budget'!E484+'Program Budget'!E559+'Program Budget'!E614+'Program Budget'!E688+'Program Budget'!E762+'Program Budget'!E834+'Program Budget'!E893</f>
        <v>1.0000000000000002</v>
      </c>
      <c r="E13" s="24">
        <f>'Program Budget'!I14+'Program Budget'!I155+'Program Budget'!I217+'Program Budget'!I276+'Program Budget'!I345+'Program Budget'!I412+'Program Budget'!I484+'Program Budget'!I559+'Program Budget'!I614+'Program Budget'!I688+'Program Budget'!I762+'Program Budget'!I834+'Program Budget'!I893</f>
        <v>0</v>
      </c>
      <c r="F13" s="72">
        <f>'Program Budget'!K14</f>
        <v>0</v>
      </c>
      <c r="G13" s="23">
        <f>'Program Budget'!J14+'Program Budget'!J155+'Program Budget'!J217+'Program Budget'!J276+'Program Budget'!J345+'Program Budget'!J412+'Program Budget'!J484+'Program Budget'!J559+'Program Budget'!J614+'Program Budget'!J688+'Program Budget'!J762+'Program Budget'!J834+'Program Budget'!J893</f>
        <v>1.0000000000000002</v>
      </c>
      <c r="H13" s="24">
        <f>'Program Budget'!L14+'Program Budget'!L155+'Program Budget'!L217+'Program Budget'!L276+'Program Budget'!L345+'Program Budget'!L412+'Program Budget'!L484+'Program Budget'!L559+'Program Budget'!L614+'Program Budget'!L688+'Program Budget'!L762+'Program Budget'!L834+'Program Budget'!L893</f>
        <v>0</v>
      </c>
      <c r="I13" s="72">
        <f>'Program Budget'!N14</f>
        <v>7</v>
      </c>
      <c r="J13" s="23">
        <f>'Program Budget'!M14+'Program Budget'!M155+'Program Budget'!M217+'Program Budget'!M276+'Program Budget'!M345+'Program Budget'!M412+'Program Budget'!M484+'Program Budget'!M559+'Program Budget'!M614+'Program Budget'!M688+'Program Budget'!M762+'Program Budget'!M834+'Program Budget'!M893</f>
        <v>1.0000000000000002</v>
      </c>
      <c r="K13" s="24">
        <f>'Program Budget'!O14+'Program Budget'!O155+'Program Budget'!O217+'Program Budget'!O276+'Program Budget'!O345+'Program Budget'!O412+'Program Budget'!O484+'Program Budget'!O559+'Program Budget'!O614+'Program Budget'!O688+'Program Budget'!O762+'Program Budget'!O834+'Program Budget'!O893</f>
        <v>11576.25</v>
      </c>
      <c r="L13" s="72">
        <f>'Program Budget'!Q14</f>
        <v>12</v>
      </c>
      <c r="M13" s="23">
        <f>'Program Budget'!P14+'Program Budget'!P155+'Program Budget'!P217+'Program Budget'!P276+'Program Budget'!P345+'Program Budget'!P412+'Program Budget'!P484+'Program Budget'!P559+'Program Budget'!P614+'Program Budget'!P688+'Program Budget'!P762+'Program Budget'!P834+'Program Budget'!P893</f>
        <v>1.0000000000000002</v>
      </c>
      <c r="N13" s="24">
        <f>'Program Budget'!R14+'Program Budget'!R155+'Program Budget'!R217+'Program Budget'!R276+'Program Budget'!R345+'Program Budget'!R412+'Program Budget'!R484+'Program Budget'!R559+'Program Budget'!R614+'Program Budget'!R688+'Program Budget'!R762+'Program Budget'!R834+'Program Budget'!R893</f>
        <v>20837.249999999996</v>
      </c>
      <c r="O13" s="72">
        <f>'Program Budget'!T14</f>
        <v>12</v>
      </c>
      <c r="P13" s="23">
        <f>'Program Budget'!S14+'Program Budget'!S155+'Program Budget'!S217+'Program Budget'!S276+'Program Budget'!S345+'Program Budget'!S412+'Program Budget'!S484+'Program Budget'!S559+'Program Budget'!S614+'Program Budget'!S688+'Program Budget'!S762+'Program Budget'!S834+'Program Budget'!S893</f>
        <v>1.0000000000000002</v>
      </c>
      <c r="Q13" s="24">
        <f>'Program Budget'!U14+'Program Budget'!U155+'Program Budget'!U217+'Program Budget'!U276+'Program Budget'!U345+'Program Budget'!U412+'Program Budget'!U484+'Program Budget'!U559+'Program Budget'!U614+'Program Budget'!U688+'Program Budget'!U762+'Program Budget'!U834+'Program Budget'!U893</f>
        <v>21879.112500000003</v>
      </c>
      <c r="R13" s="72">
        <f>'Program Budget'!W14</f>
        <v>6</v>
      </c>
      <c r="S13" s="23">
        <f>'Program Budget'!V14+'Program Budget'!V155+'Program Budget'!V217+'Program Budget'!V276+'Program Budget'!V345+'Program Budget'!V412+'Program Budget'!V484+'Program Budget'!V559+'Program Budget'!V614+'Program Budget'!V688+'Program Budget'!V762+'Program Budget'!V834+'Program Budget'!V893</f>
        <v>1.0000000000000002</v>
      </c>
      <c r="T13" s="24">
        <f>'Program Budget'!X14+'Program Budget'!X155+'Program Budget'!X217+'Program Budget'!X276+'Program Budget'!X345+'Program Budget'!X412+'Program Budget'!X484+'Program Budget'!X559+'Program Budget'!X614+'Program Budget'!X688+'Program Budget'!X762+'Program Budget'!X834+'Program Budget'!X893</f>
        <v>11486.534062500001</v>
      </c>
      <c r="U13" s="531">
        <f t="shared" si="0"/>
        <v>65779.146562499998</v>
      </c>
      <c r="V13" s="532">
        <f t="shared" si="1"/>
        <v>37</v>
      </c>
      <c r="W13" s="534">
        <f t="shared" si="2"/>
        <v>1777.8147719594594</v>
      </c>
    </row>
    <row r="14" spans="2:23" s="8" customFormat="1" ht="12.75" customHeight="1" outlineLevel="1">
      <c r="B14" s="22" t="str">
        <f>'Program Budget'!D15</f>
        <v xml:space="preserve">Education Director </v>
      </c>
      <c r="C14" s="72">
        <f>'Program Budget'!G15</f>
        <v>9</v>
      </c>
      <c r="D14" s="23">
        <f>'Program Budget'!E15+'Program Budget'!E156+'Program Budget'!E218+'Program Budget'!E277+'Program Budget'!E346+'Program Budget'!E413+'Program Budget'!E485+'Program Budget'!E560+'Program Budget'!E615+'Program Budget'!E689+'Program Budget'!E763+'Program Budget'!E835+'Program Budget'!E894</f>
        <v>0.99999999999999989</v>
      </c>
      <c r="E14" s="24">
        <f>'Program Budget'!I15+'Program Budget'!I156+'Program Budget'!I218+'Program Budget'!I277+'Program Budget'!I346+'Program Budget'!I413+'Program Budget'!I485+'Program Budget'!I560+'Program Budget'!I615+'Program Budget'!I689+'Program Budget'!I763+'Program Budget'!I835+'Program Budget'!I894</f>
        <v>41250</v>
      </c>
      <c r="F14" s="72">
        <f>'Program Budget'!K15</f>
        <v>12</v>
      </c>
      <c r="G14" s="23">
        <f>'Program Budget'!J15+'Program Budget'!J156+'Program Budget'!J218+'Program Budget'!J277+'Program Budget'!J346+'Program Budget'!J413+'Program Budget'!J485+'Program Budget'!J560+'Program Budget'!J615+'Program Budget'!J689+'Program Budget'!J763+'Program Budget'!J835+'Program Budget'!J894</f>
        <v>0.99999999999999989</v>
      </c>
      <c r="H14" s="24">
        <f>'Program Budget'!L15+'Program Budget'!L156+'Program Budget'!L218+'Program Budget'!L277+'Program Budget'!L346+'Program Budget'!L413+'Program Budget'!L485+'Program Budget'!L560+'Program Budget'!L615+'Program Budget'!L689+'Program Budget'!L763+'Program Budget'!L835+'Program Budget'!L894</f>
        <v>57750</v>
      </c>
      <c r="I14" s="72">
        <f>'Program Budget'!N15</f>
        <v>12</v>
      </c>
      <c r="J14" s="23">
        <f>'Program Budget'!M15+'Program Budget'!M156+'Program Budget'!M218+'Program Budget'!M277+'Program Budget'!M346+'Program Budget'!M413+'Program Budget'!M485+'Program Budget'!M560+'Program Budget'!M615+'Program Budget'!M689+'Program Budget'!M763+'Program Budget'!M835+'Program Budget'!M894</f>
        <v>0.99999999999999989</v>
      </c>
      <c r="K14" s="24">
        <f>'Program Budget'!O15+'Program Budget'!O156+'Program Budget'!O218+'Program Budget'!O277+'Program Budget'!O346+'Program Budget'!O413+'Program Budget'!O485+'Program Budget'!O560+'Program Budget'!O615+'Program Budget'!O689+'Program Budget'!O763+'Program Budget'!O835+'Program Budget'!O894</f>
        <v>60637.5</v>
      </c>
      <c r="L14" s="72">
        <f>'Program Budget'!Q15</f>
        <v>12</v>
      </c>
      <c r="M14" s="23">
        <f>'Program Budget'!P15+'Program Budget'!P156+'Program Budget'!P218+'Program Budget'!P277+'Program Budget'!P346+'Program Budget'!P413+'Program Budget'!P485+'Program Budget'!P560+'Program Budget'!P615+'Program Budget'!P689+'Program Budget'!P763+'Program Budget'!P835+'Program Budget'!P894</f>
        <v>0.99999999999999989</v>
      </c>
      <c r="N14" s="24">
        <f>'Program Budget'!R15+'Program Budget'!R156+'Program Budget'!R218+'Program Budget'!R277+'Program Budget'!R346+'Program Budget'!R413+'Program Budget'!R485+'Program Budget'!R560+'Program Budget'!R615+'Program Budget'!R689+'Program Budget'!R763+'Program Budget'!R835+'Program Budget'!R894</f>
        <v>63669.375</v>
      </c>
      <c r="O14" s="72">
        <f>'Program Budget'!T15</f>
        <v>12</v>
      </c>
      <c r="P14" s="23">
        <f>'Program Budget'!S15+'Program Budget'!S156+'Program Budget'!S218+'Program Budget'!S277+'Program Budget'!S346+'Program Budget'!S413+'Program Budget'!S485+'Program Budget'!S560+'Program Budget'!S615+'Program Budget'!S689+'Program Budget'!S763+'Program Budget'!S835+'Program Budget'!S894</f>
        <v>0.99999999999999989</v>
      </c>
      <c r="Q14" s="24">
        <f>'Program Budget'!U15+'Program Budget'!U156+'Program Budget'!U218+'Program Budget'!U277+'Program Budget'!U346+'Program Budget'!U413+'Program Budget'!U485+'Program Budget'!U560+'Program Budget'!U615+'Program Budget'!U689+'Program Budget'!U763+'Program Budget'!U835+'Program Budget'!U894</f>
        <v>66852.84375</v>
      </c>
      <c r="R14" s="72">
        <f>'Program Budget'!W15</f>
        <v>8</v>
      </c>
      <c r="S14" s="23">
        <f>'Program Budget'!V15+'Program Budget'!V156+'Program Budget'!V218+'Program Budget'!V277+'Program Budget'!V346+'Program Budget'!V413+'Program Budget'!V485+'Program Budget'!V560+'Program Budget'!V615+'Program Budget'!V689+'Program Budget'!V763+'Program Budget'!V835+'Program Budget'!V894</f>
        <v>0.99999999999999989</v>
      </c>
      <c r="T14" s="24">
        <f>'Program Budget'!X15+'Program Budget'!X156+'Program Budget'!X218+'Program Budget'!X277+'Program Budget'!X346+'Program Budget'!X413+'Program Budget'!X485+'Program Budget'!X560+'Program Budget'!X615+'Program Budget'!X689+'Program Budget'!X763+'Program Budget'!X835+'Program Budget'!X894</f>
        <v>46796.990625000006</v>
      </c>
      <c r="U14" s="531">
        <f t="shared" si="0"/>
        <v>336956.70937499998</v>
      </c>
      <c r="V14" s="532">
        <f t="shared" si="1"/>
        <v>65</v>
      </c>
      <c r="W14" s="534">
        <f t="shared" si="2"/>
        <v>5183.9493749999992</v>
      </c>
    </row>
    <row r="15" spans="2:23" s="8" customFormat="1" ht="12.75" customHeight="1" outlineLevel="1">
      <c r="B15" s="22" t="str">
        <f>'Program Budget'!D16</f>
        <v>Education Specialist</v>
      </c>
      <c r="C15" s="72">
        <f>'Program Budget'!G16</f>
        <v>8</v>
      </c>
      <c r="D15" s="23">
        <f>'Program Budget'!E16+'Program Budget'!E157+'Program Budget'!E219+'Program Budget'!E278+'Program Budget'!E347+'Program Budget'!E414+'Program Budget'!E486+'Program Budget'!E561+'Program Budget'!E616+'Program Budget'!E690+'Program Budget'!E764+'Program Budget'!E836+'Program Budget'!E895</f>
        <v>0.99999999999999989</v>
      </c>
      <c r="E15" s="24">
        <f>'Program Budget'!I16+'Program Budget'!I157+'Program Budget'!I219+'Program Budget'!I278+'Program Budget'!I347+'Program Budget'!I414+'Program Budget'!I486+'Program Budget'!I561+'Program Budget'!I616+'Program Budget'!I690+'Program Budget'!I764+'Program Budget'!I836+'Program Budget'!I895</f>
        <v>20000</v>
      </c>
      <c r="F15" s="72">
        <f>'Program Budget'!K16</f>
        <v>12</v>
      </c>
      <c r="G15" s="23">
        <f>'Program Budget'!J16+'Program Budget'!J157+'Program Budget'!J219+'Program Budget'!J278+'Program Budget'!J347+'Program Budget'!J414+'Program Budget'!J486+'Program Budget'!J561+'Program Budget'!J616+'Program Budget'!J690+'Program Budget'!J764+'Program Budget'!J836+'Program Budget'!J895</f>
        <v>0.99999999999999989</v>
      </c>
      <c r="H15" s="24">
        <f>'Program Budget'!L16+'Program Budget'!L157+'Program Budget'!L219+'Program Budget'!L278+'Program Budget'!L347+'Program Budget'!L414+'Program Budget'!L486+'Program Budget'!L561+'Program Budget'!L616+'Program Budget'!L690+'Program Budget'!L764+'Program Budget'!L836+'Program Budget'!L895</f>
        <v>31500</v>
      </c>
      <c r="I15" s="72">
        <f>'Program Budget'!N16</f>
        <v>12</v>
      </c>
      <c r="J15" s="23">
        <f>'Program Budget'!M16+'Program Budget'!M157+'Program Budget'!M219+'Program Budget'!M278+'Program Budget'!M347+'Program Budget'!M414+'Program Budget'!M486+'Program Budget'!M561+'Program Budget'!M616+'Program Budget'!M690+'Program Budget'!M764+'Program Budget'!M836+'Program Budget'!M895</f>
        <v>0.99999999999999989</v>
      </c>
      <c r="K15" s="24">
        <f>'Program Budget'!O16+'Program Budget'!O157+'Program Budget'!O219+'Program Budget'!O278+'Program Budget'!O347+'Program Budget'!O414+'Program Budget'!O486+'Program Budget'!O561+'Program Budget'!O616+'Program Budget'!O690+'Program Budget'!O764+'Program Budget'!O836+'Program Budget'!O895</f>
        <v>33075</v>
      </c>
      <c r="L15" s="72">
        <f>'Program Budget'!Q16</f>
        <v>12</v>
      </c>
      <c r="M15" s="23">
        <f>'Program Budget'!P16+'Program Budget'!P157+'Program Budget'!P219+'Program Budget'!P278+'Program Budget'!P347+'Program Budget'!P414+'Program Budget'!P486+'Program Budget'!P561+'Program Budget'!P616+'Program Budget'!P690+'Program Budget'!P764+'Program Budget'!P836+'Program Budget'!P895</f>
        <v>0.99999999999999989</v>
      </c>
      <c r="N15" s="24">
        <f>'Program Budget'!R16+'Program Budget'!R157+'Program Budget'!R219+'Program Budget'!R278+'Program Budget'!R347+'Program Budget'!R414+'Program Budget'!R486+'Program Budget'!R561+'Program Budget'!R616+'Program Budget'!R690+'Program Budget'!R764+'Program Budget'!R836+'Program Budget'!R895</f>
        <v>34728.75</v>
      </c>
      <c r="O15" s="72">
        <f>'Program Budget'!T16</f>
        <v>12</v>
      </c>
      <c r="P15" s="23">
        <f>'Program Budget'!S16+'Program Budget'!S157+'Program Budget'!S219+'Program Budget'!S278+'Program Budget'!S347+'Program Budget'!S414+'Program Budget'!S486+'Program Budget'!S561+'Program Budget'!S616+'Program Budget'!S690+'Program Budget'!S764+'Program Budget'!S836+'Program Budget'!S895</f>
        <v>0.99999999999999989</v>
      </c>
      <c r="Q15" s="24">
        <f>'Program Budget'!U16+'Program Budget'!U157+'Program Budget'!U219+'Program Budget'!U278+'Program Budget'!U347+'Program Budget'!U414+'Program Budget'!U486+'Program Budget'!U561+'Program Budget'!U616+'Program Budget'!U690+'Program Budget'!U764+'Program Budget'!U836+'Program Budget'!U895</f>
        <v>36465.1875</v>
      </c>
      <c r="R15" s="72">
        <f>'Program Budget'!W16</f>
        <v>3</v>
      </c>
      <c r="S15" s="23">
        <f>'Program Budget'!V16+'Program Budget'!V157+'Program Budget'!V219+'Program Budget'!V278+'Program Budget'!V347+'Program Budget'!V414+'Program Budget'!V486+'Program Budget'!V561+'Program Budget'!V616+'Program Budget'!V690+'Program Budget'!V764+'Program Budget'!V836+'Program Budget'!V895</f>
        <v>0.99999999999999989</v>
      </c>
      <c r="T15" s="24">
        <f>'Program Budget'!X16+'Program Budget'!X157+'Program Budget'!X219+'Program Budget'!X278+'Program Budget'!X347+'Program Budget'!X414+'Program Budget'!X486+'Program Budget'!X561+'Program Budget'!X616+'Program Budget'!X690+'Program Budget'!X764+'Program Budget'!X836+'Program Budget'!X895</f>
        <v>9572.1117187500004</v>
      </c>
      <c r="U15" s="531">
        <f t="shared" si="0"/>
        <v>165341.04921875001</v>
      </c>
      <c r="V15" s="532">
        <f t="shared" si="1"/>
        <v>59</v>
      </c>
      <c r="W15" s="534">
        <f t="shared" si="2"/>
        <v>2802.3906647245763</v>
      </c>
    </row>
    <row r="16" spans="2:23" s="8" customFormat="1" ht="12.75" customHeight="1" outlineLevel="1">
      <c r="B16" s="22" t="str">
        <f>'Program Budget'!D17</f>
        <v>Education Officer</v>
      </c>
      <c r="C16" s="72">
        <f>'Program Budget'!G17</f>
        <v>6</v>
      </c>
      <c r="D16" s="23">
        <f>'Program Budget'!E17+'Program Budget'!E158+'Program Budget'!E220+'Program Budget'!E279+'Program Budget'!E348+'Program Budget'!E415+'Program Budget'!E487+'Program Budget'!E562+'Program Budget'!E617+'Program Budget'!E691+'Program Budget'!E765+'Program Budget'!E837+'Program Budget'!E896</f>
        <v>0.99999999999999989</v>
      </c>
      <c r="E16" s="24">
        <f>'Program Budget'!I17+'Program Budget'!I158+'Program Budget'!I220+'Program Budget'!I279+'Program Budget'!I348+'Program Budget'!I415+'Program Budget'!I487+'Program Budget'!I562+'Program Budget'!I617+'Program Budget'!I691+'Program Budget'!I765+'Program Budget'!I837+'Program Budget'!I896</f>
        <v>6000</v>
      </c>
      <c r="F16" s="72">
        <f>'Program Budget'!K17</f>
        <v>12</v>
      </c>
      <c r="G16" s="23">
        <f>'Program Budget'!J17+'Program Budget'!J158+'Program Budget'!J220+'Program Budget'!J279+'Program Budget'!J348+'Program Budget'!J415+'Program Budget'!J487+'Program Budget'!J562+'Program Budget'!J617+'Program Budget'!J691+'Program Budget'!J765+'Program Budget'!J837+'Program Budget'!J896</f>
        <v>0.99999999999999989</v>
      </c>
      <c r="H16" s="24">
        <f>'Program Budget'!L17+'Program Budget'!L158+'Program Budget'!L220+'Program Budget'!L279+'Program Budget'!L348+'Program Budget'!L415+'Program Budget'!L487+'Program Budget'!L562+'Program Budget'!L617+'Program Budget'!L691+'Program Budget'!L765+'Program Budget'!L837+'Program Budget'!L896</f>
        <v>12600</v>
      </c>
      <c r="I16" s="72">
        <f>'Program Budget'!N17</f>
        <v>12</v>
      </c>
      <c r="J16" s="23">
        <f>'Program Budget'!M17+'Program Budget'!M158+'Program Budget'!M220+'Program Budget'!M279+'Program Budget'!M348+'Program Budget'!M415+'Program Budget'!M487+'Program Budget'!M562+'Program Budget'!M617+'Program Budget'!M691+'Program Budget'!M765+'Program Budget'!M837+'Program Budget'!M896</f>
        <v>0.99999999999999989</v>
      </c>
      <c r="K16" s="24">
        <f>'Program Budget'!O17+'Program Budget'!O158+'Program Budget'!O220+'Program Budget'!O279+'Program Budget'!O348+'Program Budget'!O415+'Program Budget'!O487+'Program Budget'!O562+'Program Budget'!O617+'Program Budget'!O691+'Program Budget'!O765+'Program Budget'!O837+'Program Budget'!O896</f>
        <v>13230</v>
      </c>
      <c r="L16" s="72">
        <f>'Program Budget'!Q17</f>
        <v>12</v>
      </c>
      <c r="M16" s="23">
        <f>'Program Budget'!P17+'Program Budget'!P158+'Program Budget'!P220+'Program Budget'!P279+'Program Budget'!P348+'Program Budget'!P415+'Program Budget'!P487+'Program Budget'!P562+'Program Budget'!P617+'Program Budget'!P691+'Program Budget'!P765+'Program Budget'!P837+'Program Budget'!P896</f>
        <v>0.99999999999999989</v>
      </c>
      <c r="N16" s="24">
        <f>'Program Budget'!R17+'Program Budget'!R158+'Program Budget'!R220+'Program Budget'!R279+'Program Budget'!R348+'Program Budget'!R415+'Program Budget'!R487+'Program Budget'!R562+'Program Budget'!R617+'Program Budget'!R691+'Program Budget'!R765+'Program Budget'!R837+'Program Budget'!R896</f>
        <v>13891.5</v>
      </c>
      <c r="O16" s="72">
        <f>'Program Budget'!T17</f>
        <v>12</v>
      </c>
      <c r="P16" s="23">
        <f>'Program Budget'!S17+'Program Budget'!S158+'Program Budget'!S220+'Program Budget'!S279+'Program Budget'!S348+'Program Budget'!S415+'Program Budget'!S487+'Program Budget'!S562+'Program Budget'!S617+'Program Budget'!S691+'Program Budget'!S765+'Program Budget'!S837+'Program Budget'!S896</f>
        <v>0.99999999999999989</v>
      </c>
      <c r="Q16" s="24">
        <f>'Program Budget'!U17+'Program Budget'!U158+'Program Budget'!U220+'Program Budget'!U279+'Program Budget'!U348+'Program Budget'!U415+'Program Budget'!U487+'Program Budget'!U562+'Program Budget'!U617+'Program Budget'!U691+'Program Budget'!U765+'Program Budget'!U837+'Program Budget'!U896</f>
        <v>14586.075000000001</v>
      </c>
      <c r="R16" s="72">
        <f>'Program Budget'!W17</f>
        <v>3</v>
      </c>
      <c r="S16" s="23">
        <f>'Program Budget'!V17+'Program Budget'!V158+'Program Budget'!V220+'Program Budget'!V279+'Program Budget'!V348+'Program Budget'!V415+'Program Budget'!V487+'Program Budget'!V562+'Program Budget'!V617+'Program Budget'!V691+'Program Budget'!V765+'Program Budget'!V837+'Program Budget'!V896</f>
        <v>0.99999999999999989</v>
      </c>
      <c r="T16" s="24">
        <f>'Program Budget'!X17+'Program Budget'!X158+'Program Budget'!X220+'Program Budget'!X279+'Program Budget'!X348+'Program Budget'!X415+'Program Budget'!X487+'Program Budget'!X562+'Program Budget'!X617+'Program Budget'!X691+'Program Budget'!X765+'Program Budget'!X837+'Program Budget'!X896</f>
        <v>3828.8446875000004</v>
      </c>
      <c r="U16" s="531">
        <f t="shared" si="0"/>
        <v>64136.419687499998</v>
      </c>
      <c r="V16" s="532">
        <f t="shared" si="1"/>
        <v>57</v>
      </c>
      <c r="W16" s="534">
        <f t="shared" si="2"/>
        <v>1125.2003453947368</v>
      </c>
    </row>
    <row r="17" spans="2:24" s="8" customFormat="1" ht="12.75" customHeight="1" outlineLevel="1">
      <c r="B17" s="22" t="str">
        <f>'Program Budget'!D18</f>
        <v>Nutrition and Health Specialist</v>
      </c>
      <c r="C17" s="72">
        <f>'Program Budget'!G18</f>
        <v>9</v>
      </c>
      <c r="D17" s="23">
        <f>'Program Budget'!E18+'Program Budget'!E159+'Program Budget'!E221+'Program Budget'!E280+'Program Budget'!E349+'Program Budget'!E416+'Program Budget'!E488+'Program Budget'!E563+'Program Budget'!E618+'Program Budget'!E692+'Program Budget'!E766+'Program Budget'!E838+'Program Budget'!E897</f>
        <v>1</v>
      </c>
      <c r="E17" s="24">
        <f>'Program Budget'!I18+'Program Budget'!I159+'Program Budget'!I221+'Program Budget'!I280+'Program Budget'!I349+'Program Budget'!I416+'Program Budget'!I488+'Program Budget'!I563+'Program Budget'!I618+'Program Budget'!I692+'Program Budget'!I766+'Program Budget'!I838+'Program Budget'!I897</f>
        <v>13500</v>
      </c>
      <c r="F17" s="72">
        <f>'Program Budget'!K18</f>
        <v>12</v>
      </c>
      <c r="G17" s="23">
        <f>'Program Budget'!J18+'Program Budget'!J159+'Program Budget'!J221+'Program Budget'!J280+'Program Budget'!J349+'Program Budget'!J416+'Program Budget'!J488+'Program Budget'!J563+'Program Budget'!J618+'Program Budget'!J692+'Program Budget'!J766+'Program Budget'!J838+'Program Budget'!J897</f>
        <v>1</v>
      </c>
      <c r="H17" s="24">
        <f>'Program Budget'!L18+'Program Budget'!L159+'Program Budget'!L221+'Program Budget'!L280+'Program Budget'!L349+'Program Budget'!L416+'Program Budget'!L488+'Program Budget'!L563+'Program Budget'!L618+'Program Budget'!L692+'Program Budget'!L766+'Program Budget'!L838+'Program Budget'!L897</f>
        <v>18900</v>
      </c>
      <c r="I17" s="72">
        <f>'Program Budget'!N18</f>
        <v>12</v>
      </c>
      <c r="J17" s="23">
        <f>'Program Budget'!M18+'Program Budget'!M159+'Program Budget'!M221+'Program Budget'!M280+'Program Budget'!M349+'Program Budget'!M416+'Program Budget'!M488+'Program Budget'!M563+'Program Budget'!M618+'Program Budget'!M692+'Program Budget'!M766+'Program Budget'!M838+'Program Budget'!M897</f>
        <v>1</v>
      </c>
      <c r="K17" s="24">
        <f>'Program Budget'!O18+'Program Budget'!O159+'Program Budget'!O221+'Program Budget'!O280+'Program Budget'!O349+'Program Budget'!O416+'Program Budget'!O488+'Program Budget'!O563+'Program Budget'!O618+'Program Budget'!O692+'Program Budget'!O766+'Program Budget'!O838+'Program Budget'!O897</f>
        <v>19845</v>
      </c>
      <c r="L17" s="72">
        <f>'Program Budget'!Q18</f>
        <v>12</v>
      </c>
      <c r="M17" s="23">
        <f>'Program Budget'!P18+'Program Budget'!P159+'Program Budget'!P221+'Program Budget'!P280+'Program Budget'!P349+'Program Budget'!P416+'Program Budget'!P488+'Program Budget'!P563+'Program Budget'!P618+'Program Budget'!P692+'Program Budget'!P766+'Program Budget'!P838+'Program Budget'!P897</f>
        <v>1</v>
      </c>
      <c r="N17" s="24">
        <f>'Program Budget'!R18+'Program Budget'!R159+'Program Budget'!R221+'Program Budget'!R280+'Program Budget'!R349+'Program Budget'!R416+'Program Budget'!R488+'Program Budget'!R563+'Program Budget'!R618+'Program Budget'!R692+'Program Budget'!R766+'Program Budget'!R838+'Program Budget'!R897</f>
        <v>20837.249999999996</v>
      </c>
      <c r="O17" s="72">
        <f>'Program Budget'!T18</f>
        <v>12</v>
      </c>
      <c r="P17" s="23">
        <f>'Program Budget'!S18+'Program Budget'!S159+'Program Budget'!S221+'Program Budget'!S280+'Program Budget'!S349+'Program Budget'!S416+'Program Budget'!S488+'Program Budget'!S563+'Program Budget'!S618+'Program Budget'!S692+'Program Budget'!S766+'Program Budget'!S838+'Program Budget'!S897</f>
        <v>1</v>
      </c>
      <c r="Q17" s="24">
        <f>'Program Budget'!U18+'Program Budget'!U159+'Program Budget'!U221+'Program Budget'!U280+'Program Budget'!U349+'Program Budget'!U416+'Program Budget'!U488+'Program Budget'!U563+'Program Budget'!U618+'Program Budget'!U692+'Program Budget'!U766+'Program Budget'!U838+'Program Budget'!U897</f>
        <v>21879.112499999996</v>
      </c>
      <c r="R17" s="72">
        <f>'Program Budget'!W18</f>
        <v>6</v>
      </c>
      <c r="S17" s="23">
        <f>'Program Budget'!V18+'Program Budget'!V159+'Program Budget'!V221+'Program Budget'!V280+'Program Budget'!V349+'Program Budget'!V416+'Program Budget'!V488+'Program Budget'!V563+'Program Budget'!V618+'Program Budget'!V692+'Program Budget'!V766+'Program Budget'!V838+'Program Budget'!V897</f>
        <v>1</v>
      </c>
      <c r="T17" s="24">
        <f>'Program Budget'!X18+'Program Budget'!X159+'Program Budget'!X221+'Program Budget'!X280+'Program Budget'!X349+'Program Budget'!X416+'Program Budget'!X488+'Program Budget'!X563+'Program Budget'!X618+'Program Budget'!X692+'Program Budget'!X766+'Program Budget'!X838+'Program Budget'!X897</f>
        <v>11486.534062499999</v>
      </c>
      <c r="U17" s="531">
        <f t="shared" si="0"/>
        <v>106447.89656249998</v>
      </c>
      <c r="V17" s="532">
        <f t="shared" si="1"/>
        <v>63</v>
      </c>
      <c r="W17" s="534">
        <f t="shared" si="2"/>
        <v>1689.6491517857141</v>
      </c>
    </row>
    <row r="18" spans="2:24" s="8" customFormat="1" outlineLevel="1">
      <c r="B18" s="22" t="str">
        <f>'Program Budget'!D19</f>
        <v>Nutrition Officer - (2 Individuals)</v>
      </c>
      <c r="C18" s="72">
        <f>'Program Budget'!G19</f>
        <v>6</v>
      </c>
      <c r="D18" s="23">
        <f>'Program Budget'!E19+'Program Budget'!E160+'Program Budget'!E222+'Program Budget'!E281+'Program Budget'!E350+'Program Budget'!E417+'Program Budget'!E489+'Program Budget'!E564+'Program Budget'!E619+'Program Budget'!E693+'Program Budget'!E767+'Program Budget'!E839+'Program Budget'!E898</f>
        <v>1</v>
      </c>
      <c r="E18" s="24">
        <f>'Program Budget'!I19+'Program Budget'!I160+'Program Budget'!I222+'Program Budget'!I281+'Program Budget'!I350+'Program Budget'!I417+'Program Budget'!I489+'Program Budget'!I564+'Program Budget'!I619+'Program Budget'!I693+'Program Budget'!I767+'Program Budget'!I839+'Program Budget'!I898</f>
        <v>6000</v>
      </c>
      <c r="F18" s="72">
        <f>'Program Budget'!K19</f>
        <v>24</v>
      </c>
      <c r="G18" s="23">
        <f>'Program Budget'!J19+'Program Budget'!J160+'Program Budget'!J222+'Program Budget'!J281+'Program Budget'!J350+'Program Budget'!J417+'Program Budget'!J489+'Program Budget'!J564+'Program Budget'!J619+'Program Budget'!J693+'Program Budget'!J767+'Program Budget'!J839+'Program Budget'!J898</f>
        <v>1</v>
      </c>
      <c r="H18" s="24">
        <f>'Program Budget'!L19+'Program Budget'!L160+'Program Budget'!L222+'Program Budget'!L281+'Program Budget'!L350+'Program Budget'!L417+'Program Budget'!L489+'Program Budget'!L564+'Program Budget'!L619+'Program Budget'!L693+'Program Budget'!L767+'Program Budget'!L839+'Program Budget'!L898</f>
        <v>25200</v>
      </c>
      <c r="I18" s="72">
        <f>'Program Budget'!N19</f>
        <v>24</v>
      </c>
      <c r="J18" s="23">
        <f>'Program Budget'!M19+'Program Budget'!M160+'Program Budget'!M222+'Program Budget'!M281+'Program Budget'!M350+'Program Budget'!M417+'Program Budget'!M489+'Program Budget'!M564+'Program Budget'!M619+'Program Budget'!M693+'Program Budget'!M767+'Program Budget'!M839+'Program Budget'!M898</f>
        <v>1</v>
      </c>
      <c r="K18" s="24">
        <f>'Program Budget'!O19+'Program Budget'!O160+'Program Budget'!O222+'Program Budget'!O281+'Program Budget'!O350+'Program Budget'!O417+'Program Budget'!O489+'Program Budget'!O564+'Program Budget'!O619+'Program Budget'!O693+'Program Budget'!O767+'Program Budget'!O839+'Program Budget'!O898</f>
        <v>26460</v>
      </c>
      <c r="L18" s="72">
        <f>'Program Budget'!Q19</f>
        <v>24</v>
      </c>
      <c r="M18" s="23">
        <f>'Program Budget'!P19+'Program Budget'!P160+'Program Budget'!P222+'Program Budget'!P281+'Program Budget'!P350+'Program Budget'!P417+'Program Budget'!P489+'Program Budget'!P564+'Program Budget'!P619+'Program Budget'!P693+'Program Budget'!P767+'Program Budget'!P839+'Program Budget'!P898</f>
        <v>1</v>
      </c>
      <c r="N18" s="24">
        <f>'Program Budget'!R19+'Program Budget'!R160+'Program Budget'!R222+'Program Budget'!R281+'Program Budget'!R350+'Program Budget'!R417+'Program Budget'!R489+'Program Budget'!R564+'Program Budget'!R619+'Program Budget'!R693+'Program Budget'!R767+'Program Budget'!R839+'Program Budget'!R898</f>
        <v>27783</v>
      </c>
      <c r="O18" s="72">
        <f>'Program Budget'!T19</f>
        <v>24</v>
      </c>
      <c r="P18" s="23">
        <f>'Program Budget'!S19+'Program Budget'!S160+'Program Budget'!S222+'Program Budget'!S281+'Program Budget'!S350+'Program Budget'!S417+'Program Budget'!S489+'Program Budget'!S564+'Program Budget'!S619+'Program Budget'!S693+'Program Budget'!S767+'Program Budget'!S839+'Program Budget'!S898</f>
        <v>1</v>
      </c>
      <c r="Q18" s="24">
        <f>'Program Budget'!U19+'Program Budget'!U160+'Program Budget'!U222+'Program Budget'!U281+'Program Budget'!U350+'Program Budget'!U417+'Program Budget'!U489+'Program Budget'!U564+'Program Budget'!U619+'Program Budget'!U693+'Program Budget'!U767+'Program Budget'!U839+'Program Budget'!U898</f>
        <v>29172.15</v>
      </c>
      <c r="R18" s="72">
        <f>'Program Budget'!W19</f>
        <v>6</v>
      </c>
      <c r="S18" s="23">
        <f>'Program Budget'!V19+'Program Budget'!V160+'Program Budget'!V222+'Program Budget'!V281+'Program Budget'!V350+'Program Budget'!V417+'Program Budget'!V489+'Program Budget'!V564+'Program Budget'!V619+'Program Budget'!V693+'Program Budget'!V767+'Program Budget'!V839+'Program Budget'!V898</f>
        <v>1</v>
      </c>
      <c r="T18" s="24">
        <f>'Program Budget'!X19+'Program Budget'!X160+'Program Budget'!X222+'Program Budget'!X281+'Program Budget'!X350+'Program Budget'!X417+'Program Budget'!X489+'Program Budget'!X564+'Program Budget'!X619+'Program Budget'!X693+'Program Budget'!X767+'Program Budget'!X839+'Program Budget'!X898</f>
        <v>7657.6893750000008</v>
      </c>
      <c r="U18" s="531">
        <f t="shared" si="0"/>
        <v>122272.839375</v>
      </c>
      <c r="V18" s="532">
        <f t="shared" si="1"/>
        <v>108</v>
      </c>
      <c r="W18" s="534">
        <f t="shared" si="2"/>
        <v>1132.1559201388889</v>
      </c>
      <c r="X18" s="139"/>
    </row>
    <row r="19" spans="2:24" s="8" customFormat="1" outlineLevel="1">
      <c r="B19" s="22" t="str">
        <f>'Program Budget'!D20</f>
        <v>School Feeding Specialist</v>
      </c>
      <c r="C19" s="72">
        <f>'Program Budget'!G20</f>
        <v>9</v>
      </c>
      <c r="D19" s="23">
        <f>'Program Budget'!E20+'Program Budget'!E161+'Program Budget'!E223+'Program Budget'!E282+'Program Budget'!E351+'Program Budget'!E418+'Program Budget'!E490+'Program Budget'!E565+'Program Budget'!E620+'Program Budget'!E694+'Program Budget'!E768+'Program Budget'!E840+'Program Budget'!E899</f>
        <v>1.0000000000000002</v>
      </c>
      <c r="E19" s="24">
        <f>'Program Budget'!I20+'Program Budget'!I161+'Program Budget'!I223+'Program Budget'!I282+'Program Budget'!I351+'Program Budget'!I418+'Program Budget'!I490+'Program Budget'!I565+'Program Budget'!I620+'Program Budget'!I694+'Program Budget'!I768+'Program Budget'!I840+'Program Budget'!I899</f>
        <v>13500</v>
      </c>
      <c r="F19" s="72">
        <f>'Program Budget'!K20</f>
        <v>12</v>
      </c>
      <c r="G19" s="23">
        <f>'Program Budget'!J20+'Program Budget'!J161+'Program Budget'!J223+'Program Budget'!J282+'Program Budget'!J351+'Program Budget'!J418+'Program Budget'!J490+'Program Budget'!J565+'Program Budget'!J620+'Program Budget'!J694+'Program Budget'!J768+'Program Budget'!J840+'Program Budget'!J899</f>
        <v>1.0000000000000002</v>
      </c>
      <c r="H19" s="24">
        <f>'Program Budget'!L20+'Program Budget'!L161+'Program Budget'!L223+'Program Budget'!L282+'Program Budget'!L351+'Program Budget'!L418+'Program Budget'!L490+'Program Budget'!L565+'Program Budget'!L620+'Program Budget'!L694+'Program Budget'!L768+'Program Budget'!L840+'Program Budget'!L899</f>
        <v>18900</v>
      </c>
      <c r="I19" s="72">
        <f>'Program Budget'!N20</f>
        <v>12</v>
      </c>
      <c r="J19" s="23">
        <f>'Program Budget'!M20+'Program Budget'!M161+'Program Budget'!M223+'Program Budget'!M282+'Program Budget'!M351+'Program Budget'!M418+'Program Budget'!M490+'Program Budget'!M565+'Program Budget'!M620+'Program Budget'!M694+'Program Budget'!M768+'Program Budget'!M840+'Program Budget'!M899</f>
        <v>1.0000000000000002</v>
      </c>
      <c r="K19" s="24">
        <f>'Program Budget'!O20+'Program Budget'!O161+'Program Budget'!O223+'Program Budget'!O282+'Program Budget'!O351+'Program Budget'!O418+'Program Budget'!O490+'Program Budget'!O565+'Program Budget'!O620+'Program Budget'!O694+'Program Budget'!O768+'Program Budget'!O840+'Program Budget'!O899</f>
        <v>19845</v>
      </c>
      <c r="L19" s="72">
        <f>'Program Budget'!Q20</f>
        <v>12</v>
      </c>
      <c r="M19" s="23">
        <f>'Program Budget'!P20+'Program Budget'!P161+'Program Budget'!P223+'Program Budget'!P282+'Program Budget'!P351+'Program Budget'!P418+'Program Budget'!P490+'Program Budget'!P565+'Program Budget'!P620+'Program Budget'!P694+'Program Budget'!P768+'Program Budget'!P840+'Program Budget'!P899</f>
        <v>1.0000000000000002</v>
      </c>
      <c r="N19" s="24">
        <f>'Program Budget'!R20+'Program Budget'!R161+'Program Budget'!R223+'Program Budget'!R282+'Program Budget'!R351+'Program Budget'!R418+'Program Budget'!R490+'Program Budget'!R565+'Program Budget'!R620+'Program Budget'!R694+'Program Budget'!R768+'Program Budget'!R840+'Program Budget'!R899</f>
        <v>20837.249999999996</v>
      </c>
      <c r="O19" s="72">
        <f>'Program Budget'!T20</f>
        <v>6</v>
      </c>
      <c r="P19" s="23">
        <f>'Program Budget'!S20+'Program Budget'!S161+'Program Budget'!S223+'Program Budget'!S282+'Program Budget'!S351+'Program Budget'!S418+'Program Budget'!S490+'Program Budget'!S565+'Program Budget'!S620+'Program Budget'!S694+'Program Budget'!S768+'Program Budget'!S840+'Program Budget'!S899</f>
        <v>1.0000000000000002</v>
      </c>
      <c r="Q19" s="24">
        <f>'Program Budget'!U20+'Program Budget'!U161+'Program Budget'!U223+'Program Budget'!U282+'Program Budget'!U351+'Program Budget'!U418+'Program Budget'!U490+'Program Budget'!U565+'Program Budget'!U620+'Program Budget'!U694+'Program Budget'!U768+'Program Budget'!U840+'Program Budget'!U899</f>
        <v>10939.556249999998</v>
      </c>
      <c r="R19" s="72">
        <f>'Program Budget'!W20</f>
        <v>6</v>
      </c>
      <c r="S19" s="23">
        <f>'Program Budget'!V20+'Program Budget'!V161+'Program Budget'!V223+'Program Budget'!V282+'Program Budget'!V351+'Program Budget'!V418+'Program Budget'!V490+'Program Budget'!V565+'Program Budget'!V620+'Program Budget'!V694+'Program Budget'!V768+'Program Budget'!V840+'Program Budget'!V899</f>
        <v>1.0000000000000002</v>
      </c>
      <c r="T19" s="24">
        <f>'Program Budget'!X20+'Program Budget'!X161+'Program Budget'!X223+'Program Budget'!X282+'Program Budget'!X351+'Program Budget'!X418+'Program Budget'!X490+'Program Budget'!X565+'Program Budget'!X620+'Program Budget'!X694+'Program Budget'!X768+'Program Budget'!X840+'Program Budget'!X899</f>
        <v>11486.534062500001</v>
      </c>
      <c r="U19" s="531">
        <f t="shared" si="0"/>
        <v>95508.34031249999</v>
      </c>
      <c r="V19" s="532">
        <f t="shared" si="1"/>
        <v>57</v>
      </c>
      <c r="W19" s="534">
        <f t="shared" si="2"/>
        <v>1675.5849177631578</v>
      </c>
    </row>
    <row r="20" spans="2:24" s="8" customFormat="1" outlineLevel="1">
      <c r="B20" s="22" t="str">
        <f>'Program Budget'!D21</f>
        <v>Food Aid Monitors - (2 Individuals)</v>
      </c>
      <c r="C20" s="72">
        <f>'Program Budget'!G21</f>
        <v>6</v>
      </c>
      <c r="D20" s="23">
        <f>'Program Budget'!E21+'Program Budget'!E162+'Program Budget'!E224+'Program Budget'!E283+'Program Budget'!E352+'Program Budget'!E419+'Program Budget'!E491+'Program Budget'!E566+'Program Budget'!E621+'Program Budget'!E695+'Program Budget'!E769+'Program Budget'!E841+'Program Budget'!E900</f>
        <v>0.99999999999999989</v>
      </c>
      <c r="E20" s="24">
        <f>'Program Budget'!I21+'Program Budget'!I162+'Program Budget'!I224+'Program Budget'!I283+'Program Budget'!I352+'Program Budget'!I419+'Program Budget'!I491+'Program Budget'!I566+'Program Budget'!I621+'Program Budget'!I695+'Program Budget'!I769+'Program Budget'!I841+'Program Budget'!I900</f>
        <v>6000</v>
      </c>
      <c r="F20" s="72">
        <f>'Program Budget'!K21</f>
        <v>24</v>
      </c>
      <c r="G20" s="23">
        <f>'Program Budget'!J21+'Program Budget'!J162+'Program Budget'!J224+'Program Budget'!J283+'Program Budget'!J352+'Program Budget'!J419+'Program Budget'!J491+'Program Budget'!J566+'Program Budget'!J621+'Program Budget'!J695+'Program Budget'!J769+'Program Budget'!J841+'Program Budget'!J900</f>
        <v>0.99999999999999989</v>
      </c>
      <c r="H20" s="24">
        <f>'Program Budget'!L21+'Program Budget'!L162+'Program Budget'!L224+'Program Budget'!L283+'Program Budget'!L352+'Program Budget'!L419+'Program Budget'!L491+'Program Budget'!L566+'Program Budget'!L621+'Program Budget'!L695+'Program Budget'!L769+'Program Budget'!L841+'Program Budget'!L900</f>
        <v>25200</v>
      </c>
      <c r="I20" s="72">
        <f>'Program Budget'!N21</f>
        <v>24</v>
      </c>
      <c r="J20" s="23">
        <f>'Program Budget'!M21+'Program Budget'!M162+'Program Budget'!M224+'Program Budget'!M283+'Program Budget'!M352+'Program Budget'!M419+'Program Budget'!M491+'Program Budget'!M566+'Program Budget'!M621+'Program Budget'!M695+'Program Budget'!M769+'Program Budget'!M841+'Program Budget'!M900</f>
        <v>0.99999999999999989</v>
      </c>
      <c r="K20" s="24">
        <f>'Program Budget'!O21+'Program Budget'!O162+'Program Budget'!O224+'Program Budget'!O283+'Program Budget'!O352+'Program Budget'!O419+'Program Budget'!O491+'Program Budget'!O566+'Program Budget'!O621+'Program Budget'!O695+'Program Budget'!O769+'Program Budget'!O841+'Program Budget'!O900</f>
        <v>26460</v>
      </c>
      <c r="L20" s="72">
        <f>'Program Budget'!Q21</f>
        <v>24</v>
      </c>
      <c r="M20" s="23">
        <f>'Program Budget'!P21+'Program Budget'!P162+'Program Budget'!P224+'Program Budget'!P283+'Program Budget'!P352+'Program Budget'!P419+'Program Budget'!P491+'Program Budget'!P566+'Program Budget'!P621+'Program Budget'!P695+'Program Budget'!P769+'Program Budget'!P841+'Program Budget'!P900</f>
        <v>0.99999999999999989</v>
      </c>
      <c r="N20" s="24">
        <f>'Program Budget'!R21+'Program Budget'!R162+'Program Budget'!R224+'Program Budget'!R283+'Program Budget'!R352+'Program Budget'!R419+'Program Budget'!R491+'Program Budget'!R566+'Program Budget'!R621+'Program Budget'!R695+'Program Budget'!R769+'Program Budget'!R841+'Program Budget'!R900</f>
        <v>27783</v>
      </c>
      <c r="O20" s="72">
        <f>'Program Budget'!T21</f>
        <v>24</v>
      </c>
      <c r="P20" s="23">
        <f>'Program Budget'!S21+'Program Budget'!S162+'Program Budget'!S224+'Program Budget'!S283+'Program Budget'!S352+'Program Budget'!S419+'Program Budget'!S491+'Program Budget'!S566+'Program Budget'!S621+'Program Budget'!S695+'Program Budget'!S769+'Program Budget'!S841+'Program Budget'!S900</f>
        <v>0.99999999999999989</v>
      </c>
      <c r="Q20" s="24">
        <f>'Program Budget'!U21+'Program Budget'!U162+'Program Budget'!U224+'Program Budget'!U283+'Program Budget'!U352+'Program Budget'!U419+'Program Budget'!U491+'Program Budget'!U566+'Program Budget'!U621+'Program Budget'!U695+'Program Budget'!U769+'Program Budget'!U841+'Program Budget'!U900</f>
        <v>29172.15</v>
      </c>
      <c r="R20" s="72">
        <f>'Program Budget'!W21</f>
        <v>12</v>
      </c>
      <c r="S20" s="23">
        <f>'Program Budget'!V21+'Program Budget'!V162+'Program Budget'!V224+'Program Budget'!V283+'Program Budget'!V352+'Program Budget'!V419+'Program Budget'!V491+'Program Budget'!V566+'Program Budget'!V621+'Program Budget'!V695+'Program Budget'!V769+'Program Budget'!V841+'Program Budget'!V900</f>
        <v>0.99999999999999989</v>
      </c>
      <c r="T20" s="24">
        <f>'Program Budget'!X21+'Program Budget'!X162+'Program Budget'!X224+'Program Budget'!X283+'Program Budget'!X352+'Program Budget'!X419+'Program Budget'!X491+'Program Budget'!X566+'Program Budget'!X621+'Program Budget'!X695+'Program Budget'!X769+'Program Budget'!X841+'Program Budget'!X900</f>
        <v>15315.37875</v>
      </c>
      <c r="U20" s="531">
        <f t="shared" si="0"/>
        <v>129930.52875</v>
      </c>
      <c r="V20" s="532">
        <f t="shared" si="1"/>
        <v>114</v>
      </c>
      <c r="W20" s="534">
        <f t="shared" si="2"/>
        <v>1139.7414802631579</v>
      </c>
      <c r="X20" s="139"/>
    </row>
    <row r="21" spans="2:24" s="8" customFormat="1" outlineLevel="1">
      <c r="B21" s="22" t="str">
        <f>'Program Budget'!D22</f>
        <v>WASH Officer</v>
      </c>
      <c r="C21" s="72">
        <f>'Program Budget'!G22</f>
        <v>6</v>
      </c>
      <c r="D21" s="23">
        <f>'Program Budget'!E22+'Program Budget'!E163+'Program Budget'!E225+'Program Budget'!E284+'Program Budget'!E353+'Program Budget'!E420+'Program Budget'!E492+'Program Budget'!E567+'Program Budget'!E622+'Program Budget'!E696+'Program Budget'!E770+'Program Budget'!E842+'Program Budget'!E901</f>
        <v>1</v>
      </c>
      <c r="E21" s="24">
        <f>'Program Budget'!I22+'Program Budget'!I163+'Program Budget'!I225+'Program Budget'!I284+'Program Budget'!I353+'Program Budget'!I420+'Program Budget'!I492+'Program Budget'!I567+'Program Budget'!I622+'Program Budget'!I696+'Program Budget'!I770+'Program Budget'!I842+'Program Budget'!I901</f>
        <v>6000</v>
      </c>
      <c r="F21" s="72">
        <f>'Program Budget'!K22</f>
        <v>12</v>
      </c>
      <c r="G21" s="23">
        <f>'Program Budget'!J22+'Program Budget'!J163+'Program Budget'!J225+'Program Budget'!J284+'Program Budget'!J353+'Program Budget'!J420+'Program Budget'!J492+'Program Budget'!J567+'Program Budget'!J622+'Program Budget'!J696+'Program Budget'!J770+'Program Budget'!J842+'Program Budget'!J901</f>
        <v>1</v>
      </c>
      <c r="H21" s="24">
        <f>'Program Budget'!L22+'Program Budget'!L163+'Program Budget'!L225+'Program Budget'!L284+'Program Budget'!L353+'Program Budget'!L420+'Program Budget'!L492+'Program Budget'!L567+'Program Budget'!L622+'Program Budget'!L696+'Program Budget'!L770+'Program Budget'!L842+'Program Budget'!L901</f>
        <v>12600</v>
      </c>
      <c r="I21" s="72">
        <f>'Program Budget'!N22</f>
        <v>12</v>
      </c>
      <c r="J21" s="23">
        <f>'Program Budget'!M22+'Program Budget'!M163+'Program Budget'!M225+'Program Budget'!M284+'Program Budget'!M353+'Program Budget'!M420+'Program Budget'!M492+'Program Budget'!M567+'Program Budget'!M622+'Program Budget'!M696+'Program Budget'!M770+'Program Budget'!M842+'Program Budget'!M901</f>
        <v>1</v>
      </c>
      <c r="K21" s="24">
        <f>'Program Budget'!O22+'Program Budget'!O163+'Program Budget'!O225+'Program Budget'!O284+'Program Budget'!O353+'Program Budget'!O420+'Program Budget'!O492+'Program Budget'!O567+'Program Budget'!O622+'Program Budget'!O696+'Program Budget'!O770+'Program Budget'!O842+'Program Budget'!O901</f>
        <v>13230</v>
      </c>
      <c r="L21" s="72">
        <f>'Program Budget'!Q22</f>
        <v>12</v>
      </c>
      <c r="M21" s="23">
        <f>'Program Budget'!P22+'Program Budget'!P163+'Program Budget'!P225+'Program Budget'!P284+'Program Budget'!P353+'Program Budget'!P420+'Program Budget'!P492+'Program Budget'!P567+'Program Budget'!P622+'Program Budget'!P696+'Program Budget'!P770+'Program Budget'!P842+'Program Budget'!P901</f>
        <v>1</v>
      </c>
      <c r="N21" s="24">
        <f>'Program Budget'!R22+'Program Budget'!R163+'Program Budget'!R225+'Program Budget'!R284+'Program Budget'!R353+'Program Budget'!R420+'Program Budget'!R492+'Program Budget'!R567+'Program Budget'!R622+'Program Budget'!R696+'Program Budget'!R770+'Program Budget'!R842+'Program Budget'!R901</f>
        <v>13891.5</v>
      </c>
      <c r="O21" s="72">
        <f>'Program Budget'!T22</f>
        <v>12</v>
      </c>
      <c r="P21" s="23">
        <f>'Program Budget'!S22+'Program Budget'!S163+'Program Budget'!S225+'Program Budget'!S284+'Program Budget'!S353+'Program Budget'!S420+'Program Budget'!S492+'Program Budget'!S567+'Program Budget'!S622+'Program Budget'!S696+'Program Budget'!S770+'Program Budget'!S842+'Program Budget'!S901</f>
        <v>1</v>
      </c>
      <c r="Q21" s="24">
        <f>'Program Budget'!U22+'Program Budget'!U163+'Program Budget'!U225+'Program Budget'!U284+'Program Budget'!U353+'Program Budget'!U420+'Program Budget'!U492+'Program Budget'!U567+'Program Budget'!U622+'Program Budget'!U696+'Program Budget'!U770+'Program Budget'!U842+'Program Budget'!U901</f>
        <v>14586.075000000001</v>
      </c>
      <c r="R21" s="72">
        <f>'Program Budget'!W22</f>
        <v>3</v>
      </c>
      <c r="S21" s="23">
        <f>'Program Budget'!V22+'Program Budget'!V163+'Program Budget'!V225+'Program Budget'!V284+'Program Budget'!V353+'Program Budget'!V420+'Program Budget'!V492+'Program Budget'!V567+'Program Budget'!V622+'Program Budget'!V696+'Program Budget'!V770+'Program Budget'!V842+'Program Budget'!V901</f>
        <v>1</v>
      </c>
      <c r="T21" s="24">
        <f>'Program Budget'!X22+'Program Budget'!X163+'Program Budget'!X225+'Program Budget'!X284+'Program Budget'!X353+'Program Budget'!X420+'Program Budget'!X492+'Program Budget'!X567+'Program Budget'!X622+'Program Budget'!X696+'Program Budget'!X770+'Program Budget'!X842+'Program Budget'!X901</f>
        <v>3828.8446875000004</v>
      </c>
      <c r="U21" s="531">
        <f t="shared" si="0"/>
        <v>64136.419687499998</v>
      </c>
      <c r="V21" s="532">
        <f t="shared" si="1"/>
        <v>57</v>
      </c>
      <c r="W21" s="534">
        <f t="shared" si="2"/>
        <v>1125.2003453947368</v>
      </c>
    </row>
    <row r="22" spans="2:24" s="8" customFormat="1" outlineLevel="1">
      <c r="B22" s="22" t="str">
        <f>'Program Budget'!D23</f>
        <v>Communications Specialist</v>
      </c>
      <c r="C22" s="72">
        <f>'Program Budget'!G23</f>
        <v>8</v>
      </c>
      <c r="D22" s="23">
        <f>'Program Budget'!E23+'Program Budget'!E164+'Program Budget'!E226+'Program Budget'!E285+'Program Budget'!E354+'Program Budget'!E421+'Program Budget'!E493+'Program Budget'!E568+'Program Budget'!E623+'Program Budget'!E697+'Program Budget'!E771+'Program Budget'!E843+'Program Budget'!E902</f>
        <v>1</v>
      </c>
      <c r="E22" s="24">
        <f>'Program Budget'!I23+'Program Budget'!I164+'Program Budget'!I226+'Program Budget'!I285+'Program Budget'!I354+'Program Budget'!I421+'Program Budget'!I493+'Program Budget'!I568+'Program Budget'!I623+'Program Budget'!I697+'Program Budget'!I771+'Program Budget'!I843+'Program Budget'!I902</f>
        <v>12000</v>
      </c>
      <c r="F22" s="72">
        <f>'Program Budget'!K23</f>
        <v>12</v>
      </c>
      <c r="G22" s="23">
        <f>'Program Budget'!J23+'Program Budget'!J164+'Program Budget'!J226+'Program Budget'!J285+'Program Budget'!J354+'Program Budget'!J421+'Program Budget'!J493+'Program Budget'!J568+'Program Budget'!J623+'Program Budget'!J697+'Program Budget'!J771+'Program Budget'!J843+'Program Budget'!J902</f>
        <v>1</v>
      </c>
      <c r="H22" s="24">
        <f>'Program Budget'!L23+'Program Budget'!L164+'Program Budget'!L226+'Program Budget'!L285+'Program Budget'!L354+'Program Budget'!L421+'Program Budget'!L493+'Program Budget'!L568+'Program Budget'!L623+'Program Budget'!L697+'Program Budget'!L771+'Program Budget'!L843+'Program Budget'!L902</f>
        <v>18900</v>
      </c>
      <c r="I22" s="72">
        <f>'Program Budget'!N23</f>
        <v>12</v>
      </c>
      <c r="J22" s="23">
        <f>'Program Budget'!M23+'Program Budget'!M164+'Program Budget'!M226+'Program Budget'!M285+'Program Budget'!M354+'Program Budget'!M421+'Program Budget'!M493+'Program Budget'!M568+'Program Budget'!M623+'Program Budget'!M697+'Program Budget'!M771+'Program Budget'!M843+'Program Budget'!M902</f>
        <v>1</v>
      </c>
      <c r="K22" s="24">
        <f>'Program Budget'!O23+'Program Budget'!O164+'Program Budget'!O226+'Program Budget'!O285+'Program Budget'!O354+'Program Budget'!O421+'Program Budget'!O493+'Program Budget'!O568+'Program Budget'!O623+'Program Budget'!O697+'Program Budget'!O771+'Program Budget'!O843+'Program Budget'!O902</f>
        <v>19845</v>
      </c>
      <c r="L22" s="72">
        <f>'Program Budget'!Q23</f>
        <v>12</v>
      </c>
      <c r="M22" s="23">
        <f>'Program Budget'!P23+'Program Budget'!P164+'Program Budget'!P226+'Program Budget'!P285+'Program Budget'!P354+'Program Budget'!P421+'Program Budget'!P493+'Program Budget'!P568+'Program Budget'!P623+'Program Budget'!P697+'Program Budget'!P771+'Program Budget'!P843+'Program Budget'!P902</f>
        <v>1</v>
      </c>
      <c r="N22" s="24">
        <f>'Program Budget'!R23+'Program Budget'!R164+'Program Budget'!R226+'Program Budget'!R285+'Program Budget'!R354+'Program Budget'!R421+'Program Budget'!R493+'Program Budget'!R568+'Program Budget'!R623+'Program Budget'!R697+'Program Budget'!R771+'Program Budget'!R843+'Program Budget'!R902</f>
        <v>20837.25</v>
      </c>
      <c r="O22" s="72">
        <f>'Program Budget'!T23</f>
        <v>12</v>
      </c>
      <c r="P22" s="23">
        <f>'Program Budget'!S23+'Program Budget'!S164+'Program Budget'!S226+'Program Budget'!S285+'Program Budget'!S354+'Program Budget'!S421+'Program Budget'!S493+'Program Budget'!S568+'Program Budget'!S623+'Program Budget'!S697+'Program Budget'!S771+'Program Budget'!S843+'Program Budget'!S902</f>
        <v>1</v>
      </c>
      <c r="Q22" s="24">
        <f>'Program Budget'!U23+'Program Budget'!U164+'Program Budget'!U226+'Program Budget'!U285+'Program Budget'!U354+'Program Budget'!U421+'Program Budget'!U493+'Program Budget'!U568+'Program Budget'!U623+'Program Budget'!U697+'Program Budget'!U771+'Program Budget'!U843+'Program Budget'!U902</f>
        <v>21879.112499999999</v>
      </c>
      <c r="R22" s="72">
        <f>'Program Budget'!W23</f>
        <v>8</v>
      </c>
      <c r="S22" s="23">
        <f>'Program Budget'!V23+'Program Budget'!V164+'Program Budget'!V226+'Program Budget'!V285+'Program Budget'!V354+'Program Budget'!V421+'Program Budget'!V493+'Program Budget'!V568+'Program Budget'!V623+'Program Budget'!V697+'Program Budget'!V771+'Program Budget'!V843+'Program Budget'!V902</f>
        <v>1</v>
      </c>
      <c r="T22" s="24">
        <f>'Program Budget'!X23+'Program Budget'!X164+'Program Budget'!X226+'Program Budget'!X285+'Program Budget'!X354+'Program Budget'!X421+'Program Budget'!X493+'Program Budget'!X568+'Program Budget'!X623+'Program Budget'!X697+'Program Budget'!X771+'Program Budget'!X843+'Program Budget'!X902</f>
        <v>15315.378750000003</v>
      </c>
      <c r="U22" s="531">
        <f t="shared" si="0"/>
        <v>108776.74125000001</v>
      </c>
      <c r="V22" s="532">
        <f t="shared" si="1"/>
        <v>64</v>
      </c>
      <c r="W22" s="534">
        <f t="shared" si="2"/>
        <v>1699.6365820312501</v>
      </c>
    </row>
    <row r="23" spans="2:24" s="8" customFormat="1" outlineLevel="1">
      <c r="B23" s="22" t="str">
        <f>'Program Budget'!D24</f>
        <v>Communications Officer</v>
      </c>
      <c r="C23" s="72">
        <f>'Program Budget'!G24</f>
        <v>0</v>
      </c>
      <c r="D23" s="23">
        <f>'Program Budget'!E24+'Program Budget'!E165+'Program Budget'!E227+'Program Budget'!E286+'Program Budget'!E355+'Program Budget'!E422+'Program Budget'!E494+'Program Budget'!E569+'Program Budget'!E624+'Program Budget'!E698+'Program Budget'!E772+'Program Budget'!E844+'Program Budget'!E903</f>
        <v>1</v>
      </c>
      <c r="E23" s="24">
        <f>'Program Budget'!I24+'Program Budget'!I165+'Program Budget'!I227+'Program Budget'!I286+'Program Budget'!I355+'Program Budget'!I422+'Program Budget'!I494+'Program Budget'!I569+'Program Budget'!I624+'Program Budget'!I698+'Program Budget'!I772+'Program Budget'!I844+'Program Budget'!I903</f>
        <v>0</v>
      </c>
      <c r="F23" s="72">
        <f>'Program Budget'!K24</f>
        <v>12</v>
      </c>
      <c r="G23" s="23">
        <f>'Program Budget'!J24+'Program Budget'!J165+'Program Budget'!J227+'Program Budget'!J286+'Program Budget'!J355+'Program Budget'!J422+'Program Budget'!J494+'Program Budget'!J569+'Program Budget'!J624+'Program Budget'!J698+'Program Budget'!J772+'Program Budget'!J844+'Program Budget'!J903</f>
        <v>1</v>
      </c>
      <c r="H23" s="24">
        <f>'Program Budget'!L24+'Program Budget'!L165+'Program Budget'!L227+'Program Budget'!L286+'Program Budget'!L355+'Program Budget'!L422+'Program Budget'!L494+'Program Budget'!L569+'Program Budget'!L624+'Program Budget'!L698+'Program Budget'!L772+'Program Budget'!L844+'Program Budget'!L903</f>
        <v>12600</v>
      </c>
      <c r="I23" s="72">
        <f>'Program Budget'!N24</f>
        <v>12</v>
      </c>
      <c r="J23" s="23">
        <f>'Program Budget'!M24+'Program Budget'!M165+'Program Budget'!M227+'Program Budget'!M286+'Program Budget'!M355+'Program Budget'!M422+'Program Budget'!M494+'Program Budget'!M569+'Program Budget'!M624+'Program Budget'!M698+'Program Budget'!M772+'Program Budget'!M844+'Program Budget'!M903</f>
        <v>1</v>
      </c>
      <c r="K23" s="24">
        <f>'Program Budget'!O24+'Program Budget'!O165+'Program Budget'!O227+'Program Budget'!O286+'Program Budget'!O355+'Program Budget'!O422+'Program Budget'!O494+'Program Budget'!O569+'Program Budget'!O624+'Program Budget'!O698+'Program Budget'!O772+'Program Budget'!O844+'Program Budget'!O903</f>
        <v>13230</v>
      </c>
      <c r="L23" s="72">
        <f>'Program Budget'!Q24</f>
        <v>12</v>
      </c>
      <c r="M23" s="23">
        <f>'Program Budget'!P24+'Program Budget'!P165+'Program Budget'!P227+'Program Budget'!P286+'Program Budget'!P355+'Program Budget'!P422+'Program Budget'!P494+'Program Budget'!P569+'Program Budget'!P624+'Program Budget'!P698+'Program Budget'!P772+'Program Budget'!P844+'Program Budget'!P903</f>
        <v>1</v>
      </c>
      <c r="N23" s="24">
        <f>'Program Budget'!R24+'Program Budget'!R165+'Program Budget'!R227+'Program Budget'!R286+'Program Budget'!R355+'Program Budget'!R422+'Program Budget'!R494+'Program Budget'!R569+'Program Budget'!R624+'Program Budget'!R698+'Program Budget'!R772+'Program Budget'!R844+'Program Budget'!R903</f>
        <v>13891.5</v>
      </c>
      <c r="O23" s="72">
        <f>'Program Budget'!T24</f>
        <v>12</v>
      </c>
      <c r="P23" s="23">
        <f>'Program Budget'!S24+'Program Budget'!S165+'Program Budget'!S227+'Program Budget'!S286+'Program Budget'!S355+'Program Budget'!S422+'Program Budget'!S494+'Program Budget'!S569+'Program Budget'!S624+'Program Budget'!S698+'Program Budget'!S772+'Program Budget'!S844+'Program Budget'!S903</f>
        <v>1</v>
      </c>
      <c r="Q23" s="24">
        <f>'Program Budget'!U24+'Program Budget'!U165+'Program Budget'!U227+'Program Budget'!U286+'Program Budget'!U355+'Program Budget'!U422+'Program Budget'!U494+'Program Budget'!U569+'Program Budget'!U624+'Program Budget'!U698+'Program Budget'!U772+'Program Budget'!U844+'Program Budget'!U903</f>
        <v>14586.075000000001</v>
      </c>
      <c r="R23" s="72">
        <f>'Program Budget'!W24</f>
        <v>0</v>
      </c>
      <c r="S23" s="23">
        <f>'Program Budget'!V24+'Program Budget'!V165+'Program Budget'!V227+'Program Budget'!V286+'Program Budget'!V355+'Program Budget'!V422+'Program Budget'!V494+'Program Budget'!V569+'Program Budget'!V624+'Program Budget'!V698+'Program Budget'!V772+'Program Budget'!V844+'Program Budget'!V903</f>
        <v>1</v>
      </c>
      <c r="T23" s="24">
        <f>'Program Budget'!X24+'Program Budget'!X165+'Program Budget'!X227+'Program Budget'!X286+'Program Budget'!X355+'Program Budget'!X422+'Program Budget'!X494+'Program Budget'!X569+'Program Budget'!X624+'Program Budget'!X698+'Program Budget'!X772+'Program Budget'!X844+'Program Budget'!X903</f>
        <v>0</v>
      </c>
      <c r="U23" s="531">
        <f t="shared" si="0"/>
        <v>54307.574999999997</v>
      </c>
      <c r="V23" s="532">
        <f t="shared" si="1"/>
        <v>48</v>
      </c>
      <c r="W23" s="534">
        <f t="shared" si="2"/>
        <v>1131.4078124999999</v>
      </c>
    </row>
    <row r="24" spans="2:24" s="8" customFormat="1" outlineLevel="1">
      <c r="B24" s="22" t="str">
        <f>'Program Budget'!D25</f>
        <v>Education &amp; Community Engagement Specialist</v>
      </c>
      <c r="C24" s="72">
        <f>'Program Budget'!G25</f>
        <v>6</v>
      </c>
      <c r="D24" s="23">
        <f>'Program Budget'!E25+'Program Budget'!E166+'Program Budget'!E228+'Program Budget'!E287+'Program Budget'!E356+'Program Budget'!E423+'Program Budget'!E495+'Program Budget'!E570+'Program Budget'!E625+'Program Budget'!E699+'Program Budget'!E773+'Program Budget'!E845+'Program Budget'!E904</f>
        <v>1</v>
      </c>
      <c r="E24" s="24">
        <f>'Program Budget'!I25+'Program Budget'!I166+'Program Budget'!I228+'Program Budget'!I287+'Program Budget'!I356+'Program Budget'!I423+'Program Budget'!I495+'Program Budget'!I570+'Program Budget'!I625+'Program Budget'!I699+'Program Budget'!I773+'Program Budget'!I845+'Program Budget'!I904</f>
        <v>9000</v>
      </c>
      <c r="F24" s="72">
        <f>'Program Budget'!K25</f>
        <v>12</v>
      </c>
      <c r="G24" s="23">
        <f>'Program Budget'!J25+'Program Budget'!J166+'Program Budget'!J228+'Program Budget'!J287+'Program Budget'!J356+'Program Budget'!J423+'Program Budget'!J495+'Program Budget'!J570+'Program Budget'!J625+'Program Budget'!J699+'Program Budget'!J773+'Program Budget'!J845+'Program Budget'!J904</f>
        <v>1</v>
      </c>
      <c r="H24" s="24">
        <f>'Program Budget'!L25+'Program Budget'!L166+'Program Budget'!L228+'Program Budget'!L287+'Program Budget'!L356+'Program Budget'!L423+'Program Budget'!L495+'Program Budget'!L570+'Program Budget'!L625+'Program Budget'!L699+'Program Budget'!L773+'Program Budget'!L845+'Program Budget'!L904</f>
        <v>18900</v>
      </c>
      <c r="I24" s="72">
        <f>'Program Budget'!N25</f>
        <v>12</v>
      </c>
      <c r="J24" s="23">
        <f>'Program Budget'!M25+'Program Budget'!M166+'Program Budget'!M228+'Program Budget'!M287+'Program Budget'!M356+'Program Budget'!M423+'Program Budget'!M495+'Program Budget'!M570+'Program Budget'!M625+'Program Budget'!M699+'Program Budget'!M773+'Program Budget'!M845+'Program Budget'!M904</f>
        <v>1</v>
      </c>
      <c r="K24" s="24">
        <f>'Program Budget'!O25+'Program Budget'!O166+'Program Budget'!O228+'Program Budget'!O287+'Program Budget'!O356+'Program Budget'!O423+'Program Budget'!O495+'Program Budget'!O570+'Program Budget'!O625+'Program Budget'!O699+'Program Budget'!O773+'Program Budget'!O845+'Program Budget'!O904</f>
        <v>19845</v>
      </c>
      <c r="L24" s="72">
        <f>'Program Budget'!Q25</f>
        <v>12</v>
      </c>
      <c r="M24" s="23">
        <f>'Program Budget'!P25+'Program Budget'!P166+'Program Budget'!P228+'Program Budget'!P287+'Program Budget'!P356+'Program Budget'!P423+'Program Budget'!P495+'Program Budget'!P570+'Program Budget'!P625+'Program Budget'!P699+'Program Budget'!P773+'Program Budget'!P845+'Program Budget'!P904</f>
        <v>1</v>
      </c>
      <c r="N24" s="24">
        <f>'Program Budget'!R25+'Program Budget'!R166+'Program Budget'!R228+'Program Budget'!R287+'Program Budget'!R356+'Program Budget'!R423+'Program Budget'!R495+'Program Budget'!R570+'Program Budget'!R625+'Program Budget'!R699+'Program Budget'!R773+'Program Budget'!R845+'Program Budget'!R904</f>
        <v>20837.249999999996</v>
      </c>
      <c r="O24" s="72">
        <f>'Program Budget'!T25</f>
        <v>12</v>
      </c>
      <c r="P24" s="23">
        <f>'Program Budget'!S25+'Program Budget'!S166+'Program Budget'!S228+'Program Budget'!S287+'Program Budget'!S356+'Program Budget'!S423+'Program Budget'!S495+'Program Budget'!S570+'Program Budget'!S625+'Program Budget'!S699+'Program Budget'!S773+'Program Budget'!S845+'Program Budget'!S904</f>
        <v>1</v>
      </c>
      <c r="Q24" s="24">
        <f>'Program Budget'!U25+'Program Budget'!U166+'Program Budget'!U228+'Program Budget'!U287+'Program Budget'!U356+'Program Budget'!U423+'Program Budget'!U495+'Program Budget'!U570+'Program Budget'!U625+'Program Budget'!U699+'Program Budget'!U773+'Program Budget'!U845+'Program Budget'!U904</f>
        <v>21879.112499999999</v>
      </c>
      <c r="R24" s="72">
        <f>'Program Budget'!W25</f>
        <v>8</v>
      </c>
      <c r="S24" s="23">
        <f>'Program Budget'!V25+'Program Budget'!V166+'Program Budget'!V228+'Program Budget'!V287+'Program Budget'!V356+'Program Budget'!V423+'Program Budget'!V495+'Program Budget'!V570+'Program Budget'!V625+'Program Budget'!V699+'Program Budget'!V773+'Program Budget'!V845+'Program Budget'!V904</f>
        <v>1</v>
      </c>
      <c r="T24" s="24">
        <f>'Program Budget'!X25+'Program Budget'!X166+'Program Budget'!X228+'Program Budget'!X287+'Program Budget'!X356+'Program Budget'!X423+'Program Budget'!X495+'Program Budget'!X570+'Program Budget'!X625+'Program Budget'!X699+'Program Budget'!X773+'Program Budget'!X845+'Program Budget'!X904</f>
        <v>15315.378750000003</v>
      </c>
      <c r="U24" s="531">
        <f t="shared" si="0"/>
        <v>105776.74125000001</v>
      </c>
      <c r="V24" s="532">
        <f t="shared" si="1"/>
        <v>62</v>
      </c>
      <c r="W24" s="534">
        <f t="shared" si="2"/>
        <v>1706.0764717741936</v>
      </c>
    </row>
    <row r="25" spans="2:24" s="8" customFormat="1" outlineLevel="1">
      <c r="B25" s="22" t="str">
        <f>'Program Budget'!D26</f>
        <v>Education &amp; Community Engagement Officer</v>
      </c>
      <c r="C25" s="72">
        <f>'Program Budget'!G26</f>
        <v>3</v>
      </c>
      <c r="D25" s="23">
        <f>'Program Budget'!E26+'Program Budget'!E167+'Program Budget'!E229+'Program Budget'!E288+'Program Budget'!E357+'Program Budget'!E424+'Program Budget'!E496+'Program Budget'!E571+'Program Budget'!E626+'Program Budget'!E700+'Program Budget'!E774+'Program Budget'!E846+'Program Budget'!E905</f>
        <v>1</v>
      </c>
      <c r="E25" s="24">
        <f>'Program Budget'!I26+'Program Budget'!I167+'Program Budget'!I229+'Program Budget'!I288+'Program Budget'!I357+'Program Budget'!I424+'Program Budget'!I496+'Program Budget'!I571+'Program Budget'!I626+'Program Budget'!I700+'Program Budget'!I774+'Program Budget'!I846+'Program Budget'!I905</f>
        <v>3000</v>
      </c>
      <c r="F25" s="72">
        <f>'Program Budget'!K26</f>
        <v>12</v>
      </c>
      <c r="G25" s="23">
        <f>'Program Budget'!J26+'Program Budget'!J167+'Program Budget'!J229+'Program Budget'!J288+'Program Budget'!J357+'Program Budget'!J424+'Program Budget'!J496+'Program Budget'!J571+'Program Budget'!J626+'Program Budget'!J700+'Program Budget'!J774+'Program Budget'!J846+'Program Budget'!J905</f>
        <v>1</v>
      </c>
      <c r="H25" s="24">
        <f>'Program Budget'!L26+'Program Budget'!L167+'Program Budget'!L229+'Program Budget'!L288+'Program Budget'!L357+'Program Budget'!L424+'Program Budget'!L496+'Program Budget'!L571+'Program Budget'!L626+'Program Budget'!L700+'Program Budget'!L774+'Program Budget'!L846+'Program Budget'!L905</f>
        <v>12600</v>
      </c>
      <c r="I25" s="72">
        <f>'Program Budget'!N26</f>
        <v>12</v>
      </c>
      <c r="J25" s="23">
        <f>'Program Budget'!M26+'Program Budget'!M167+'Program Budget'!M229+'Program Budget'!M288+'Program Budget'!M357+'Program Budget'!M424+'Program Budget'!M496+'Program Budget'!M571+'Program Budget'!M626+'Program Budget'!M700+'Program Budget'!M774+'Program Budget'!M846+'Program Budget'!M905</f>
        <v>1</v>
      </c>
      <c r="K25" s="24">
        <f>'Program Budget'!O26+'Program Budget'!O167+'Program Budget'!O229+'Program Budget'!O288+'Program Budget'!O357+'Program Budget'!O424+'Program Budget'!O496+'Program Budget'!O571+'Program Budget'!O626+'Program Budget'!O700+'Program Budget'!O774+'Program Budget'!O846+'Program Budget'!O905</f>
        <v>13230</v>
      </c>
      <c r="L25" s="72">
        <f>'Program Budget'!Q26</f>
        <v>12</v>
      </c>
      <c r="M25" s="23">
        <f>'Program Budget'!P26+'Program Budget'!P167+'Program Budget'!P229+'Program Budget'!P288+'Program Budget'!P357+'Program Budget'!P424+'Program Budget'!P496+'Program Budget'!P571+'Program Budget'!P626+'Program Budget'!P700+'Program Budget'!P774+'Program Budget'!P846+'Program Budget'!P905</f>
        <v>1</v>
      </c>
      <c r="N25" s="24">
        <f>'Program Budget'!R26+'Program Budget'!R167+'Program Budget'!R229+'Program Budget'!R288+'Program Budget'!R357+'Program Budget'!R424+'Program Budget'!R496+'Program Budget'!R571+'Program Budget'!R626+'Program Budget'!R700+'Program Budget'!R774+'Program Budget'!R846+'Program Budget'!R905</f>
        <v>13891.500000000002</v>
      </c>
      <c r="O25" s="72">
        <f>'Program Budget'!T26</f>
        <v>12</v>
      </c>
      <c r="P25" s="23">
        <f>'Program Budget'!S26+'Program Budget'!S167+'Program Budget'!S229+'Program Budget'!S288+'Program Budget'!S357+'Program Budget'!S424+'Program Budget'!S496+'Program Budget'!S571+'Program Budget'!S626+'Program Budget'!S700+'Program Budget'!S774+'Program Budget'!S846+'Program Budget'!S905</f>
        <v>1</v>
      </c>
      <c r="Q25" s="24">
        <f>'Program Budget'!U26+'Program Budget'!U167+'Program Budget'!U229+'Program Budget'!U288+'Program Budget'!U357+'Program Budget'!U424+'Program Budget'!U496+'Program Budget'!U571+'Program Budget'!U626+'Program Budget'!U700+'Program Budget'!U774+'Program Budget'!U846+'Program Budget'!U905</f>
        <v>14586.074999999997</v>
      </c>
      <c r="R25" s="72">
        <f>'Program Budget'!W26</f>
        <v>0</v>
      </c>
      <c r="S25" s="23">
        <f>'Program Budget'!V26+'Program Budget'!V167+'Program Budget'!V229+'Program Budget'!V288+'Program Budget'!V357+'Program Budget'!V424+'Program Budget'!V496+'Program Budget'!V571+'Program Budget'!V626+'Program Budget'!V700+'Program Budget'!V774+'Program Budget'!V846+'Program Budget'!V905</f>
        <v>1</v>
      </c>
      <c r="T25" s="24">
        <f>'Program Budget'!X26+'Program Budget'!X167+'Program Budget'!X229+'Program Budget'!X288+'Program Budget'!X357+'Program Budget'!X424+'Program Budget'!X496+'Program Budget'!X571+'Program Budget'!X626+'Program Budget'!X700+'Program Budget'!X774+'Program Budget'!X846+'Program Budget'!X905</f>
        <v>0</v>
      </c>
      <c r="U25" s="531">
        <f t="shared" si="0"/>
        <v>57307.574999999997</v>
      </c>
      <c r="V25" s="532">
        <f t="shared" si="1"/>
        <v>51</v>
      </c>
      <c r="W25" s="534">
        <f t="shared" si="2"/>
        <v>1123.6779411764705</v>
      </c>
    </row>
    <row r="26" spans="2:24" s="8" customFormat="1" outlineLevel="1">
      <c r="B26" s="22" t="str">
        <f>'Program Budget'!D27</f>
        <v>Private Sector Specialist</v>
      </c>
      <c r="C26" s="72">
        <f>'Program Budget'!G27</f>
        <v>9</v>
      </c>
      <c r="D26" s="23">
        <f>'Program Budget'!E27+'Program Budget'!E168+'Program Budget'!E230+'Program Budget'!E289+'Program Budget'!E358+'Program Budget'!E425+'Program Budget'!E497+'Program Budget'!E572+'Program Budget'!E627+'Program Budget'!E701+'Program Budget'!E775+'Program Budget'!E847+'Program Budget'!E906</f>
        <v>1</v>
      </c>
      <c r="E26" s="24">
        <f>'Program Budget'!I27+'Program Budget'!I168+'Program Budget'!I230+'Program Budget'!I289+'Program Budget'!I358+'Program Budget'!I425+'Program Budget'!I497+'Program Budget'!I572+'Program Budget'!I627+'Program Budget'!I701+'Program Budget'!I775+'Program Budget'!I847+'Program Budget'!I906</f>
        <v>18000</v>
      </c>
      <c r="F26" s="72">
        <f>'Program Budget'!K27</f>
        <v>12</v>
      </c>
      <c r="G26" s="23">
        <f>'Program Budget'!J27+'Program Budget'!J168+'Program Budget'!J230+'Program Budget'!J289+'Program Budget'!J358+'Program Budget'!J425+'Program Budget'!J497+'Program Budget'!J572+'Program Budget'!J627+'Program Budget'!J701+'Program Budget'!J775+'Program Budget'!J847+'Program Budget'!J906</f>
        <v>1</v>
      </c>
      <c r="H26" s="24">
        <f>'Program Budget'!L27+'Program Budget'!L168+'Program Budget'!L230+'Program Budget'!L289+'Program Budget'!L358+'Program Budget'!L425+'Program Budget'!L497+'Program Budget'!L572+'Program Budget'!L627+'Program Budget'!L701+'Program Budget'!L775+'Program Budget'!L847+'Program Budget'!L906</f>
        <v>25200</v>
      </c>
      <c r="I26" s="72">
        <f>'Program Budget'!N27</f>
        <v>12</v>
      </c>
      <c r="J26" s="23">
        <f>'Program Budget'!M27+'Program Budget'!M168+'Program Budget'!M230+'Program Budget'!M289+'Program Budget'!M358+'Program Budget'!M425+'Program Budget'!M497+'Program Budget'!M572+'Program Budget'!M627+'Program Budget'!M701+'Program Budget'!M775+'Program Budget'!M847+'Program Budget'!M906</f>
        <v>1</v>
      </c>
      <c r="K26" s="24">
        <f>'Program Budget'!O27+'Program Budget'!O168+'Program Budget'!O230+'Program Budget'!O289+'Program Budget'!O358+'Program Budget'!O425+'Program Budget'!O497+'Program Budget'!O572+'Program Budget'!O627+'Program Budget'!O701+'Program Budget'!O775+'Program Budget'!O847+'Program Budget'!O906</f>
        <v>26460</v>
      </c>
      <c r="L26" s="72">
        <f>'Program Budget'!Q27</f>
        <v>12</v>
      </c>
      <c r="M26" s="23">
        <f>'Program Budget'!P27+'Program Budget'!P168+'Program Budget'!P230+'Program Budget'!P289+'Program Budget'!P358+'Program Budget'!P425+'Program Budget'!P497+'Program Budget'!P572+'Program Budget'!P627+'Program Budget'!P701+'Program Budget'!P775+'Program Budget'!P847+'Program Budget'!P906</f>
        <v>1</v>
      </c>
      <c r="N26" s="24">
        <f>'Program Budget'!R27+'Program Budget'!R168+'Program Budget'!R230+'Program Budget'!R289+'Program Budget'!R358+'Program Budget'!R425+'Program Budget'!R497+'Program Budget'!R572+'Program Budget'!R627+'Program Budget'!R701+'Program Budget'!R775+'Program Budget'!R847+'Program Budget'!R906</f>
        <v>27783.000000000004</v>
      </c>
      <c r="O26" s="72">
        <f>'Program Budget'!T27</f>
        <v>12</v>
      </c>
      <c r="P26" s="23">
        <f>'Program Budget'!S27+'Program Budget'!S168+'Program Budget'!S230+'Program Budget'!S289+'Program Budget'!S358+'Program Budget'!S425+'Program Budget'!S497+'Program Budget'!S572+'Program Budget'!S627+'Program Budget'!S701+'Program Budget'!S775+'Program Budget'!S847+'Program Budget'!S906</f>
        <v>1</v>
      </c>
      <c r="Q26" s="24">
        <f>'Program Budget'!U27+'Program Budget'!U168+'Program Budget'!U230+'Program Budget'!U289+'Program Budget'!U358+'Program Budget'!U425+'Program Budget'!U497+'Program Budget'!U572+'Program Budget'!U627+'Program Budget'!U701+'Program Budget'!U775+'Program Budget'!U847+'Program Budget'!U906</f>
        <v>29172.150000000005</v>
      </c>
      <c r="R26" s="72">
        <f>'Program Budget'!W27</f>
        <v>6</v>
      </c>
      <c r="S26" s="23">
        <f>'Program Budget'!V27+'Program Budget'!V168+'Program Budget'!V230+'Program Budget'!V289+'Program Budget'!V358+'Program Budget'!V425+'Program Budget'!V497+'Program Budget'!V572+'Program Budget'!V627+'Program Budget'!V701+'Program Budget'!V775+'Program Budget'!V847+'Program Budget'!V906</f>
        <v>1</v>
      </c>
      <c r="T26" s="24">
        <f>'Program Budget'!X27+'Program Budget'!X168+'Program Budget'!X230+'Program Budget'!X289+'Program Budget'!X358+'Program Budget'!X425+'Program Budget'!X497+'Program Budget'!X572+'Program Budget'!X627+'Program Budget'!X701+'Program Budget'!X775+'Program Budget'!X847+'Program Budget'!X906</f>
        <v>15315.378750000003</v>
      </c>
      <c r="U26" s="531">
        <f t="shared" si="0"/>
        <v>141930.52875</v>
      </c>
      <c r="V26" s="532">
        <f t="shared" si="1"/>
        <v>63</v>
      </c>
      <c r="W26" s="534">
        <f t="shared" si="2"/>
        <v>2252.8655357142857</v>
      </c>
    </row>
    <row r="27" spans="2:24" s="8" customFormat="1" outlineLevel="1">
      <c r="B27" s="22" t="str">
        <f>'Program Budget'!D28</f>
        <v xml:space="preserve">Key Personnel: M&amp;E Director </v>
      </c>
      <c r="C27" s="72">
        <f>'Program Budget'!G28</f>
        <v>11</v>
      </c>
      <c r="D27" s="23">
        <f>'Program Budget'!E28+'Program Budget'!E169+'Program Budget'!E231+'Program Budget'!E290+'Program Budget'!E359+'Program Budget'!E426+'Program Budget'!E498+'Program Budget'!E573+'Program Budget'!E628+'Program Budget'!E702+'Program Budget'!E776+'Program Budget'!E848+'Program Budget'!E907</f>
        <v>1</v>
      </c>
      <c r="E27" s="24">
        <f>'Program Budget'!I28+'Program Budget'!I169+'Program Budget'!I231+'Program Budget'!I290+'Program Budget'!I359+'Program Budget'!I426+'Program Budget'!I498+'Program Budget'!I573+'Program Budget'!I628+'Program Budget'!I702+'Program Budget'!I776+'Program Budget'!I848+'Program Budget'!I907</f>
        <v>50416.666666666664</v>
      </c>
      <c r="F27" s="72">
        <f>'Program Budget'!K28</f>
        <v>12</v>
      </c>
      <c r="G27" s="23">
        <f>'Program Budget'!J28+'Program Budget'!J169+'Program Budget'!J231+'Program Budget'!J290+'Program Budget'!J359+'Program Budget'!J426+'Program Budget'!J498+'Program Budget'!J573+'Program Budget'!J628+'Program Budget'!J702+'Program Budget'!J776+'Program Budget'!J848+'Program Budget'!J907</f>
        <v>1</v>
      </c>
      <c r="H27" s="24">
        <f>'Program Budget'!L28+'Program Budget'!L169+'Program Budget'!L231+'Program Budget'!L290+'Program Budget'!L359+'Program Budget'!L426+'Program Budget'!L498+'Program Budget'!L573+'Program Budget'!L628+'Program Budget'!L702+'Program Budget'!L776+'Program Budget'!L848+'Program Budget'!L907</f>
        <v>57750</v>
      </c>
      <c r="I27" s="72">
        <f>'Program Budget'!N28</f>
        <v>12</v>
      </c>
      <c r="J27" s="23">
        <f>'Program Budget'!M28+'Program Budget'!M169+'Program Budget'!M231+'Program Budget'!M290+'Program Budget'!M359+'Program Budget'!M426+'Program Budget'!M498+'Program Budget'!M573+'Program Budget'!M628+'Program Budget'!M702+'Program Budget'!M776+'Program Budget'!M848+'Program Budget'!M907</f>
        <v>1</v>
      </c>
      <c r="K27" s="24">
        <f>'Program Budget'!O28+'Program Budget'!O169+'Program Budget'!O231+'Program Budget'!O290+'Program Budget'!O359+'Program Budget'!O426+'Program Budget'!O498+'Program Budget'!O573+'Program Budget'!O628+'Program Budget'!O702+'Program Budget'!O776+'Program Budget'!O848+'Program Budget'!O907</f>
        <v>60637.5</v>
      </c>
      <c r="L27" s="72">
        <f>'Program Budget'!Q28</f>
        <v>12</v>
      </c>
      <c r="M27" s="23">
        <f>'Program Budget'!P28+'Program Budget'!P169+'Program Budget'!P231+'Program Budget'!P290+'Program Budget'!P359+'Program Budget'!P426+'Program Budget'!P498+'Program Budget'!P573+'Program Budget'!P628+'Program Budget'!P702+'Program Budget'!P776+'Program Budget'!P848+'Program Budget'!P907</f>
        <v>1</v>
      </c>
      <c r="N27" s="24">
        <f>'Program Budget'!R28+'Program Budget'!R169+'Program Budget'!R231+'Program Budget'!R290+'Program Budget'!R359+'Program Budget'!R426+'Program Budget'!R498+'Program Budget'!R573+'Program Budget'!R628+'Program Budget'!R702+'Program Budget'!R776+'Program Budget'!R848+'Program Budget'!R907</f>
        <v>63669.375</v>
      </c>
      <c r="O27" s="72">
        <f>'Program Budget'!T28</f>
        <v>12</v>
      </c>
      <c r="P27" s="23">
        <f>'Program Budget'!S28+'Program Budget'!S169+'Program Budget'!S231+'Program Budget'!S290+'Program Budget'!S359+'Program Budget'!S426+'Program Budget'!S498+'Program Budget'!S573+'Program Budget'!S628+'Program Budget'!S702+'Program Budget'!S776+'Program Budget'!S848+'Program Budget'!S907</f>
        <v>1</v>
      </c>
      <c r="Q27" s="24">
        <f>'Program Budget'!U28+'Program Budget'!U169+'Program Budget'!U231+'Program Budget'!U290+'Program Budget'!U359+'Program Budget'!U426+'Program Budget'!U498+'Program Budget'!U573+'Program Budget'!U628+'Program Budget'!U702+'Program Budget'!U776+'Program Budget'!U848+'Program Budget'!U907</f>
        <v>66852.84375</v>
      </c>
      <c r="R27" s="72">
        <f>'Program Budget'!W28</f>
        <v>12</v>
      </c>
      <c r="S27" s="23">
        <f>'Program Budget'!V28+'Program Budget'!V169+'Program Budget'!V231+'Program Budget'!V290+'Program Budget'!V359+'Program Budget'!V426+'Program Budget'!V498+'Program Budget'!V573+'Program Budget'!V628+'Program Budget'!V702+'Program Budget'!V776+'Program Budget'!V848+'Program Budget'!V907</f>
        <v>1</v>
      </c>
      <c r="T27" s="24">
        <f>'Program Budget'!X28+'Program Budget'!X169+'Program Budget'!X231+'Program Budget'!X290+'Program Budget'!X359+'Program Budget'!X426+'Program Budget'!X498+'Program Budget'!X573+'Program Budget'!X628+'Program Budget'!X702+'Program Budget'!X776+'Program Budget'!X848+'Program Budget'!X907</f>
        <v>70195.485937500009</v>
      </c>
      <c r="U27" s="531">
        <f t="shared" si="0"/>
        <v>369521.87135416665</v>
      </c>
      <c r="V27" s="532">
        <f t="shared" si="1"/>
        <v>71</v>
      </c>
      <c r="W27" s="534">
        <f t="shared" si="2"/>
        <v>5204.53339935446</v>
      </c>
    </row>
    <row r="28" spans="2:24" s="8" customFormat="1" outlineLevel="1">
      <c r="B28" s="22" t="str">
        <f>'Program Budget'!D29</f>
        <v>M&amp;E Specialist</v>
      </c>
      <c r="C28" s="72">
        <f>'Program Budget'!G29</f>
        <v>6</v>
      </c>
      <c r="D28" s="23">
        <f>'Program Budget'!E29+'Program Budget'!E170+'Program Budget'!E232+'Program Budget'!E291+'Program Budget'!E360+'Program Budget'!E427+'Program Budget'!E499+'Program Budget'!E574+'Program Budget'!E629+'Program Budget'!E703+'Program Budget'!E777+'Program Budget'!E849+'Program Budget'!E908</f>
        <v>1</v>
      </c>
      <c r="E28" s="24">
        <f>'Program Budget'!I29+'Program Budget'!I170+'Program Budget'!I232+'Program Budget'!I291+'Program Budget'!I360+'Program Budget'!I427+'Program Budget'!I499+'Program Budget'!I574+'Program Budget'!I629+'Program Budget'!I703+'Program Budget'!I777+'Program Budget'!I849+'Program Budget'!I908</f>
        <v>12000</v>
      </c>
      <c r="F28" s="72">
        <f>'Program Budget'!K29</f>
        <v>12</v>
      </c>
      <c r="G28" s="23">
        <f>'Program Budget'!J29+'Program Budget'!J170+'Program Budget'!J232+'Program Budget'!J291+'Program Budget'!J360+'Program Budget'!J427+'Program Budget'!J499+'Program Budget'!J574+'Program Budget'!J629+'Program Budget'!J703+'Program Budget'!J777+'Program Budget'!J849+'Program Budget'!J908</f>
        <v>1</v>
      </c>
      <c r="H28" s="24">
        <f>'Program Budget'!L29+'Program Budget'!L170+'Program Budget'!L232+'Program Budget'!L291+'Program Budget'!L360+'Program Budget'!L427+'Program Budget'!L499+'Program Budget'!L574+'Program Budget'!L629+'Program Budget'!L703+'Program Budget'!L777+'Program Budget'!L849+'Program Budget'!L908</f>
        <v>25200</v>
      </c>
      <c r="I28" s="72">
        <f>'Program Budget'!N29</f>
        <v>12</v>
      </c>
      <c r="J28" s="23">
        <f>'Program Budget'!M29+'Program Budget'!M170+'Program Budget'!M232+'Program Budget'!M291+'Program Budget'!M360+'Program Budget'!M427+'Program Budget'!M499+'Program Budget'!M574+'Program Budget'!M629+'Program Budget'!M703+'Program Budget'!M777+'Program Budget'!M849+'Program Budget'!M908</f>
        <v>1</v>
      </c>
      <c r="K28" s="24">
        <f>'Program Budget'!O29+'Program Budget'!O170+'Program Budget'!O232+'Program Budget'!O291+'Program Budget'!O360+'Program Budget'!O427+'Program Budget'!O499+'Program Budget'!O574+'Program Budget'!O629+'Program Budget'!O703+'Program Budget'!O777+'Program Budget'!O849+'Program Budget'!O908</f>
        <v>26460</v>
      </c>
      <c r="L28" s="72">
        <f>'Program Budget'!Q29</f>
        <v>12</v>
      </c>
      <c r="M28" s="23">
        <f>'Program Budget'!P29+'Program Budget'!P170+'Program Budget'!P232+'Program Budget'!P291+'Program Budget'!P360+'Program Budget'!P427+'Program Budget'!P499+'Program Budget'!P574+'Program Budget'!P629+'Program Budget'!P703+'Program Budget'!P777+'Program Budget'!P849+'Program Budget'!P908</f>
        <v>1</v>
      </c>
      <c r="N28" s="24">
        <f>'Program Budget'!R29+'Program Budget'!R170+'Program Budget'!R232+'Program Budget'!R291+'Program Budget'!R360+'Program Budget'!R427+'Program Budget'!R499+'Program Budget'!R574+'Program Budget'!R629+'Program Budget'!R703+'Program Budget'!R777+'Program Budget'!R849+'Program Budget'!R908</f>
        <v>27783</v>
      </c>
      <c r="O28" s="72">
        <f>'Program Budget'!T29</f>
        <v>12</v>
      </c>
      <c r="P28" s="23">
        <f>'Program Budget'!S29+'Program Budget'!S170+'Program Budget'!S232+'Program Budget'!S291+'Program Budget'!S360+'Program Budget'!S427+'Program Budget'!S499+'Program Budget'!S574+'Program Budget'!S629+'Program Budget'!S703+'Program Budget'!S777+'Program Budget'!S849+'Program Budget'!S908</f>
        <v>1</v>
      </c>
      <c r="Q28" s="24">
        <f>'Program Budget'!U29+'Program Budget'!U170+'Program Budget'!U232+'Program Budget'!U291+'Program Budget'!U360+'Program Budget'!U427+'Program Budget'!U499+'Program Budget'!U574+'Program Budget'!U629+'Program Budget'!U703+'Program Budget'!U777+'Program Budget'!U849+'Program Budget'!U908</f>
        <v>29172.15</v>
      </c>
      <c r="R28" s="72">
        <f>'Program Budget'!W29</f>
        <v>11</v>
      </c>
      <c r="S28" s="23">
        <f>'Program Budget'!V29+'Program Budget'!V170+'Program Budget'!V232+'Program Budget'!V291+'Program Budget'!V360+'Program Budget'!V427+'Program Budget'!V499+'Program Budget'!V574+'Program Budget'!V629+'Program Budget'!V703+'Program Budget'!V777+'Program Budget'!V849+'Program Budget'!V908</f>
        <v>1</v>
      </c>
      <c r="T28" s="24">
        <f>'Program Budget'!X29+'Program Budget'!X170+'Program Budget'!X232+'Program Budget'!X291+'Program Budget'!X360+'Program Budget'!X427+'Program Budget'!X499+'Program Budget'!X574+'Program Budget'!X629+'Program Budget'!X703+'Program Budget'!X777+'Program Budget'!X849+'Program Budget'!X908</f>
        <v>28078.194375000003</v>
      </c>
      <c r="U28" s="531">
        <f t="shared" si="0"/>
        <v>148693.34437499999</v>
      </c>
      <c r="V28" s="532">
        <f t="shared" si="1"/>
        <v>65</v>
      </c>
      <c r="W28" s="534">
        <f t="shared" si="2"/>
        <v>2287.5899134615383</v>
      </c>
    </row>
    <row r="29" spans="2:24" s="8" customFormat="1" outlineLevel="1">
      <c r="B29" s="22" t="str">
        <f>'Program Budget'!D30</f>
        <v>M&amp;E Officer</v>
      </c>
      <c r="C29" s="72">
        <f>'Program Budget'!G30</f>
        <v>2</v>
      </c>
      <c r="D29" s="23">
        <f>'Program Budget'!E30+'Program Budget'!E171+'Program Budget'!E233+'Program Budget'!E292+'Program Budget'!E361+'Program Budget'!E428+'Program Budget'!E500+'Program Budget'!E575+'Program Budget'!E630+'Program Budget'!E704+'Program Budget'!E778+'Program Budget'!E850+'Program Budget'!E909</f>
        <v>1</v>
      </c>
      <c r="E29" s="24">
        <f>'Program Budget'!I30+'Program Budget'!I171+'Program Budget'!I233+'Program Budget'!I292+'Program Budget'!I361+'Program Budget'!I428+'Program Budget'!I500+'Program Budget'!I575+'Program Budget'!I630+'Program Budget'!I704+'Program Budget'!I778+'Program Budget'!I850+'Program Budget'!I909</f>
        <v>2500</v>
      </c>
      <c r="F29" s="72">
        <f>'Program Budget'!K30</f>
        <v>12</v>
      </c>
      <c r="G29" s="23">
        <f>'Program Budget'!J30+'Program Budget'!J171+'Program Budget'!J233+'Program Budget'!J292+'Program Budget'!J361+'Program Budget'!J428+'Program Budget'!J500+'Program Budget'!J575+'Program Budget'!J630+'Program Budget'!J704+'Program Budget'!J778+'Program Budget'!J850+'Program Budget'!J909</f>
        <v>1</v>
      </c>
      <c r="H29" s="24">
        <f>'Program Budget'!L30+'Program Budget'!L171+'Program Budget'!L233+'Program Budget'!L292+'Program Budget'!L361+'Program Budget'!L428+'Program Budget'!L500+'Program Budget'!L575+'Program Budget'!L630+'Program Budget'!L704+'Program Budget'!L778+'Program Budget'!L850+'Program Budget'!L909</f>
        <v>15750</v>
      </c>
      <c r="I29" s="72">
        <f>'Program Budget'!N30</f>
        <v>12</v>
      </c>
      <c r="J29" s="23">
        <f>'Program Budget'!M30+'Program Budget'!M171+'Program Budget'!M233+'Program Budget'!M292+'Program Budget'!M361+'Program Budget'!M428+'Program Budget'!M500+'Program Budget'!M575+'Program Budget'!M630+'Program Budget'!M704+'Program Budget'!M778+'Program Budget'!M850+'Program Budget'!M909</f>
        <v>1</v>
      </c>
      <c r="K29" s="24">
        <f>'Program Budget'!O30+'Program Budget'!O171+'Program Budget'!O233+'Program Budget'!O292+'Program Budget'!O361+'Program Budget'!O428+'Program Budget'!O500+'Program Budget'!O575+'Program Budget'!O630+'Program Budget'!O704+'Program Budget'!O778+'Program Budget'!O850+'Program Budget'!O909</f>
        <v>16537.5</v>
      </c>
      <c r="L29" s="72">
        <f>'Program Budget'!Q30</f>
        <v>12</v>
      </c>
      <c r="M29" s="23">
        <f>'Program Budget'!P30+'Program Budget'!P171+'Program Budget'!P233+'Program Budget'!P292+'Program Budget'!P361+'Program Budget'!P428+'Program Budget'!P500+'Program Budget'!P575+'Program Budget'!P630+'Program Budget'!P704+'Program Budget'!P778+'Program Budget'!P850+'Program Budget'!P909</f>
        <v>1</v>
      </c>
      <c r="N29" s="24">
        <f>'Program Budget'!R30+'Program Budget'!R171+'Program Budget'!R233+'Program Budget'!R292+'Program Budget'!R361+'Program Budget'!R428+'Program Budget'!R500+'Program Budget'!R575+'Program Budget'!R630+'Program Budget'!R704+'Program Budget'!R778+'Program Budget'!R850+'Program Budget'!R909</f>
        <v>17364.375</v>
      </c>
      <c r="O29" s="72">
        <f>'Program Budget'!T30</f>
        <v>12</v>
      </c>
      <c r="P29" s="23">
        <f>'Program Budget'!S30+'Program Budget'!S171+'Program Budget'!S233+'Program Budget'!S292+'Program Budget'!S361+'Program Budget'!S428+'Program Budget'!S500+'Program Budget'!S575+'Program Budget'!S630+'Program Budget'!S704+'Program Budget'!S778+'Program Budget'!S850+'Program Budget'!S909</f>
        <v>1</v>
      </c>
      <c r="Q29" s="24">
        <f>'Program Budget'!U30+'Program Budget'!U171+'Program Budget'!U233+'Program Budget'!U292+'Program Budget'!U361+'Program Budget'!U428+'Program Budget'!U500+'Program Budget'!U575+'Program Budget'!U630+'Program Budget'!U704+'Program Budget'!U778+'Program Budget'!U850+'Program Budget'!U909</f>
        <v>18232.59375</v>
      </c>
      <c r="R29" s="72">
        <f>'Program Budget'!W30</f>
        <v>3</v>
      </c>
      <c r="S29" s="23">
        <f>'Program Budget'!V30+'Program Budget'!V171+'Program Budget'!V233+'Program Budget'!V292+'Program Budget'!V361+'Program Budget'!V428+'Program Budget'!V500+'Program Budget'!V575+'Program Budget'!V630+'Program Budget'!V704+'Program Budget'!V778+'Program Budget'!V850+'Program Budget'!V909</f>
        <v>1</v>
      </c>
      <c r="T29" s="24">
        <f>'Program Budget'!X30+'Program Budget'!X171+'Program Budget'!X233+'Program Budget'!X292+'Program Budget'!X361+'Program Budget'!X428+'Program Budget'!X500+'Program Budget'!X575+'Program Budget'!X630+'Program Budget'!X704+'Program Budget'!X778+'Program Budget'!X850+'Program Budget'!X909</f>
        <v>4786.0558593750002</v>
      </c>
      <c r="U29" s="531">
        <f t="shared" si="0"/>
        <v>75170.524609375003</v>
      </c>
      <c r="V29" s="532">
        <f t="shared" si="1"/>
        <v>53</v>
      </c>
      <c r="W29" s="534">
        <f t="shared" si="2"/>
        <v>1418.3117850825472</v>
      </c>
    </row>
    <row r="30" spans="2:24" s="8" customFormat="1" outlineLevel="1">
      <c r="B30" s="22" t="str">
        <f>'Program Budget'!D31</f>
        <v>Supply Chain Manager</v>
      </c>
      <c r="C30" s="72">
        <f>'Program Budget'!G31</f>
        <v>11</v>
      </c>
      <c r="D30" s="23">
        <f>'Program Budget'!E31+'Program Budget'!E172+'Program Budget'!E234+'Program Budget'!E293+'Program Budget'!E362+'Program Budget'!E429+'Program Budget'!E501+'Program Budget'!E576+'Program Budget'!E631+'Program Budget'!E705+'Program Budget'!E779+'Program Budget'!E851+'Program Budget'!E910</f>
        <v>1</v>
      </c>
      <c r="E30" s="24">
        <f>'Program Budget'!I31+'Program Budget'!I172+'Program Budget'!I234+'Program Budget'!I293+'Program Budget'!I362+'Program Budget'!I429+'Program Budget'!I501+'Program Budget'!I576+'Program Budget'!I631+'Program Budget'!I705+'Program Budget'!I779+'Program Budget'!I851+'Program Budget'!I910</f>
        <v>55000</v>
      </c>
      <c r="F30" s="72">
        <f>'Program Budget'!K31</f>
        <v>12</v>
      </c>
      <c r="G30" s="23">
        <f>'Program Budget'!J31+'Program Budget'!J172+'Program Budget'!J234+'Program Budget'!J293+'Program Budget'!J362+'Program Budget'!J429+'Program Budget'!J501+'Program Budget'!J576+'Program Budget'!J631+'Program Budget'!J705+'Program Budget'!J779+'Program Budget'!J851+'Program Budget'!J910</f>
        <v>1</v>
      </c>
      <c r="H30" s="24">
        <f>'Program Budget'!L31+'Program Budget'!L172+'Program Budget'!L234+'Program Budget'!L293+'Program Budget'!L362+'Program Budget'!L429+'Program Budget'!L501+'Program Budget'!L576+'Program Budget'!L631+'Program Budget'!L705+'Program Budget'!L779+'Program Budget'!L851+'Program Budget'!L910</f>
        <v>63000</v>
      </c>
      <c r="I30" s="72">
        <f>'Program Budget'!N31</f>
        <v>12</v>
      </c>
      <c r="J30" s="23">
        <f>'Program Budget'!M31+'Program Budget'!M172+'Program Budget'!M234+'Program Budget'!M293+'Program Budget'!M362+'Program Budget'!M429+'Program Budget'!M501+'Program Budget'!M576+'Program Budget'!M631+'Program Budget'!M705+'Program Budget'!M779+'Program Budget'!M851+'Program Budget'!M910</f>
        <v>1</v>
      </c>
      <c r="K30" s="24">
        <f>'Program Budget'!O31+'Program Budget'!O172+'Program Budget'!O234+'Program Budget'!O293+'Program Budget'!O362+'Program Budget'!O429+'Program Budget'!O501+'Program Budget'!O576+'Program Budget'!O631+'Program Budget'!O705+'Program Budget'!O779+'Program Budget'!O851+'Program Budget'!O910</f>
        <v>66150</v>
      </c>
      <c r="L30" s="72">
        <f>'Program Budget'!Q31</f>
        <v>12</v>
      </c>
      <c r="M30" s="23">
        <f>'Program Budget'!P31+'Program Budget'!P172+'Program Budget'!P234+'Program Budget'!P293+'Program Budget'!P362+'Program Budget'!P429+'Program Budget'!P501+'Program Budget'!P576+'Program Budget'!P631+'Program Budget'!P705+'Program Budget'!P779+'Program Budget'!P851+'Program Budget'!P910</f>
        <v>1</v>
      </c>
      <c r="N30" s="24">
        <f>'Program Budget'!R31+'Program Budget'!R172+'Program Budget'!R234+'Program Budget'!R293+'Program Budget'!R362+'Program Budget'!R429+'Program Budget'!R501+'Program Budget'!R576+'Program Budget'!R631+'Program Budget'!R705+'Program Budget'!R779+'Program Budget'!R851+'Program Budget'!R910</f>
        <v>69457.5</v>
      </c>
      <c r="O30" s="72">
        <f>'Program Budget'!T31</f>
        <v>12</v>
      </c>
      <c r="P30" s="23">
        <f>'Program Budget'!S31+'Program Budget'!S172+'Program Budget'!S234+'Program Budget'!S293+'Program Budget'!S362+'Program Budget'!S429+'Program Budget'!S501+'Program Budget'!S576+'Program Budget'!S631+'Program Budget'!S705+'Program Budget'!S779+'Program Budget'!S851+'Program Budget'!S910</f>
        <v>1</v>
      </c>
      <c r="Q30" s="24">
        <f>'Program Budget'!U31+'Program Budget'!U172+'Program Budget'!U234+'Program Budget'!U293+'Program Budget'!U362+'Program Budget'!U429+'Program Budget'!U501+'Program Budget'!U576+'Program Budget'!U631+'Program Budget'!U705+'Program Budget'!U779+'Program Budget'!U851+'Program Budget'!U910</f>
        <v>72930.375</v>
      </c>
      <c r="R30" s="72">
        <f>'Program Budget'!W31</f>
        <v>8</v>
      </c>
      <c r="S30" s="23">
        <f>'Program Budget'!V31+'Program Budget'!V172+'Program Budget'!V234+'Program Budget'!V293+'Program Budget'!V362+'Program Budget'!V429+'Program Budget'!V501+'Program Budget'!V576+'Program Budget'!V631+'Program Budget'!V705+'Program Budget'!V779+'Program Budget'!V851+'Program Budget'!V910</f>
        <v>1</v>
      </c>
      <c r="T30" s="24">
        <f>'Program Budget'!X31+'Program Budget'!X172+'Program Budget'!X234+'Program Budget'!X293+'Program Budget'!X362+'Program Budget'!X429+'Program Budget'!X501+'Program Budget'!X576+'Program Budget'!X631+'Program Budget'!X705+'Program Budget'!X779+'Program Budget'!X851+'Program Budget'!X910</f>
        <v>51051.262500000004</v>
      </c>
      <c r="U30" s="531">
        <f t="shared" si="0"/>
        <v>377589.13750000001</v>
      </c>
      <c r="V30" s="532">
        <f t="shared" si="1"/>
        <v>67</v>
      </c>
      <c r="W30" s="534">
        <f t="shared" si="2"/>
        <v>5635.6587686567163</v>
      </c>
    </row>
    <row r="31" spans="2:24" s="8" customFormat="1" outlineLevel="1">
      <c r="B31" s="22" t="str">
        <f>'Program Budget'!D32</f>
        <v>In-Country Logistics Specialist</v>
      </c>
      <c r="C31" s="72">
        <f>'Program Budget'!G32</f>
        <v>9</v>
      </c>
      <c r="D31" s="23">
        <f>'Program Budget'!E32+'Program Budget'!E173+'Program Budget'!E235+'Program Budget'!E294+'Program Budget'!E363+'Program Budget'!E430+'Program Budget'!E502+'Program Budget'!E577+'Program Budget'!E632+'Program Budget'!E706+'Program Budget'!E780+'Program Budget'!E852+'Program Budget'!E911</f>
        <v>1</v>
      </c>
      <c r="E31" s="24">
        <f>'Program Budget'!I32+'Program Budget'!I173+'Program Budget'!I235+'Program Budget'!I294+'Program Budget'!I363+'Program Budget'!I430+'Program Budget'!I502+'Program Budget'!I577+'Program Budget'!I632+'Program Budget'!I706+'Program Budget'!I780+'Program Budget'!I852+'Program Budget'!I911</f>
        <v>18000</v>
      </c>
      <c r="F31" s="72">
        <f>'Program Budget'!K32</f>
        <v>12</v>
      </c>
      <c r="G31" s="23">
        <f>'Program Budget'!J32+'Program Budget'!J173+'Program Budget'!J235+'Program Budget'!J294+'Program Budget'!J363+'Program Budget'!J430+'Program Budget'!J502+'Program Budget'!J577+'Program Budget'!J632+'Program Budget'!J706+'Program Budget'!J780+'Program Budget'!J852+'Program Budget'!J911</f>
        <v>1</v>
      </c>
      <c r="H31" s="24">
        <f>'Program Budget'!L32+'Program Budget'!L173+'Program Budget'!L235+'Program Budget'!L294+'Program Budget'!L363+'Program Budget'!L430+'Program Budget'!L502+'Program Budget'!L577+'Program Budget'!L632+'Program Budget'!L706+'Program Budget'!L780+'Program Budget'!L852+'Program Budget'!L911</f>
        <v>25200</v>
      </c>
      <c r="I31" s="72">
        <f>'Program Budget'!N32</f>
        <v>12</v>
      </c>
      <c r="J31" s="23">
        <f>'Program Budget'!M32+'Program Budget'!M173+'Program Budget'!M235+'Program Budget'!M294+'Program Budget'!M363+'Program Budget'!M430+'Program Budget'!M502+'Program Budget'!M577+'Program Budget'!M632+'Program Budget'!M706+'Program Budget'!M780+'Program Budget'!M852+'Program Budget'!M911</f>
        <v>1</v>
      </c>
      <c r="K31" s="24">
        <f>'Program Budget'!O32+'Program Budget'!O173+'Program Budget'!O235+'Program Budget'!O294+'Program Budget'!O363+'Program Budget'!O430+'Program Budget'!O502+'Program Budget'!O577+'Program Budget'!O632+'Program Budget'!O706+'Program Budget'!O780+'Program Budget'!O852+'Program Budget'!O911</f>
        <v>26460</v>
      </c>
      <c r="L31" s="72">
        <f>'Program Budget'!Q32</f>
        <v>12</v>
      </c>
      <c r="M31" s="23">
        <f>'Program Budget'!P32+'Program Budget'!P173+'Program Budget'!P235+'Program Budget'!P294+'Program Budget'!P363+'Program Budget'!P430+'Program Budget'!P502+'Program Budget'!P577+'Program Budget'!P632+'Program Budget'!P706+'Program Budget'!P780+'Program Budget'!P852+'Program Budget'!P911</f>
        <v>1</v>
      </c>
      <c r="N31" s="24">
        <f>'Program Budget'!R32+'Program Budget'!R173+'Program Budget'!R235+'Program Budget'!R294+'Program Budget'!R363+'Program Budget'!R430+'Program Budget'!R502+'Program Budget'!R577+'Program Budget'!R632+'Program Budget'!R706+'Program Budget'!R780+'Program Budget'!R852+'Program Budget'!R911</f>
        <v>27783</v>
      </c>
      <c r="O31" s="72">
        <f>'Program Budget'!T32</f>
        <v>12</v>
      </c>
      <c r="P31" s="23">
        <f>'Program Budget'!S32+'Program Budget'!S173+'Program Budget'!S235+'Program Budget'!S294+'Program Budget'!S363+'Program Budget'!S430+'Program Budget'!S502+'Program Budget'!S577+'Program Budget'!S632+'Program Budget'!S706+'Program Budget'!S780+'Program Budget'!S852+'Program Budget'!S911</f>
        <v>1</v>
      </c>
      <c r="Q31" s="24">
        <f>'Program Budget'!U32+'Program Budget'!U173+'Program Budget'!U235+'Program Budget'!U294+'Program Budget'!U363+'Program Budget'!U430+'Program Budget'!U502+'Program Budget'!U577+'Program Budget'!U632+'Program Budget'!U706+'Program Budget'!U780+'Program Budget'!U852+'Program Budget'!U911</f>
        <v>29172.15</v>
      </c>
      <c r="R31" s="72">
        <f>'Program Budget'!W32</f>
        <v>8</v>
      </c>
      <c r="S31" s="23">
        <f>'Program Budget'!V32+'Program Budget'!V173+'Program Budget'!V235+'Program Budget'!V294+'Program Budget'!V363+'Program Budget'!V430+'Program Budget'!V502+'Program Budget'!V577+'Program Budget'!V632+'Program Budget'!V706+'Program Budget'!V780+'Program Budget'!V852+'Program Budget'!V911</f>
        <v>1</v>
      </c>
      <c r="T31" s="24">
        <f>'Program Budget'!X32+'Program Budget'!X173+'Program Budget'!X235+'Program Budget'!X294+'Program Budget'!X363+'Program Budget'!X430+'Program Budget'!X502+'Program Budget'!X577+'Program Budget'!X632+'Program Budget'!X706+'Program Budget'!X780+'Program Budget'!X852+'Program Budget'!X911</f>
        <v>20420.505000000005</v>
      </c>
      <c r="U31" s="531">
        <f t="shared" si="0"/>
        <v>147035.655</v>
      </c>
      <c r="V31" s="532">
        <f t="shared" si="1"/>
        <v>65</v>
      </c>
      <c r="W31" s="534">
        <f t="shared" si="2"/>
        <v>2262.087</v>
      </c>
    </row>
    <row r="32" spans="2:24" s="8" customFormat="1" outlineLevel="1">
      <c r="B32" s="22" t="str">
        <f>'Program Budget'!D33</f>
        <v>US Commodity Logistics Specialist</v>
      </c>
      <c r="C32" s="72">
        <f>'Program Budget'!G33</f>
        <v>9</v>
      </c>
      <c r="D32" s="23">
        <f>'Program Budget'!E33+'Program Budget'!E174+'Program Budget'!E236+'Program Budget'!E295+'Program Budget'!E364+'Program Budget'!E431+'Program Budget'!E503+'Program Budget'!E578+'Program Budget'!E633+'Program Budget'!E707+'Program Budget'!E781+'Program Budget'!E853+'Program Budget'!E912</f>
        <v>1</v>
      </c>
      <c r="E32" s="24">
        <f>'Program Budget'!I33+'Program Budget'!I174+'Program Budget'!I236+'Program Budget'!I295+'Program Budget'!I364+'Program Budget'!I431+'Program Budget'!I503+'Program Budget'!I578+'Program Budget'!I633+'Program Budget'!I707+'Program Budget'!I781+'Program Budget'!I853+'Program Budget'!I912</f>
        <v>18000</v>
      </c>
      <c r="F32" s="72">
        <f>'Program Budget'!K33</f>
        <v>12</v>
      </c>
      <c r="G32" s="23">
        <f>'Program Budget'!J33+'Program Budget'!J174+'Program Budget'!J236+'Program Budget'!J295+'Program Budget'!J364+'Program Budget'!J431+'Program Budget'!J503+'Program Budget'!J578+'Program Budget'!J633+'Program Budget'!J707+'Program Budget'!J781+'Program Budget'!J853+'Program Budget'!J912</f>
        <v>1</v>
      </c>
      <c r="H32" s="24">
        <f>'Program Budget'!L33+'Program Budget'!L174+'Program Budget'!L236+'Program Budget'!L295+'Program Budget'!L364+'Program Budget'!L431+'Program Budget'!L503+'Program Budget'!L578+'Program Budget'!L633+'Program Budget'!L707+'Program Budget'!L781+'Program Budget'!L853+'Program Budget'!L912</f>
        <v>25200</v>
      </c>
      <c r="I32" s="72">
        <f>'Program Budget'!N33</f>
        <v>12</v>
      </c>
      <c r="J32" s="23">
        <f>'Program Budget'!M33+'Program Budget'!M174+'Program Budget'!M236+'Program Budget'!M295+'Program Budget'!M364+'Program Budget'!M431+'Program Budget'!M503+'Program Budget'!M578+'Program Budget'!M633+'Program Budget'!M707+'Program Budget'!M781+'Program Budget'!M853+'Program Budget'!M912</f>
        <v>1</v>
      </c>
      <c r="K32" s="24">
        <f>'Program Budget'!O33+'Program Budget'!O174+'Program Budget'!O236+'Program Budget'!O295+'Program Budget'!O364+'Program Budget'!O431+'Program Budget'!O503+'Program Budget'!O578+'Program Budget'!O633+'Program Budget'!O707+'Program Budget'!O781+'Program Budget'!O853+'Program Budget'!O912</f>
        <v>26460</v>
      </c>
      <c r="L32" s="72">
        <f>'Program Budget'!Q33</f>
        <v>12</v>
      </c>
      <c r="M32" s="23">
        <f>'Program Budget'!P33+'Program Budget'!P174+'Program Budget'!P236+'Program Budget'!P295+'Program Budget'!P364+'Program Budget'!P431+'Program Budget'!P503+'Program Budget'!P578+'Program Budget'!P633+'Program Budget'!P707+'Program Budget'!P781+'Program Budget'!P853+'Program Budget'!P912</f>
        <v>1</v>
      </c>
      <c r="N32" s="24">
        <f>'Program Budget'!R33+'Program Budget'!R174+'Program Budget'!R236+'Program Budget'!R295+'Program Budget'!R364+'Program Budget'!R431+'Program Budget'!R503+'Program Budget'!R578+'Program Budget'!R633+'Program Budget'!R707+'Program Budget'!R781+'Program Budget'!R853+'Program Budget'!R912</f>
        <v>27783</v>
      </c>
      <c r="O32" s="72">
        <f>'Program Budget'!T33</f>
        <v>12</v>
      </c>
      <c r="P32" s="23">
        <f>'Program Budget'!S33+'Program Budget'!S174+'Program Budget'!S236+'Program Budget'!S295+'Program Budget'!S364+'Program Budget'!S431+'Program Budget'!S503+'Program Budget'!S578+'Program Budget'!S633+'Program Budget'!S707+'Program Budget'!S781+'Program Budget'!S853+'Program Budget'!S912</f>
        <v>1</v>
      </c>
      <c r="Q32" s="24">
        <f>'Program Budget'!U33+'Program Budget'!U174+'Program Budget'!U236+'Program Budget'!U295+'Program Budget'!U364+'Program Budget'!U431+'Program Budget'!U503+'Program Budget'!U578+'Program Budget'!U633+'Program Budget'!U707+'Program Budget'!U781+'Program Budget'!U853+'Program Budget'!U912</f>
        <v>29172.15</v>
      </c>
      <c r="R32" s="72">
        <f>'Program Budget'!W33</f>
        <v>8</v>
      </c>
      <c r="S32" s="23">
        <f>'Program Budget'!V33+'Program Budget'!V174+'Program Budget'!V236+'Program Budget'!V295+'Program Budget'!V364+'Program Budget'!V431+'Program Budget'!V503+'Program Budget'!V578+'Program Budget'!V633+'Program Budget'!V707+'Program Budget'!V781+'Program Budget'!V853+'Program Budget'!V912</f>
        <v>1</v>
      </c>
      <c r="T32" s="24">
        <f>'Program Budget'!X33+'Program Budget'!X174+'Program Budget'!X236+'Program Budget'!X295+'Program Budget'!X364+'Program Budget'!X431+'Program Budget'!X503+'Program Budget'!X578+'Program Budget'!X633+'Program Budget'!X707+'Program Budget'!X781+'Program Budget'!X853+'Program Budget'!X912</f>
        <v>20420.505000000005</v>
      </c>
      <c r="U32" s="531">
        <f t="shared" si="0"/>
        <v>147035.655</v>
      </c>
      <c r="V32" s="532">
        <f t="shared" si="1"/>
        <v>65</v>
      </c>
      <c r="W32" s="534">
        <f t="shared" si="2"/>
        <v>2262.087</v>
      </c>
    </row>
    <row r="33" spans="2:28" s="8" customFormat="1" outlineLevel="1">
      <c r="B33" s="22" t="str">
        <f>'Program Budget'!D34</f>
        <v>Warehouse Manager</v>
      </c>
      <c r="C33" s="72">
        <f>'Program Budget'!G34</f>
        <v>8</v>
      </c>
      <c r="D33" s="23">
        <f>'Program Budget'!E34+'Program Budget'!E175+'Program Budget'!E237+'Program Budget'!E296+'Program Budget'!E365+'Program Budget'!E432+'Program Budget'!E504+'Program Budget'!E579+'Program Budget'!E634+'Program Budget'!E708+'Program Budget'!E782+'Program Budget'!E854+'Program Budget'!E913</f>
        <v>1</v>
      </c>
      <c r="E33" s="24">
        <f>'Program Budget'!I34+'Program Budget'!I175+'Program Budget'!I237+'Program Budget'!I296+'Program Budget'!I365+'Program Budget'!I432+'Program Budget'!I504+'Program Budget'!I579+'Program Budget'!I634+'Program Budget'!I708+'Program Budget'!I782+'Program Budget'!I854+'Program Budget'!I913</f>
        <v>10000</v>
      </c>
      <c r="F33" s="72">
        <f>'Program Budget'!K34</f>
        <v>12</v>
      </c>
      <c r="G33" s="23">
        <f>'Program Budget'!J34+'Program Budget'!J175+'Program Budget'!J237+'Program Budget'!J296+'Program Budget'!J365+'Program Budget'!J432+'Program Budget'!J504+'Program Budget'!J579+'Program Budget'!J634+'Program Budget'!J708+'Program Budget'!J782+'Program Budget'!J854+'Program Budget'!J913</f>
        <v>1</v>
      </c>
      <c r="H33" s="24">
        <f>'Program Budget'!L34+'Program Budget'!L175+'Program Budget'!L237+'Program Budget'!L296+'Program Budget'!L365+'Program Budget'!L432+'Program Budget'!L504+'Program Budget'!L579+'Program Budget'!L634+'Program Budget'!L708+'Program Budget'!L782+'Program Budget'!L854+'Program Budget'!L913</f>
        <v>15750</v>
      </c>
      <c r="I33" s="72">
        <f>'Program Budget'!N34</f>
        <v>12</v>
      </c>
      <c r="J33" s="23">
        <f>'Program Budget'!M34+'Program Budget'!M175+'Program Budget'!M237+'Program Budget'!M296+'Program Budget'!M365+'Program Budget'!M432+'Program Budget'!M504+'Program Budget'!M579+'Program Budget'!M634+'Program Budget'!M708+'Program Budget'!M782+'Program Budget'!M854+'Program Budget'!M913</f>
        <v>1</v>
      </c>
      <c r="K33" s="24">
        <f>'Program Budget'!O34+'Program Budget'!O175+'Program Budget'!O237+'Program Budget'!O296+'Program Budget'!O365+'Program Budget'!O432+'Program Budget'!O504+'Program Budget'!O579+'Program Budget'!O634+'Program Budget'!O708+'Program Budget'!O782+'Program Budget'!O854+'Program Budget'!O913</f>
        <v>16537.5</v>
      </c>
      <c r="L33" s="72">
        <f>'Program Budget'!Q34</f>
        <v>12</v>
      </c>
      <c r="M33" s="23">
        <f>'Program Budget'!P34+'Program Budget'!P175+'Program Budget'!P237+'Program Budget'!P296+'Program Budget'!P365+'Program Budget'!P432+'Program Budget'!P504+'Program Budget'!P579+'Program Budget'!P634+'Program Budget'!P708+'Program Budget'!P782+'Program Budget'!P854+'Program Budget'!P913</f>
        <v>1</v>
      </c>
      <c r="N33" s="24">
        <f>'Program Budget'!R34+'Program Budget'!R175+'Program Budget'!R237+'Program Budget'!R296+'Program Budget'!R365+'Program Budget'!R432+'Program Budget'!R504+'Program Budget'!R579+'Program Budget'!R634+'Program Budget'!R708+'Program Budget'!R782+'Program Budget'!R854+'Program Budget'!R913</f>
        <v>17364.375</v>
      </c>
      <c r="O33" s="72">
        <f>'Program Budget'!T34</f>
        <v>12</v>
      </c>
      <c r="P33" s="23">
        <f>'Program Budget'!S34+'Program Budget'!S175+'Program Budget'!S237+'Program Budget'!S296+'Program Budget'!S365+'Program Budget'!S432+'Program Budget'!S504+'Program Budget'!S579+'Program Budget'!S634+'Program Budget'!S708+'Program Budget'!S782+'Program Budget'!S854+'Program Budget'!S913</f>
        <v>1</v>
      </c>
      <c r="Q33" s="24">
        <f>'Program Budget'!U34+'Program Budget'!U175+'Program Budget'!U237+'Program Budget'!U296+'Program Budget'!U365+'Program Budget'!U432+'Program Budget'!U504+'Program Budget'!U579+'Program Budget'!U634+'Program Budget'!U708+'Program Budget'!U782+'Program Budget'!U854+'Program Budget'!U913</f>
        <v>18232.59375</v>
      </c>
      <c r="R33" s="72">
        <f>'Program Budget'!W34</f>
        <v>8</v>
      </c>
      <c r="S33" s="23">
        <f>'Program Budget'!V34+'Program Budget'!V175+'Program Budget'!V237+'Program Budget'!V296+'Program Budget'!V365+'Program Budget'!V432+'Program Budget'!V504+'Program Budget'!V579+'Program Budget'!V634+'Program Budget'!V708+'Program Budget'!V782+'Program Budget'!V854+'Program Budget'!V913</f>
        <v>1</v>
      </c>
      <c r="T33" s="24">
        <f>'Program Budget'!X34+'Program Budget'!X175+'Program Budget'!X237+'Program Budget'!X296+'Program Budget'!X365+'Program Budget'!X432+'Program Budget'!X504+'Program Budget'!X579+'Program Budget'!X634+'Program Budget'!X708+'Program Budget'!X782+'Program Budget'!X854+'Program Budget'!X913</f>
        <v>12762.815625000001</v>
      </c>
      <c r="U33" s="531">
        <f t="shared" si="0"/>
        <v>90647.284375000003</v>
      </c>
      <c r="V33" s="532">
        <f t="shared" si="1"/>
        <v>64</v>
      </c>
      <c r="W33" s="534">
        <f t="shared" si="2"/>
        <v>1416.363818359375</v>
      </c>
    </row>
    <row r="34" spans="2:28" s="8" customFormat="1" outlineLevel="1">
      <c r="B34" s="22" t="str">
        <f>'Program Budget'!D35</f>
        <v>Warehouse Officer - (2 Individuals)</v>
      </c>
      <c r="C34" s="72">
        <f>'Program Budget'!G35</f>
        <v>8</v>
      </c>
      <c r="D34" s="23">
        <f>'Program Budget'!E35+'Program Budget'!E176+'Program Budget'!E238+'Program Budget'!E297+'Program Budget'!E366+'Program Budget'!E433+'Program Budget'!E505+'Program Budget'!E580+'Program Budget'!E635+'Program Budget'!E709+'Program Budget'!E783+'Program Budget'!E855+'Program Budget'!E914</f>
        <v>1</v>
      </c>
      <c r="E34" s="24">
        <f>'Program Budget'!I35+'Program Budget'!I176+'Program Budget'!I238+'Program Budget'!I297+'Program Budget'!I366+'Program Budget'!I433+'Program Budget'!I505+'Program Budget'!I580+'Program Budget'!I635+'Program Budget'!I709+'Program Budget'!I783+'Program Budget'!I855+'Program Budget'!I914</f>
        <v>8000</v>
      </c>
      <c r="F34" s="72">
        <f>'Program Budget'!K35</f>
        <v>24</v>
      </c>
      <c r="G34" s="23">
        <f>'Program Budget'!J35+'Program Budget'!J176+'Program Budget'!J238+'Program Budget'!J297+'Program Budget'!J366+'Program Budget'!J433+'Program Budget'!J505+'Program Budget'!J580+'Program Budget'!J635+'Program Budget'!J709+'Program Budget'!J783+'Program Budget'!J855+'Program Budget'!J914</f>
        <v>1</v>
      </c>
      <c r="H34" s="24">
        <f>'Program Budget'!L35+'Program Budget'!L176+'Program Budget'!L238+'Program Budget'!L297+'Program Budget'!L366+'Program Budget'!L433+'Program Budget'!L505+'Program Budget'!L580+'Program Budget'!L635+'Program Budget'!L709+'Program Budget'!L783+'Program Budget'!L855+'Program Budget'!L914</f>
        <v>25200</v>
      </c>
      <c r="I34" s="72">
        <f>'Program Budget'!N35</f>
        <v>24</v>
      </c>
      <c r="J34" s="23">
        <f>'Program Budget'!M35+'Program Budget'!M176+'Program Budget'!M238+'Program Budget'!M297+'Program Budget'!M366+'Program Budget'!M433+'Program Budget'!M505+'Program Budget'!M580+'Program Budget'!M635+'Program Budget'!M709+'Program Budget'!M783+'Program Budget'!M855+'Program Budget'!M914</f>
        <v>1</v>
      </c>
      <c r="K34" s="24">
        <f>'Program Budget'!O35+'Program Budget'!O176+'Program Budget'!O238+'Program Budget'!O297+'Program Budget'!O366+'Program Budget'!O433+'Program Budget'!O505+'Program Budget'!O580+'Program Budget'!O635+'Program Budget'!O709+'Program Budget'!O783+'Program Budget'!O855+'Program Budget'!O914</f>
        <v>26460</v>
      </c>
      <c r="L34" s="72">
        <f>'Program Budget'!Q35</f>
        <v>24</v>
      </c>
      <c r="M34" s="23">
        <f>'Program Budget'!P35+'Program Budget'!P176+'Program Budget'!P238+'Program Budget'!P297+'Program Budget'!P366+'Program Budget'!P433+'Program Budget'!P505+'Program Budget'!P580+'Program Budget'!P635+'Program Budget'!P709+'Program Budget'!P783+'Program Budget'!P855+'Program Budget'!P914</f>
        <v>1</v>
      </c>
      <c r="N34" s="24">
        <f>'Program Budget'!R35+'Program Budget'!R176+'Program Budget'!R238+'Program Budget'!R297+'Program Budget'!R366+'Program Budget'!R433+'Program Budget'!R505+'Program Budget'!R580+'Program Budget'!R635+'Program Budget'!R709+'Program Budget'!R783+'Program Budget'!R855+'Program Budget'!R914</f>
        <v>27783</v>
      </c>
      <c r="O34" s="72">
        <f>'Program Budget'!T35</f>
        <v>24</v>
      </c>
      <c r="P34" s="23">
        <f>'Program Budget'!S35+'Program Budget'!S176+'Program Budget'!S238+'Program Budget'!S297+'Program Budget'!S366+'Program Budget'!S433+'Program Budget'!S505+'Program Budget'!S580+'Program Budget'!S635+'Program Budget'!S709+'Program Budget'!S783+'Program Budget'!S855+'Program Budget'!S914</f>
        <v>1</v>
      </c>
      <c r="Q34" s="24">
        <f>'Program Budget'!U35+'Program Budget'!U176+'Program Budget'!U238+'Program Budget'!U297+'Program Budget'!U366+'Program Budget'!U433+'Program Budget'!U505+'Program Budget'!U580+'Program Budget'!U635+'Program Budget'!U709+'Program Budget'!U783+'Program Budget'!U855+'Program Budget'!U914</f>
        <v>29172.15</v>
      </c>
      <c r="R34" s="72">
        <f>'Program Budget'!W35</f>
        <v>8</v>
      </c>
      <c r="S34" s="23">
        <f>'Program Budget'!V35+'Program Budget'!V176+'Program Budget'!V238+'Program Budget'!V297+'Program Budget'!V366+'Program Budget'!V433+'Program Budget'!V505+'Program Budget'!V580+'Program Budget'!V635+'Program Budget'!V709+'Program Budget'!V783+'Program Budget'!V855+'Program Budget'!V914</f>
        <v>1</v>
      </c>
      <c r="T34" s="24">
        <f>'Program Budget'!X35+'Program Budget'!X176+'Program Budget'!X238+'Program Budget'!X297+'Program Budget'!X366+'Program Budget'!X433+'Program Budget'!X505+'Program Budget'!X580+'Program Budget'!X635+'Program Budget'!X709+'Program Budget'!X783+'Program Budget'!X855+'Program Budget'!X914</f>
        <v>10210.252500000002</v>
      </c>
      <c r="U34" s="531">
        <f t="shared" si="0"/>
        <v>126825.4025</v>
      </c>
      <c r="V34" s="532">
        <f t="shared" si="1"/>
        <v>112</v>
      </c>
      <c r="W34" s="534">
        <f t="shared" si="2"/>
        <v>1132.3696651785715</v>
      </c>
    </row>
    <row r="35" spans="2:28" s="8" customFormat="1" outlineLevel="1">
      <c r="B35" s="22" t="str">
        <f>'Program Budget'!D36</f>
        <v xml:space="preserve">LRP Technical Specialist </v>
      </c>
      <c r="C35" s="72">
        <f>'Program Budget'!G36</f>
        <v>8</v>
      </c>
      <c r="D35" s="23">
        <f>'Program Budget'!E36+'Program Budget'!E177+'Program Budget'!E239+'Program Budget'!E298+'Program Budget'!E367+'Program Budget'!E434+'Program Budget'!E506+'Program Budget'!E581+'Program Budget'!E636+'Program Budget'!E710+'Program Budget'!E784+'Program Budget'!E856+'Program Budget'!E915</f>
        <v>1</v>
      </c>
      <c r="E35" s="24">
        <f>'Program Budget'!I36+'Program Budget'!I177+'Program Budget'!I239+'Program Budget'!I298+'Program Budget'!I367+'Program Budget'!I434+'Program Budget'!I506+'Program Budget'!I581+'Program Budget'!I636+'Program Budget'!I710+'Program Budget'!I784+'Program Budget'!I856+'Program Budget'!I915</f>
        <v>12000</v>
      </c>
      <c r="F35" s="72">
        <f>'Program Budget'!K36</f>
        <v>12</v>
      </c>
      <c r="G35" s="23">
        <f>'Program Budget'!J36+'Program Budget'!J177+'Program Budget'!J239+'Program Budget'!J298+'Program Budget'!J367+'Program Budget'!J434+'Program Budget'!J506+'Program Budget'!J581+'Program Budget'!J636+'Program Budget'!J710+'Program Budget'!J784+'Program Budget'!J856+'Program Budget'!J915</f>
        <v>1</v>
      </c>
      <c r="H35" s="24">
        <f>'Program Budget'!L36+'Program Budget'!L177+'Program Budget'!L239+'Program Budget'!L298+'Program Budget'!L367+'Program Budget'!L434+'Program Budget'!L506+'Program Budget'!L581+'Program Budget'!L636+'Program Budget'!L710+'Program Budget'!L784+'Program Budget'!L856+'Program Budget'!L915</f>
        <v>18900</v>
      </c>
      <c r="I35" s="72">
        <f>'Program Budget'!N36</f>
        <v>12</v>
      </c>
      <c r="J35" s="23">
        <f>'Program Budget'!M36+'Program Budget'!M177+'Program Budget'!M239+'Program Budget'!M298+'Program Budget'!M367+'Program Budget'!M434+'Program Budget'!M506+'Program Budget'!M581+'Program Budget'!M636+'Program Budget'!M710+'Program Budget'!M784+'Program Budget'!M856+'Program Budget'!M915</f>
        <v>1</v>
      </c>
      <c r="K35" s="24">
        <f>'Program Budget'!O36+'Program Budget'!O177+'Program Budget'!O239+'Program Budget'!O298+'Program Budget'!O367+'Program Budget'!O434+'Program Budget'!O506+'Program Budget'!O581+'Program Budget'!O636+'Program Budget'!O710+'Program Budget'!O784+'Program Budget'!O856+'Program Budget'!O915</f>
        <v>19845</v>
      </c>
      <c r="L35" s="72">
        <f>'Program Budget'!Q36</f>
        <v>12</v>
      </c>
      <c r="M35" s="23">
        <f>'Program Budget'!P36+'Program Budget'!P177+'Program Budget'!P239+'Program Budget'!P298+'Program Budget'!P367+'Program Budget'!P434+'Program Budget'!P506+'Program Budget'!P581+'Program Budget'!P636+'Program Budget'!P710+'Program Budget'!P784+'Program Budget'!P856+'Program Budget'!P915</f>
        <v>1</v>
      </c>
      <c r="N35" s="24">
        <f>'Program Budget'!R36+'Program Budget'!R177+'Program Budget'!R239+'Program Budget'!R298+'Program Budget'!R367+'Program Budget'!R434+'Program Budget'!R506+'Program Budget'!R581+'Program Budget'!R636+'Program Budget'!R710+'Program Budget'!R784+'Program Budget'!R856+'Program Budget'!R915</f>
        <v>20837.25</v>
      </c>
      <c r="O35" s="72">
        <f>'Program Budget'!T36</f>
        <v>12</v>
      </c>
      <c r="P35" s="23">
        <f>'Program Budget'!S36+'Program Budget'!S177+'Program Budget'!S239+'Program Budget'!S298+'Program Budget'!S367+'Program Budget'!S434+'Program Budget'!S506+'Program Budget'!S581+'Program Budget'!S636+'Program Budget'!S710+'Program Budget'!S784+'Program Budget'!S856+'Program Budget'!S915</f>
        <v>1</v>
      </c>
      <c r="Q35" s="24">
        <f>'Program Budget'!U36+'Program Budget'!U177+'Program Budget'!U239+'Program Budget'!U298+'Program Budget'!U367+'Program Budget'!U434+'Program Budget'!U506+'Program Budget'!U581+'Program Budget'!U636+'Program Budget'!U710+'Program Budget'!U784+'Program Budget'!U856+'Program Budget'!U915</f>
        <v>21879.112499999999</v>
      </c>
      <c r="R35" s="72">
        <f>'Program Budget'!W36</f>
        <v>0</v>
      </c>
      <c r="S35" s="23">
        <f>'Program Budget'!V36+'Program Budget'!V177+'Program Budget'!V239+'Program Budget'!V298+'Program Budget'!V367+'Program Budget'!V434+'Program Budget'!V506+'Program Budget'!V581+'Program Budget'!V636+'Program Budget'!V710+'Program Budget'!V784+'Program Budget'!V856+'Program Budget'!V915</f>
        <v>1</v>
      </c>
      <c r="T35" s="24">
        <f>'Program Budget'!X36+'Program Budget'!X177+'Program Budget'!X239+'Program Budget'!X298+'Program Budget'!X367+'Program Budget'!X434+'Program Budget'!X506+'Program Budget'!X581+'Program Budget'!X636+'Program Budget'!X710+'Program Budget'!X784+'Program Budget'!X856+'Program Budget'!X915</f>
        <v>0</v>
      </c>
      <c r="U35" s="531">
        <f t="shared" si="0"/>
        <v>93461.362500000003</v>
      </c>
      <c r="V35" s="532">
        <f t="shared" si="1"/>
        <v>56</v>
      </c>
      <c r="W35" s="534">
        <f>U35/V35</f>
        <v>1668.9529017857144</v>
      </c>
    </row>
    <row r="36" spans="2:28" s="8" customFormat="1" outlineLevel="1">
      <c r="B36" s="22" t="str">
        <f>'Program Budget'!D37</f>
        <v>Finance &amp; Administration Director</v>
      </c>
      <c r="C36" s="72">
        <f>'Program Budget'!G37</f>
        <v>9</v>
      </c>
      <c r="D36" s="23">
        <f>'Program Budget'!E37+'Program Budget'!E178+'Program Budget'!E240+'Program Budget'!E299+'Program Budget'!E368+'Program Budget'!E435+'Program Budget'!E507+'Program Budget'!E582+'Program Budget'!E637+'Program Budget'!E711+'Program Budget'!E785+'Program Budget'!E857+'Program Budget'!E916</f>
        <v>1</v>
      </c>
      <c r="E36" s="24">
        <f>'Program Budget'!I37+'Program Budget'!I178+'Program Budget'!I240+'Program Budget'!I299+'Program Budget'!I368+'Program Budget'!I435+'Program Budget'!I507+'Program Budget'!I582+'Program Budget'!I637+'Program Budget'!I711+'Program Budget'!I785+'Program Budget'!I857+'Program Budget'!I916</f>
        <v>45000</v>
      </c>
      <c r="F36" s="72">
        <f>'Program Budget'!K37</f>
        <v>12</v>
      </c>
      <c r="G36" s="23">
        <f>'Program Budget'!J37+'Program Budget'!J178+'Program Budget'!J240+'Program Budget'!J299+'Program Budget'!J368+'Program Budget'!J435+'Program Budget'!J507+'Program Budget'!J582+'Program Budget'!J637+'Program Budget'!J711+'Program Budget'!J785+'Program Budget'!J857+'Program Budget'!J916</f>
        <v>1</v>
      </c>
      <c r="H36" s="24">
        <f>'Program Budget'!L37+'Program Budget'!L178+'Program Budget'!L240+'Program Budget'!L299+'Program Budget'!L368+'Program Budget'!L435+'Program Budget'!L507+'Program Budget'!L582+'Program Budget'!L637+'Program Budget'!L711+'Program Budget'!L785+'Program Budget'!L857+'Program Budget'!L916</f>
        <v>63000</v>
      </c>
      <c r="I36" s="72">
        <f>'Program Budget'!N37</f>
        <v>12</v>
      </c>
      <c r="J36" s="23">
        <f>'Program Budget'!M37+'Program Budget'!M178+'Program Budget'!M240+'Program Budget'!M299+'Program Budget'!M368+'Program Budget'!M435+'Program Budget'!M507+'Program Budget'!M582+'Program Budget'!M637+'Program Budget'!M711+'Program Budget'!M785+'Program Budget'!M857+'Program Budget'!M916</f>
        <v>1</v>
      </c>
      <c r="K36" s="24">
        <f>'Program Budget'!O37+'Program Budget'!O178+'Program Budget'!O240+'Program Budget'!O299+'Program Budget'!O368+'Program Budget'!O435+'Program Budget'!O507+'Program Budget'!O582+'Program Budget'!O637+'Program Budget'!O711+'Program Budget'!O785+'Program Budget'!O857+'Program Budget'!O916</f>
        <v>66150</v>
      </c>
      <c r="L36" s="72">
        <f>'Program Budget'!Q37</f>
        <v>12</v>
      </c>
      <c r="M36" s="23">
        <f>'Program Budget'!P37+'Program Budget'!P178+'Program Budget'!P240+'Program Budget'!P299+'Program Budget'!P368+'Program Budget'!P435+'Program Budget'!P507+'Program Budget'!P582+'Program Budget'!P637+'Program Budget'!P711+'Program Budget'!P785+'Program Budget'!P857+'Program Budget'!P916</f>
        <v>1</v>
      </c>
      <c r="N36" s="24">
        <f>'Program Budget'!R37+'Program Budget'!R178+'Program Budget'!R240+'Program Budget'!R299+'Program Budget'!R368+'Program Budget'!R435+'Program Budget'!R507+'Program Budget'!R582+'Program Budget'!R637+'Program Budget'!R711+'Program Budget'!R785+'Program Budget'!R857+'Program Budget'!R916</f>
        <v>69457.5</v>
      </c>
      <c r="O36" s="72">
        <f>'Program Budget'!T37</f>
        <v>12</v>
      </c>
      <c r="P36" s="23">
        <f>'Program Budget'!S37+'Program Budget'!S178+'Program Budget'!S240+'Program Budget'!S299+'Program Budget'!S368+'Program Budget'!S435+'Program Budget'!S507+'Program Budget'!S582+'Program Budget'!S637+'Program Budget'!S711+'Program Budget'!S785+'Program Budget'!S857+'Program Budget'!S916</f>
        <v>1</v>
      </c>
      <c r="Q36" s="24">
        <f>'Program Budget'!U37+'Program Budget'!U178+'Program Budget'!U240+'Program Budget'!U299+'Program Budget'!U368+'Program Budget'!U435+'Program Budget'!U507+'Program Budget'!U582+'Program Budget'!U637+'Program Budget'!U711+'Program Budget'!U785+'Program Budget'!U857+'Program Budget'!U916</f>
        <v>72930.375</v>
      </c>
      <c r="R36" s="72">
        <f>'Program Budget'!W37</f>
        <v>12</v>
      </c>
      <c r="S36" s="23">
        <f>'Program Budget'!V37+'Program Budget'!V178+'Program Budget'!V240+'Program Budget'!V299+'Program Budget'!V368+'Program Budget'!V435+'Program Budget'!V507+'Program Budget'!V582+'Program Budget'!V637+'Program Budget'!V711+'Program Budget'!V785+'Program Budget'!V857+'Program Budget'!V916</f>
        <v>1</v>
      </c>
      <c r="T36" s="24">
        <f>'Program Budget'!X37+'Program Budget'!X178+'Program Budget'!X240+'Program Budget'!X299+'Program Budget'!X368+'Program Budget'!X435+'Program Budget'!X507+'Program Budget'!X582+'Program Budget'!X637+'Program Budget'!X711+'Program Budget'!X785+'Program Budget'!X857+'Program Budget'!X916</f>
        <v>76576.893750000003</v>
      </c>
      <c r="U36" s="531">
        <f t="shared" si="0"/>
        <v>393114.76874999999</v>
      </c>
      <c r="V36" s="532">
        <f t="shared" si="1"/>
        <v>69</v>
      </c>
      <c r="W36" s="534">
        <f t="shared" si="2"/>
        <v>5697.3154891304348</v>
      </c>
    </row>
    <row r="37" spans="2:28" s="8" customFormat="1" outlineLevel="1">
      <c r="B37" s="22" t="str">
        <f>'Program Budget'!D38</f>
        <v>Contracts &amp; Compliance Manager</v>
      </c>
      <c r="C37" s="72">
        <f>'Program Budget'!G38</f>
        <v>9</v>
      </c>
      <c r="D37" s="23">
        <f>'Program Budget'!E38+'Program Budget'!E179+'Program Budget'!E241+'Program Budget'!E300+'Program Budget'!E369+'Program Budget'!E436+'Program Budget'!E508+'Program Budget'!E583+'Program Budget'!E638+'Program Budget'!E712+'Program Budget'!E786+'Program Budget'!E858+'Program Budget'!E917</f>
        <v>1</v>
      </c>
      <c r="E37" s="24">
        <f>'Program Budget'!I38+'Program Budget'!I179+'Program Budget'!I241+'Program Budget'!I300+'Program Budget'!I369+'Program Budget'!I436+'Program Budget'!I508+'Program Budget'!I583+'Program Budget'!I638+'Program Budget'!I712+'Program Budget'!I786+'Program Budget'!I858+'Program Budget'!I917</f>
        <v>23700</v>
      </c>
      <c r="F37" s="72">
        <f>'Program Budget'!K38</f>
        <v>12</v>
      </c>
      <c r="G37" s="23">
        <f>'Program Budget'!J38+'Program Budget'!J179+'Program Budget'!J241+'Program Budget'!J300+'Program Budget'!J369+'Program Budget'!J436+'Program Budget'!J508+'Program Budget'!J583+'Program Budget'!J638+'Program Budget'!J712+'Program Budget'!J786+'Program Budget'!J858+'Program Budget'!J917</f>
        <v>1</v>
      </c>
      <c r="H37" s="24">
        <f>'Program Budget'!L38+'Program Budget'!L179+'Program Budget'!L241+'Program Budget'!L300+'Program Budget'!L369+'Program Budget'!L436+'Program Budget'!L508+'Program Budget'!L583+'Program Budget'!L638+'Program Budget'!L712+'Program Budget'!L786+'Program Budget'!L858+'Program Budget'!L917</f>
        <v>33180</v>
      </c>
      <c r="I37" s="72">
        <f>'Program Budget'!N38</f>
        <v>12</v>
      </c>
      <c r="J37" s="23">
        <f>'Program Budget'!M38+'Program Budget'!M179+'Program Budget'!M241+'Program Budget'!M300+'Program Budget'!M369+'Program Budget'!M436+'Program Budget'!M508+'Program Budget'!M583+'Program Budget'!M638+'Program Budget'!M712+'Program Budget'!M786+'Program Budget'!M858+'Program Budget'!M917</f>
        <v>1</v>
      </c>
      <c r="K37" s="24">
        <f>'Program Budget'!O38+'Program Budget'!O179+'Program Budget'!O241+'Program Budget'!O300+'Program Budget'!O369+'Program Budget'!O436+'Program Budget'!O508+'Program Budget'!O583+'Program Budget'!O638+'Program Budget'!O712+'Program Budget'!O786+'Program Budget'!O858+'Program Budget'!O917</f>
        <v>34839</v>
      </c>
      <c r="L37" s="72">
        <f>'Program Budget'!Q38</f>
        <v>12</v>
      </c>
      <c r="M37" s="23">
        <f>'Program Budget'!P38+'Program Budget'!P179+'Program Budget'!P241+'Program Budget'!P300+'Program Budget'!P369+'Program Budget'!P436+'Program Budget'!P508+'Program Budget'!P583+'Program Budget'!P638+'Program Budget'!P712+'Program Budget'!P786+'Program Budget'!P858+'Program Budget'!P917</f>
        <v>1</v>
      </c>
      <c r="N37" s="24">
        <f>'Program Budget'!R38+'Program Budget'!R179+'Program Budget'!R241+'Program Budget'!R300+'Program Budget'!R369+'Program Budget'!R436+'Program Budget'!R508+'Program Budget'!R583+'Program Budget'!R638+'Program Budget'!R712+'Program Budget'!R786+'Program Budget'!R858+'Program Budget'!R917</f>
        <v>36580.950000000004</v>
      </c>
      <c r="O37" s="72">
        <f>'Program Budget'!T38</f>
        <v>12</v>
      </c>
      <c r="P37" s="23">
        <f>'Program Budget'!S38+'Program Budget'!S179+'Program Budget'!S241+'Program Budget'!S300+'Program Budget'!S369+'Program Budget'!S436+'Program Budget'!S508+'Program Budget'!S583+'Program Budget'!S638+'Program Budget'!S712+'Program Budget'!S786+'Program Budget'!S858+'Program Budget'!S917</f>
        <v>1</v>
      </c>
      <c r="Q37" s="24">
        <f>'Program Budget'!U38+'Program Budget'!U179+'Program Budget'!U241+'Program Budget'!U300+'Program Budget'!U369+'Program Budget'!U436+'Program Budget'!U508+'Program Budget'!U583+'Program Budget'!U638+'Program Budget'!U712+'Program Budget'!U786+'Program Budget'!U858+'Program Budget'!U917</f>
        <v>38409.997500000005</v>
      </c>
      <c r="R37" s="72">
        <f>'Program Budget'!W38</f>
        <v>11</v>
      </c>
      <c r="S37" s="23">
        <f>'Program Budget'!V38+'Program Budget'!V179+'Program Budget'!V241+'Program Budget'!V300+'Program Budget'!V369+'Program Budget'!V436+'Program Budget'!V508+'Program Budget'!V583+'Program Budget'!V638+'Program Budget'!V712+'Program Budget'!V786+'Program Budget'!V858+'Program Budget'!V917</f>
        <v>1</v>
      </c>
      <c r="T37" s="24">
        <f>'Program Budget'!X38+'Program Budget'!X179+'Program Budget'!X241+'Program Budget'!X300+'Program Budget'!X369+'Program Budget'!X436+'Program Budget'!X508+'Program Budget'!X583+'Program Budget'!X638+'Program Budget'!X712+'Program Budget'!X786+'Program Budget'!X858+'Program Budget'!X917</f>
        <v>36969.622593750013</v>
      </c>
      <c r="U37" s="531">
        <f t="shared" si="0"/>
        <v>203679.57009375002</v>
      </c>
      <c r="V37" s="532">
        <f t="shared" si="1"/>
        <v>68</v>
      </c>
      <c r="W37" s="534">
        <f t="shared" si="2"/>
        <v>2995.2877954963237</v>
      </c>
    </row>
    <row r="38" spans="2:28" s="8" customFormat="1" outlineLevel="1">
      <c r="B38" s="22" t="str">
        <f>'Program Budget'!D39</f>
        <v>Grants &amp; Procurement Specialist</v>
      </c>
      <c r="C38" s="72">
        <f>'Program Budget'!G39</f>
        <v>6</v>
      </c>
      <c r="D38" s="23">
        <f>'Program Budget'!E39+'Program Budget'!E180+'Program Budget'!E242+'Program Budget'!E301+'Program Budget'!E370+'Program Budget'!E437+'Program Budget'!E509+'Program Budget'!E584+'Program Budget'!E639+'Program Budget'!E713+'Program Budget'!E787+'Program Budget'!E859+'Program Budget'!E918</f>
        <v>1</v>
      </c>
      <c r="E38" s="24">
        <f>'Program Budget'!I39+'Program Budget'!I180+'Program Budget'!I242+'Program Budget'!I301+'Program Budget'!I370+'Program Budget'!I437+'Program Budget'!I509+'Program Budget'!I584+'Program Budget'!I639+'Program Budget'!I713+'Program Budget'!I787+'Program Budget'!I859+'Program Budget'!I918</f>
        <v>9000</v>
      </c>
      <c r="F38" s="72">
        <f>'Program Budget'!K39</f>
        <v>12</v>
      </c>
      <c r="G38" s="23">
        <f>'Program Budget'!J39+'Program Budget'!J180+'Program Budget'!J242+'Program Budget'!J301+'Program Budget'!J370+'Program Budget'!J437+'Program Budget'!J509+'Program Budget'!J584+'Program Budget'!J639+'Program Budget'!J713+'Program Budget'!J787+'Program Budget'!J859+'Program Budget'!J918</f>
        <v>1</v>
      </c>
      <c r="H38" s="24">
        <f>'Program Budget'!L39+'Program Budget'!L180+'Program Budget'!L242+'Program Budget'!L301+'Program Budget'!L370+'Program Budget'!L437+'Program Budget'!L509+'Program Budget'!L584+'Program Budget'!L639+'Program Budget'!L713+'Program Budget'!L787+'Program Budget'!L859+'Program Budget'!L918</f>
        <v>18900</v>
      </c>
      <c r="I38" s="72">
        <f>'Program Budget'!N39</f>
        <v>12</v>
      </c>
      <c r="J38" s="23">
        <f>'Program Budget'!M39+'Program Budget'!M180+'Program Budget'!M242+'Program Budget'!M301+'Program Budget'!M370+'Program Budget'!M437+'Program Budget'!M509+'Program Budget'!M584+'Program Budget'!M639+'Program Budget'!M713+'Program Budget'!M787+'Program Budget'!M859+'Program Budget'!M918</f>
        <v>1</v>
      </c>
      <c r="K38" s="24">
        <f>'Program Budget'!O39+'Program Budget'!O180+'Program Budget'!O242+'Program Budget'!O301+'Program Budget'!O370+'Program Budget'!O437+'Program Budget'!O509+'Program Budget'!O584+'Program Budget'!O639+'Program Budget'!O713+'Program Budget'!O787+'Program Budget'!O859+'Program Budget'!O918</f>
        <v>19845</v>
      </c>
      <c r="L38" s="72">
        <f>'Program Budget'!Q39</f>
        <v>12</v>
      </c>
      <c r="M38" s="23">
        <f>'Program Budget'!P39+'Program Budget'!P180+'Program Budget'!P242+'Program Budget'!P301+'Program Budget'!P370+'Program Budget'!P437+'Program Budget'!P509+'Program Budget'!P584+'Program Budget'!P639+'Program Budget'!P713+'Program Budget'!P787+'Program Budget'!P859+'Program Budget'!P918</f>
        <v>1</v>
      </c>
      <c r="N38" s="24">
        <f>'Program Budget'!R39+'Program Budget'!R180+'Program Budget'!R242+'Program Budget'!R301+'Program Budget'!R370+'Program Budget'!R437+'Program Budget'!R509+'Program Budget'!R584+'Program Budget'!R639+'Program Budget'!R713+'Program Budget'!R787+'Program Budget'!R859+'Program Budget'!R918</f>
        <v>20837.25</v>
      </c>
      <c r="O38" s="72">
        <f>'Program Budget'!T39</f>
        <v>12</v>
      </c>
      <c r="P38" s="23">
        <f>'Program Budget'!S39+'Program Budget'!S180+'Program Budget'!S242+'Program Budget'!S301+'Program Budget'!S370+'Program Budget'!S437+'Program Budget'!S509+'Program Budget'!S584+'Program Budget'!S639+'Program Budget'!S713+'Program Budget'!S787+'Program Budget'!S859+'Program Budget'!S918</f>
        <v>1</v>
      </c>
      <c r="Q38" s="24">
        <f>'Program Budget'!U39+'Program Budget'!U180+'Program Budget'!U242+'Program Budget'!U301+'Program Budget'!U370+'Program Budget'!U437+'Program Budget'!U509+'Program Budget'!U584+'Program Budget'!U639+'Program Budget'!U713+'Program Budget'!U787+'Program Budget'!U859+'Program Budget'!U918</f>
        <v>21879.112499999999</v>
      </c>
      <c r="R38" s="72">
        <f>'Program Budget'!W39</f>
        <v>6</v>
      </c>
      <c r="S38" s="23">
        <f>'Program Budget'!V39+'Program Budget'!V180+'Program Budget'!V242+'Program Budget'!V301+'Program Budget'!V370+'Program Budget'!V437+'Program Budget'!V509+'Program Budget'!V584+'Program Budget'!V639+'Program Budget'!V713+'Program Budget'!V787+'Program Budget'!V859+'Program Budget'!V918</f>
        <v>1</v>
      </c>
      <c r="T38" s="24">
        <f>'Program Budget'!X39+'Program Budget'!X180+'Program Budget'!X242+'Program Budget'!X301+'Program Budget'!X370+'Program Budget'!X437+'Program Budget'!X509+'Program Budget'!X584+'Program Budget'!X639+'Program Budget'!X713+'Program Budget'!X787+'Program Budget'!X859+'Program Budget'!X918</f>
        <v>11486.534062500001</v>
      </c>
      <c r="U38" s="531">
        <f t="shared" si="0"/>
        <v>101947.8965625</v>
      </c>
      <c r="V38" s="532">
        <f t="shared" si="1"/>
        <v>60</v>
      </c>
      <c r="W38" s="534">
        <f t="shared" si="2"/>
        <v>1699.1316093749999</v>
      </c>
    </row>
    <row r="39" spans="2:28" s="8" customFormat="1" outlineLevel="1">
      <c r="B39" s="22" t="str">
        <f>'Program Budget'!D40</f>
        <v>Grants &amp; Procurement Officer</v>
      </c>
      <c r="C39" s="72">
        <f>'Program Budget'!G40</f>
        <v>2</v>
      </c>
      <c r="D39" s="23">
        <f>'Program Budget'!E40+'Program Budget'!E181+'Program Budget'!E243+'Program Budget'!E302+'Program Budget'!E371+'Program Budget'!E438+'Program Budget'!E510+'Program Budget'!E585+'Program Budget'!E640+'Program Budget'!E714+'Program Budget'!E788+'Program Budget'!E860+'Program Budget'!E919</f>
        <v>1</v>
      </c>
      <c r="E39" s="24">
        <f>'Program Budget'!I40+'Program Budget'!I181+'Program Budget'!I243+'Program Budget'!I302+'Program Budget'!I371+'Program Budget'!I438+'Program Budget'!I510+'Program Budget'!I585+'Program Budget'!I640+'Program Budget'!I714+'Program Budget'!I788+'Program Budget'!I860+'Program Budget'!I919</f>
        <v>2000</v>
      </c>
      <c r="F39" s="72">
        <f>'Program Budget'!K40</f>
        <v>12</v>
      </c>
      <c r="G39" s="23">
        <f>'Program Budget'!J40+'Program Budget'!J181+'Program Budget'!J243+'Program Budget'!J302+'Program Budget'!J371+'Program Budget'!J438+'Program Budget'!J510+'Program Budget'!J585+'Program Budget'!J640+'Program Budget'!J714+'Program Budget'!J788+'Program Budget'!J860+'Program Budget'!J919</f>
        <v>1</v>
      </c>
      <c r="H39" s="24">
        <f>'Program Budget'!L40+'Program Budget'!L181+'Program Budget'!L243+'Program Budget'!L302+'Program Budget'!L371+'Program Budget'!L438+'Program Budget'!L510+'Program Budget'!L585+'Program Budget'!L640+'Program Budget'!L714+'Program Budget'!L788+'Program Budget'!L860+'Program Budget'!L919</f>
        <v>12600</v>
      </c>
      <c r="I39" s="72">
        <f>'Program Budget'!N40</f>
        <v>12</v>
      </c>
      <c r="J39" s="23">
        <f>'Program Budget'!M40+'Program Budget'!M181+'Program Budget'!M243+'Program Budget'!M302+'Program Budget'!M371+'Program Budget'!M438+'Program Budget'!M510+'Program Budget'!M585+'Program Budget'!M640+'Program Budget'!M714+'Program Budget'!M788+'Program Budget'!M860+'Program Budget'!M919</f>
        <v>1</v>
      </c>
      <c r="K39" s="24">
        <f>'Program Budget'!O40+'Program Budget'!O181+'Program Budget'!O243+'Program Budget'!O302+'Program Budget'!O371+'Program Budget'!O438+'Program Budget'!O510+'Program Budget'!O585+'Program Budget'!O640+'Program Budget'!O714+'Program Budget'!O788+'Program Budget'!O860+'Program Budget'!O919</f>
        <v>13230</v>
      </c>
      <c r="L39" s="72">
        <f>'Program Budget'!Q40</f>
        <v>12</v>
      </c>
      <c r="M39" s="23">
        <f>'Program Budget'!P40+'Program Budget'!P181+'Program Budget'!P243+'Program Budget'!P302+'Program Budget'!P371+'Program Budget'!P438+'Program Budget'!P510+'Program Budget'!P585+'Program Budget'!P640+'Program Budget'!P714+'Program Budget'!P788+'Program Budget'!P860+'Program Budget'!P919</f>
        <v>1</v>
      </c>
      <c r="N39" s="24">
        <f>'Program Budget'!R40+'Program Budget'!R181+'Program Budget'!R243+'Program Budget'!R302+'Program Budget'!R371+'Program Budget'!R438+'Program Budget'!R510+'Program Budget'!R585+'Program Budget'!R640+'Program Budget'!R714+'Program Budget'!R788+'Program Budget'!R860+'Program Budget'!R919</f>
        <v>13891.5</v>
      </c>
      <c r="O39" s="72">
        <f>'Program Budget'!T40</f>
        <v>12</v>
      </c>
      <c r="P39" s="23">
        <f>'Program Budget'!S40+'Program Budget'!S181+'Program Budget'!S243+'Program Budget'!S302+'Program Budget'!S371+'Program Budget'!S438+'Program Budget'!S510+'Program Budget'!S585+'Program Budget'!S640+'Program Budget'!S714+'Program Budget'!S788+'Program Budget'!S860+'Program Budget'!S919</f>
        <v>1</v>
      </c>
      <c r="Q39" s="24">
        <f>'Program Budget'!U40+'Program Budget'!U181+'Program Budget'!U243+'Program Budget'!U302+'Program Budget'!U371+'Program Budget'!U438+'Program Budget'!U510+'Program Budget'!U585+'Program Budget'!U640+'Program Budget'!U714+'Program Budget'!U788+'Program Budget'!U860+'Program Budget'!U919</f>
        <v>14586.075000000001</v>
      </c>
      <c r="R39" s="72">
        <f>'Program Budget'!W40</f>
        <v>3</v>
      </c>
      <c r="S39" s="23">
        <f>'Program Budget'!V40+'Program Budget'!V181+'Program Budget'!V243+'Program Budget'!V302+'Program Budget'!V371+'Program Budget'!V438+'Program Budget'!V510+'Program Budget'!V585+'Program Budget'!V640+'Program Budget'!V714+'Program Budget'!V788+'Program Budget'!V860+'Program Budget'!V919</f>
        <v>1</v>
      </c>
      <c r="T39" s="24">
        <f>'Program Budget'!X40+'Program Budget'!X181+'Program Budget'!X243+'Program Budget'!X302+'Program Budget'!X371+'Program Budget'!X438+'Program Budget'!X510+'Program Budget'!X585+'Program Budget'!X640+'Program Budget'!X714+'Program Budget'!X788+'Program Budget'!X860+'Program Budget'!X919</f>
        <v>3828.8446875000004</v>
      </c>
      <c r="U39" s="531">
        <f t="shared" si="0"/>
        <v>60136.419687499998</v>
      </c>
      <c r="V39" s="532">
        <f t="shared" si="1"/>
        <v>53</v>
      </c>
      <c r="W39" s="534">
        <f t="shared" si="2"/>
        <v>1134.6494280660377</v>
      </c>
    </row>
    <row r="40" spans="2:28" s="8" customFormat="1" outlineLevel="1">
      <c r="B40" s="22" t="str">
        <f>'Program Budget'!D41</f>
        <v>Finance Officer</v>
      </c>
      <c r="C40" s="72">
        <f>'Program Budget'!G41</f>
        <v>9</v>
      </c>
      <c r="D40" s="23">
        <f>'Program Budget'!E41+'Program Budget'!E182+'Program Budget'!E244+'Program Budget'!E303+'Program Budget'!E372+'Program Budget'!E439+'Program Budget'!E511+'Program Budget'!E586+'Program Budget'!E641+'Program Budget'!E715+'Program Budget'!E789+'Program Budget'!E861+'Program Budget'!E920</f>
        <v>1</v>
      </c>
      <c r="E40" s="24">
        <f>'Program Budget'!I41+'Program Budget'!I182+'Program Budget'!I244+'Program Budget'!I303+'Program Budget'!I372+'Program Budget'!I439+'Program Budget'!I511+'Program Budget'!I586+'Program Budget'!I641+'Program Budget'!I715+'Program Budget'!I789+'Program Budget'!I861+'Program Budget'!I920</f>
        <v>11250</v>
      </c>
      <c r="F40" s="72">
        <f>'Program Budget'!K41</f>
        <v>12</v>
      </c>
      <c r="G40" s="23">
        <f>'Program Budget'!J41+'Program Budget'!J182+'Program Budget'!J244+'Program Budget'!J303+'Program Budget'!J372+'Program Budget'!J439+'Program Budget'!J511+'Program Budget'!J586+'Program Budget'!J641+'Program Budget'!J715+'Program Budget'!J789+'Program Budget'!J861+'Program Budget'!J920</f>
        <v>1</v>
      </c>
      <c r="H40" s="24">
        <f>'Program Budget'!L41+'Program Budget'!L182+'Program Budget'!L244+'Program Budget'!L303+'Program Budget'!L372+'Program Budget'!L439+'Program Budget'!L511+'Program Budget'!L586+'Program Budget'!L641+'Program Budget'!L715+'Program Budget'!L789+'Program Budget'!L861+'Program Budget'!L920</f>
        <v>15750</v>
      </c>
      <c r="I40" s="72">
        <f>'Program Budget'!N41</f>
        <v>12</v>
      </c>
      <c r="J40" s="23">
        <f>'Program Budget'!M41+'Program Budget'!M182+'Program Budget'!M244+'Program Budget'!M303+'Program Budget'!M372+'Program Budget'!M439+'Program Budget'!M511+'Program Budget'!M586+'Program Budget'!M641+'Program Budget'!M715+'Program Budget'!M789+'Program Budget'!M861+'Program Budget'!M920</f>
        <v>1</v>
      </c>
      <c r="K40" s="24">
        <f>'Program Budget'!O41+'Program Budget'!O182+'Program Budget'!O244+'Program Budget'!O303+'Program Budget'!O372+'Program Budget'!O439+'Program Budget'!O511+'Program Budget'!O586+'Program Budget'!O641+'Program Budget'!O715+'Program Budget'!O789+'Program Budget'!O861+'Program Budget'!O920</f>
        <v>16537.5</v>
      </c>
      <c r="L40" s="72">
        <f>'Program Budget'!Q41</f>
        <v>12</v>
      </c>
      <c r="M40" s="23">
        <f>'Program Budget'!P41+'Program Budget'!P182+'Program Budget'!P244+'Program Budget'!P303+'Program Budget'!P372+'Program Budget'!P439+'Program Budget'!P511+'Program Budget'!P586+'Program Budget'!P641+'Program Budget'!P715+'Program Budget'!P789+'Program Budget'!P861+'Program Budget'!P920</f>
        <v>1</v>
      </c>
      <c r="N40" s="24">
        <f>'Program Budget'!R41+'Program Budget'!R182+'Program Budget'!R244+'Program Budget'!R303+'Program Budget'!R372+'Program Budget'!R439+'Program Budget'!R511+'Program Budget'!R586+'Program Budget'!R641+'Program Budget'!R715+'Program Budget'!R789+'Program Budget'!R861+'Program Budget'!R920</f>
        <v>17364.375</v>
      </c>
      <c r="O40" s="72">
        <f>'Program Budget'!T41</f>
        <v>12</v>
      </c>
      <c r="P40" s="23">
        <f>'Program Budget'!S41+'Program Budget'!S182+'Program Budget'!S244+'Program Budget'!S303+'Program Budget'!S372+'Program Budget'!S439+'Program Budget'!S511+'Program Budget'!S586+'Program Budget'!S641+'Program Budget'!S715+'Program Budget'!S789+'Program Budget'!S861+'Program Budget'!S920</f>
        <v>1</v>
      </c>
      <c r="Q40" s="24">
        <f>'Program Budget'!U41+'Program Budget'!U182+'Program Budget'!U244+'Program Budget'!U303+'Program Budget'!U372+'Program Budget'!U439+'Program Budget'!U511+'Program Budget'!U586+'Program Budget'!U641+'Program Budget'!U715+'Program Budget'!U789+'Program Budget'!U861+'Program Budget'!U920</f>
        <v>18232.59375</v>
      </c>
      <c r="R40" s="72">
        <f>'Program Budget'!W41</f>
        <v>11</v>
      </c>
      <c r="S40" s="23">
        <f>'Program Budget'!V41+'Program Budget'!V182+'Program Budget'!V244+'Program Budget'!V303+'Program Budget'!V372+'Program Budget'!V439+'Program Budget'!V511+'Program Budget'!V586+'Program Budget'!V641+'Program Budget'!V715+'Program Budget'!V789+'Program Budget'!V861+'Program Budget'!V920</f>
        <v>1</v>
      </c>
      <c r="T40" s="24">
        <f>'Program Budget'!X41+'Program Budget'!X182+'Program Budget'!X244+'Program Budget'!X303+'Program Budget'!X372+'Program Budget'!X439+'Program Budget'!X511+'Program Budget'!X586+'Program Budget'!X641+'Program Budget'!X715+'Program Budget'!X789+'Program Budget'!X861+'Program Budget'!X920</f>
        <v>17548.871484375002</v>
      </c>
      <c r="U40" s="531">
        <f t="shared" si="0"/>
        <v>96683.340234375006</v>
      </c>
      <c r="V40" s="532">
        <f t="shared" si="1"/>
        <v>68</v>
      </c>
      <c r="W40" s="534">
        <f t="shared" si="2"/>
        <v>1421.813826976103</v>
      </c>
    </row>
    <row r="41" spans="2:28" s="8" customFormat="1" outlineLevel="1">
      <c r="B41" s="22" t="str">
        <f>'Program Budget'!D42</f>
        <v>Accountant</v>
      </c>
      <c r="C41" s="72">
        <f>'Program Budget'!G42</f>
        <v>3</v>
      </c>
      <c r="D41" s="23">
        <f>'Program Budget'!E42+'Program Budget'!E183+'Program Budget'!E245+'Program Budget'!E304+'Program Budget'!E373+'Program Budget'!E440+'Program Budget'!E512+'Program Budget'!E587+'Program Budget'!E642+'Program Budget'!E716+'Program Budget'!E790+'Program Budget'!E862+'Program Budget'!E921</f>
        <v>1</v>
      </c>
      <c r="E41" s="24">
        <f>'Program Budget'!I42+'Program Budget'!I183+'Program Budget'!I245+'Program Budget'!I304+'Program Budget'!I373+'Program Budget'!I440+'Program Budget'!I512+'Program Budget'!I587+'Program Budget'!I642+'Program Budget'!I716+'Program Budget'!I790+'Program Budget'!I862+'Program Budget'!I921</f>
        <v>3000</v>
      </c>
      <c r="F41" s="72">
        <f>'Program Budget'!K42</f>
        <v>12</v>
      </c>
      <c r="G41" s="23">
        <f>'Program Budget'!J42+'Program Budget'!J183+'Program Budget'!J245+'Program Budget'!J304+'Program Budget'!J373+'Program Budget'!J440+'Program Budget'!J512+'Program Budget'!J587+'Program Budget'!J642+'Program Budget'!J716+'Program Budget'!J790+'Program Budget'!J862+'Program Budget'!J921</f>
        <v>1</v>
      </c>
      <c r="H41" s="24">
        <f>'Program Budget'!L42+'Program Budget'!L183+'Program Budget'!L245+'Program Budget'!L304+'Program Budget'!L373+'Program Budget'!L440+'Program Budget'!L512+'Program Budget'!L587+'Program Budget'!L642+'Program Budget'!L716+'Program Budget'!L790+'Program Budget'!L862+'Program Budget'!L921</f>
        <v>12600</v>
      </c>
      <c r="I41" s="72">
        <f>'Program Budget'!N42</f>
        <v>12</v>
      </c>
      <c r="J41" s="23">
        <f>'Program Budget'!M42+'Program Budget'!M183+'Program Budget'!M245+'Program Budget'!M304+'Program Budget'!M373+'Program Budget'!M440+'Program Budget'!M512+'Program Budget'!M587+'Program Budget'!M642+'Program Budget'!M716+'Program Budget'!M790+'Program Budget'!M862+'Program Budget'!M921</f>
        <v>1</v>
      </c>
      <c r="K41" s="24">
        <f>'Program Budget'!O42+'Program Budget'!O183+'Program Budget'!O245+'Program Budget'!O304+'Program Budget'!O373+'Program Budget'!O440+'Program Budget'!O512+'Program Budget'!O587+'Program Budget'!O642+'Program Budget'!O716+'Program Budget'!O790+'Program Budget'!O862+'Program Budget'!O921</f>
        <v>13230</v>
      </c>
      <c r="L41" s="72">
        <f>'Program Budget'!Q42</f>
        <v>12</v>
      </c>
      <c r="M41" s="23">
        <f>'Program Budget'!P42+'Program Budget'!P183+'Program Budget'!P245+'Program Budget'!P304+'Program Budget'!P373+'Program Budget'!P440+'Program Budget'!P512+'Program Budget'!P587+'Program Budget'!P642+'Program Budget'!P716+'Program Budget'!P790+'Program Budget'!P862+'Program Budget'!P921</f>
        <v>1</v>
      </c>
      <c r="N41" s="24">
        <f>'Program Budget'!R42+'Program Budget'!R183+'Program Budget'!R245+'Program Budget'!R304+'Program Budget'!R373+'Program Budget'!R440+'Program Budget'!R512+'Program Budget'!R587+'Program Budget'!R642+'Program Budget'!R716+'Program Budget'!R790+'Program Budget'!R862+'Program Budget'!R921</f>
        <v>13891.5</v>
      </c>
      <c r="O41" s="72">
        <f>'Program Budget'!T42</f>
        <v>12</v>
      </c>
      <c r="P41" s="23">
        <f>'Program Budget'!S42+'Program Budget'!S183+'Program Budget'!S245+'Program Budget'!S304+'Program Budget'!S373+'Program Budget'!S440+'Program Budget'!S512+'Program Budget'!S587+'Program Budget'!S642+'Program Budget'!S716+'Program Budget'!S790+'Program Budget'!S862+'Program Budget'!S921</f>
        <v>1</v>
      </c>
      <c r="Q41" s="24">
        <f>'Program Budget'!U42+'Program Budget'!U183+'Program Budget'!U245+'Program Budget'!U304+'Program Budget'!U373+'Program Budget'!U440+'Program Budget'!U512+'Program Budget'!U587+'Program Budget'!U642+'Program Budget'!U716+'Program Budget'!U790+'Program Budget'!U862+'Program Budget'!U921</f>
        <v>14586.075000000001</v>
      </c>
      <c r="R41" s="72">
        <f>'Program Budget'!W42</f>
        <v>9</v>
      </c>
      <c r="S41" s="23">
        <f>'Program Budget'!V42+'Program Budget'!V183+'Program Budget'!V245+'Program Budget'!V304+'Program Budget'!V373+'Program Budget'!V440+'Program Budget'!V512+'Program Budget'!V587+'Program Budget'!V642+'Program Budget'!V716+'Program Budget'!V790+'Program Budget'!V862+'Program Budget'!V921</f>
        <v>1</v>
      </c>
      <c r="T41" s="24">
        <f>'Program Budget'!X42+'Program Budget'!X183+'Program Budget'!X245+'Program Budget'!X304+'Program Budget'!X373+'Program Budget'!X440+'Program Budget'!X512+'Program Budget'!X587+'Program Budget'!X642+'Program Budget'!X716+'Program Budget'!X790+'Program Budget'!X862+'Program Budget'!X921</f>
        <v>11486.534062500001</v>
      </c>
      <c r="U41" s="531">
        <f t="shared" si="0"/>
        <v>68794.109062499992</v>
      </c>
      <c r="V41" s="532">
        <f t="shared" si="1"/>
        <v>60</v>
      </c>
      <c r="W41" s="534">
        <f t="shared" si="2"/>
        <v>1146.5684843749998</v>
      </c>
    </row>
    <row r="42" spans="2:28" s="8" customFormat="1" outlineLevel="1">
      <c r="B42" s="22" t="str">
        <f>'Program Budget'!D43</f>
        <v>Operation &amp; HR Manager</v>
      </c>
      <c r="C42" s="72">
        <f>'Program Budget'!G43</f>
        <v>9</v>
      </c>
      <c r="D42" s="23">
        <f>'Program Budget'!E43+'Program Budget'!E184+'Program Budget'!E246+'Program Budget'!E305+'Program Budget'!E374+'Program Budget'!E441+'Program Budget'!E513+'Program Budget'!E588+'Program Budget'!E643+'Program Budget'!E717+'Program Budget'!E791+'Program Budget'!E863+'Program Budget'!E922</f>
        <v>1</v>
      </c>
      <c r="E42" s="24">
        <f>'Program Budget'!I43+'Program Budget'!I184+'Program Budget'!I246+'Program Budget'!I305+'Program Budget'!I374+'Program Budget'!I441+'Program Budget'!I513+'Program Budget'!I588+'Program Budget'!I643+'Program Budget'!I717+'Program Budget'!I791+'Program Budget'!I863+'Program Budget'!I922</f>
        <v>16200</v>
      </c>
      <c r="F42" s="72">
        <f>'Program Budget'!K43</f>
        <v>12</v>
      </c>
      <c r="G42" s="23">
        <f>'Program Budget'!J43+'Program Budget'!J184+'Program Budget'!J246+'Program Budget'!J305+'Program Budget'!J374+'Program Budget'!J441+'Program Budget'!J513+'Program Budget'!J588+'Program Budget'!J643+'Program Budget'!J717+'Program Budget'!J791+'Program Budget'!J863+'Program Budget'!J922</f>
        <v>1</v>
      </c>
      <c r="H42" s="24">
        <f>'Program Budget'!L43+'Program Budget'!L184+'Program Budget'!L246+'Program Budget'!L305+'Program Budget'!L374+'Program Budget'!L441+'Program Budget'!L513+'Program Budget'!L588+'Program Budget'!L643+'Program Budget'!L717+'Program Budget'!L791+'Program Budget'!L863+'Program Budget'!L922</f>
        <v>22680</v>
      </c>
      <c r="I42" s="72">
        <f>'Program Budget'!N43</f>
        <v>12</v>
      </c>
      <c r="J42" s="23">
        <f>'Program Budget'!M43+'Program Budget'!M184+'Program Budget'!M246+'Program Budget'!M305+'Program Budget'!M374+'Program Budget'!M441+'Program Budget'!M513+'Program Budget'!M588+'Program Budget'!M643+'Program Budget'!M717+'Program Budget'!M791+'Program Budget'!M863+'Program Budget'!M922</f>
        <v>1</v>
      </c>
      <c r="K42" s="24">
        <f>'Program Budget'!O43+'Program Budget'!O184+'Program Budget'!O246+'Program Budget'!O305+'Program Budget'!O374+'Program Budget'!O441+'Program Budget'!O513+'Program Budget'!O588+'Program Budget'!O643+'Program Budget'!O717+'Program Budget'!O791+'Program Budget'!O863+'Program Budget'!O922</f>
        <v>23814</v>
      </c>
      <c r="L42" s="72">
        <f>'Program Budget'!Q43</f>
        <v>12</v>
      </c>
      <c r="M42" s="23">
        <f>'Program Budget'!P43+'Program Budget'!P184+'Program Budget'!P246+'Program Budget'!P305+'Program Budget'!P374+'Program Budget'!P441+'Program Budget'!P513+'Program Budget'!P588+'Program Budget'!P643+'Program Budget'!P717+'Program Budget'!P791+'Program Budget'!P863+'Program Budget'!P922</f>
        <v>1</v>
      </c>
      <c r="N42" s="24">
        <f>'Program Budget'!R43+'Program Budget'!R184+'Program Budget'!R246+'Program Budget'!R305+'Program Budget'!R374+'Program Budget'!R441+'Program Budget'!R513+'Program Budget'!R588+'Program Budget'!R643+'Program Budget'!R717+'Program Budget'!R791+'Program Budget'!R863+'Program Budget'!R922</f>
        <v>25004.7</v>
      </c>
      <c r="O42" s="72">
        <f>'Program Budget'!T43</f>
        <v>12</v>
      </c>
      <c r="P42" s="23">
        <f>'Program Budget'!S43+'Program Budget'!S184+'Program Budget'!S246+'Program Budget'!S305+'Program Budget'!S374+'Program Budget'!S441+'Program Budget'!S513+'Program Budget'!S588+'Program Budget'!S643+'Program Budget'!S717+'Program Budget'!S791+'Program Budget'!S863+'Program Budget'!S922</f>
        <v>1</v>
      </c>
      <c r="Q42" s="24">
        <f>'Program Budget'!U43+'Program Budget'!U184+'Program Budget'!U246+'Program Budget'!U305+'Program Budget'!U374+'Program Budget'!U441+'Program Budget'!U513+'Program Budget'!U588+'Program Budget'!U643+'Program Budget'!U717+'Program Budget'!U791+'Program Budget'!U863+'Program Budget'!U922</f>
        <v>26254.935000000001</v>
      </c>
      <c r="R42" s="72">
        <f>'Program Budget'!W43</f>
        <v>11</v>
      </c>
      <c r="S42" s="23">
        <f>'Program Budget'!V43+'Program Budget'!V184+'Program Budget'!V246+'Program Budget'!V305+'Program Budget'!V374+'Program Budget'!V441+'Program Budget'!V513+'Program Budget'!V588+'Program Budget'!V643+'Program Budget'!V717+'Program Budget'!V791+'Program Budget'!V863+'Program Budget'!V922</f>
        <v>1</v>
      </c>
      <c r="T42" s="24">
        <f>'Program Budget'!X43+'Program Budget'!X184+'Program Budget'!X246+'Program Budget'!X305+'Program Budget'!X374+'Program Budget'!X441+'Program Budget'!X513+'Program Budget'!X588+'Program Budget'!X643+'Program Budget'!X717+'Program Budget'!X791+'Program Budget'!X863+'Program Budget'!X922</f>
        <v>25270.374937500004</v>
      </c>
      <c r="U42" s="531">
        <f t="shared" si="0"/>
        <v>139224.0099375</v>
      </c>
      <c r="V42" s="532">
        <f t="shared" si="1"/>
        <v>68</v>
      </c>
      <c r="W42" s="534">
        <f t="shared" si="2"/>
        <v>2047.4119108455882</v>
      </c>
    </row>
    <row r="43" spans="2:28" s="8" customFormat="1" outlineLevel="1">
      <c r="B43" s="22" t="str">
        <f>'Program Budget'!D44</f>
        <v>Administrative Assistant - (2 Individuals)</v>
      </c>
      <c r="C43" s="72">
        <f>'Program Budget'!G44</f>
        <v>6</v>
      </c>
      <c r="D43" s="23">
        <f>'Program Budget'!E44+'Program Budget'!E185+'Program Budget'!E247+'Program Budget'!E306+'Program Budget'!E375+'Program Budget'!E442+'Program Budget'!E514+'Program Budget'!E589+'Program Budget'!E644+'Program Budget'!E718+'Program Budget'!E792+'Program Budget'!E864+'Program Budget'!E923</f>
        <v>1</v>
      </c>
      <c r="E43" s="24">
        <f>'Program Budget'!I44+'Program Budget'!I185+'Program Budget'!I247+'Program Budget'!I306+'Program Budget'!I375+'Program Budget'!I442+'Program Budget'!I514+'Program Budget'!I589+'Program Budget'!I644+'Program Budget'!I718+'Program Budget'!I792+'Program Budget'!I864+'Program Budget'!I923</f>
        <v>4500</v>
      </c>
      <c r="F43" s="72">
        <f>'Program Budget'!K44</f>
        <v>24</v>
      </c>
      <c r="G43" s="23">
        <f>'Program Budget'!J44+'Program Budget'!J185+'Program Budget'!J247+'Program Budget'!J306+'Program Budget'!J375+'Program Budget'!J442+'Program Budget'!J514+'Program Budget'!J589+'Program Budget'!J644+'Program Budget'!J718+'Program Budget'!J792+'Program Budget'!J864+'Program Budget'!J923</f>
        <v>1</v>
      </c>
      <c r="H43" s="24">
        <f>'Program Budget'!L44+'Program Budget'!L185+'Program Budget'!L247+'Program Budget'!L306+'Program Budget'!L375+'Program Budget'!L442+'Program Budget'!L514+'Program Budget'!L589+'Program Budget'!L644+'Program Budget'!L718+'Program Budget'!L792+'Program Budget'!L864+'Program Budget'!L923</f>
        <v>18900</v>
      </c>
      <c r="I43" s="72">
        <f>'Program Budget'!N44</f>
        <v>24</v>
      </c>
      <c r="J43" s="23">
        <f>'Program Budget'!M44+'Program Budget'!M185+'Program Budget'!M247+'Program Budget'!M306+'Program Budget'!M375+'Program Budget'!M442+'Program Budget'!M514+'Program Budget'!M589+'Program Budget'!M644+'Program Budget'!M718+'Program Budget'!M792+'Program Budget'!M864+'Program Budget'!M923</f>
        <v>1</v>
      </c>
      <c r="K43" s="24">
        <f>'Program Budget'!O44+'Program Budget'!O185+'Program Budget'!O247+'Program Budget'!O306+'Program Budget'!O375+'Program Budget'!O442+'Program Budget'!O514+'Program Budget'!O589+'Program Budget'!O644+'Program Budget'!O718+'Program Budget'!O792+'Program Budget'!O864+'Program Budget'!O923</f>
        <v>19845</v>
      </c>
      <c r="L43" s="72">
        <f>'Program Budget'!Q44</f>
        <v>24</v>
      </c>
      <c r="M43" s="23">
        <f>'Program Budget'!P44+'Program Budget'!P185+'Program Budget'!P247+'Program Budget'!P306+'Program Budget'!P375+'Program Budget'!P442+'Program Budget'!P514+'Program Budget'!P589+'Program Budget'!P644+'Program Budget'!P718+'Program Budget'!P792+'Program Budget'!P864+'Program Budget'!P923</f>
        <v>1</v>
      </c>
      <c r="N43" s="24">
        <f>'Program Budget'!R44+'Program Budget'!R185+'Program Budget'!R247+'Program Budget'!R306+'Program Budget'!R375+'Program Budget'!R442+'Program Budget'!R514+'Program Budget'!R589+'Program Budget'!R644+'Program Budget'!R718+'Program Budget'!R792+'Program Budget'!R864+'Program Budget'!R923</f>
        <v>20837.25</v>
      </c>
      <c r="O43" s="72">
        <f>'Program Budget'!T44</f>
        <v>24</v>
      </c>
      <c r="P43" s="23">
        <f>'Program Budget'!S44+'Program Budget'!S185+'Program Budget'!S247+'Program Budget'!S306+'Program Budget'!S375+'Program Budget'!S442+'Program Budget'!S514+'Program Budget'!S589+'Program Budget'!S644+'Program Budget'!S718+'Program Budget'!S792+'Program Budget'!S864+'Program Budget'!S923</f>
        <v>1</v>
      </c>
      <c r="Q43" s="24">
        <f>'Program Budget'!U44+'Program Budget'!U185+'Program Budget'!U247+'Program Budget'!U306+'Program Budget'!U375+'Program Budget'!U442+'Program Budget'!U514+'Program Budget'!U589+'Program Budget'!U644+'Program Budget'!U718+'Program Budget'!U792+'Program Budget'!U864+'Program Budget'!U923</f>
        <v>21879.112499999999</v>
      </c>
      <c r="R43" s="72">
        <f>'Program Budget'!W44</f>
        <v>10</v>
      </c>
      <c r="S43" s="23">
        <f>'Program Budget'!V44+'Program Budget'!V185+'Program Budget'!V247+'Program Budget'!V306+'Program Budget'!V375+'Program Budget'!V442+'Program Budget'!V514+'Program Budget'!V589+'Program Budget'!V644+'Program Budget'!V718+'Program Budget'!V792+'Program Budget'!V864+'Program Budget'!V923</f>
        <v>1</v>
      </c>
      <c r="T43" s="24">
        <f>'Program Budget'!X44+'Program Budget'!X185+'Program Budget'!X247+'Program Budget'!X306+'Program Budget'!X375+'Program Budget'!X442+'Program Budget'!X514+'Program Budget'!X589+'Program Budget'!X644+'Program Budget'!X718+'Program Budget'!X792+'Program Budget'!X864+'Program Budget'!X923</f>
        <v>9572.1117187500004</v>
      </c>
      <c r="U43" s="531">
        <f t="shared" si="0"/>
        <v>95533.474218750009</v>
      </c>
      <c r="V43" s="532">
        <f t="shared" si="1"/>
        <v>112</v>
      </c>
      <c r="W43" s="534">
        <f t="shared" si="2"/>
        <v>852.97744838169649</v>
      </c>
      <c r="X43" s="139"/>
    </row>
    <row r="44" spans="2:28" s="8" customFormat="1" outlineLevel="1">
      <c r="B44" s="22" t="str">
        <f>'Program Budget'!D45</f>
        <v>Driver - (2 Individuals)</v>
      </c>
      <c r="C44" s="72">
        <f>'Program Budget'!G45</f>
        <v>6</v>
      </c>
      <c r="D44" s="23">
        <f>'Program Budget'!E45+'Program Budget'!E186+'Program Budget'!E248+'Program Budget'!E307+'Program Budget'!E376+'Program Budget'!E443+'Program Budget'!E515+'Program Budget'!E590+'Program Budget'!E645+'Program Budget'!E719+'Program Budget'!E793+'Program Budget'!E865+'Program Budget'!E924</f>
        <v>1</v>
      </c>
      <c r="E44" s="24">
        <f>'Program Budget'!I45+'Program Budget'!I186+'Program Budget'!I248+'Program Budget'!I307+'Program Budget'!I376+'Program Budget'!I443+'Program Budget'!I515+'Program Budget'!I590+'Program Budget'!I645+'Program Budget'!I719+'Program Budget'!I793+'Program Budget'!I865+'Program Budget'!I924</f>
        <v>3000</v>
      </c>
      <c r="F44" s="72">
        <f>'Program Budget'!K45</f>
        <v>24</v>
      </c>
      <c r="G44" s="23">
        <f>'Program Budget'!J45+'Program Budget'!J186+'Program Budget'!J248+'Program Budget'!J307+'Program Budget'!J376+'Program Budget'!J443+'Program Budget'!J515+'Program Budget'!J590+'Program Budget'!J645+'Program Budget'!J719+'Program Budget'!J793+'Program Budget'!J865+'Program Budget'!J924</f>
        <v>1</v>
      </c>
      <c r="H44" s="24">
        <f>'Program Budget'!L45+'Program Budget'!L186+'Program Budget'!L248+'Program Budget'!L307+'Program Budget'!L376+'Program Budget'!L443+'Program Budget'!L515+'Program Budget'!L590+'Program Budget'!L645+'Program Budget'!L719+'Program Budget'!L793+'Program Budget'!L865+'Program Budget'!L924</f>
        <v>12600</v>
      </c>
      <c r="I44" s="72">
        <f>'Program Budget'!N45</f>
        <v>24</v>
      </c>
      <c r="J44" s="23">
        <f>'Program Budget'!M45+'Program Budget'!M186+'Program Budget'!M248+'Program Budget'!M307+'Program Budget'!M376+'Program Budget'!M443+'Program Budget'!M515+'Program Budget'!M590+'Program Budget'!M645+'Program Budget'!M719+'Program Budget'!M793+'Program Budget'!M865+'Program Budget'!M924</f>
        <v>1</v>
      </c>
      <c r="K44" s="24">
        <f>'Program Budget'!O45+'Program Budget'!O186+'Program Budget'!O248+'Program Budget'!O307+'Program Budget'!O376+'Program Budget'!O443+'Program Budget'!O515+'Program Budget'!O590+'Program Budget'!O645+'Program Budget'!O719+'Program Budget'!O793+'Program Budget'!O865+'Program Budget'!O924</f>
        <v>13230</v>
      </c>
      <c r="L44" s="72">
        <f>'Program Budget'!Q45</f>
        <v>24</v>
      </c>
      <c r="M44" s="23">
        <f>'Program Budget'!P45+'Program Budget'!P186+'Program Budget'!P248+'Program Budget'!P307+'Program Budget'!P376+'Program Budget'!P443+'Program Budget'!P515+'Program Budget'!P590+'Program Budget'!P645+'Program Budget'!P719+'Program Budget'!P793+'Program Budget'!P865+'Program Budget'!P924</f>
        <v>1</v>
      </c>
      <c r="N44" s="24">
        <f>'Program Budget'!R45+'Program Budget'!R186+'Program Budget'!R248+'Program Budget'!R307+'Program Budget'!R376+'Program Budget'!R443+'Program Budget'!R515+'Program Budget'!R590+'Program Budget'!R645+'Program Budget'!R719+'Program Budget'!R793+'Program Budget'!R865+'Program Budget'!R924</f>
        <v>13891.5</v>
      </c>
      <c r="O44" s="72">
        <f>'Program Budget'!T45</f>
        <v>24</v>
      </c>
      <c r="P44" s="23">
        <f>'Program Budget'!S45+'Program Budget'!S186+'Program Budget'!S248+'Program Budget'!S307+'Program Budget'!S376+'Program Budget'!S443+'Program Budget'!S515+'Program Budget'!S590+'Program Budget'!S645+'Program Budget'!S719+'Program Budget'!S793+'Program Budget'!S865+'Program Budget'!S924</f>
        <v>1</v>
      </c>
      <c r="Q44" s="24">
        <f>'Program Budget'!U45+'Program Budget'!U186+'Program Budget'!U248+'Program Budget'!U307+'Program Budget'!U376+'Program Budget'!U443+'Program Budget'!U515+'Program Budget'!U590+'Program Budget'!U645+'Program Budget'!U719+'Program Budget'!U793+'Program Budget'!U865+'Program Budget'!U924</f>
        <v>14586.075000000001</v>
      </c>
      <c r="R44" s="72">
        <f>'Program Budget'!W45</f>
        <v>18</v>
      </c>
      <c r="S44" s="23">
        <f>'Program Budget'!V45+'Program Budget'!V186+'Program Budget'!V248+'Program Budget'!V307+'Program Budget'!V376+'Program Budget'!V443+'Program Budget'!V515+'Program Budget'!V590+'Program Budget'!V645+'Program Budget'!V719+'Program Budget'!V793+'Program Budget'!V865+'Program Budget'!V924</f>
        <v>1</v>
      </c>
      <c r="T44" s="24">
        <f>'Program Budget'!X45+'Program Budget'!X186+'Program Budget'!X248+'Program Budget'!X307+'Program Budget'!X376+'Program Budget'!X443+'Program Budget'!X515+'Program Budget'!X590+'Program Budget'!X645+'Program Budget'!X719+'Program Budget'!X793+'Program Budget'!X865+'Program Budget'!X924</f>
        <v>11486.534062500001</v>
      </c>
      <c r="U44" s="531">
        <f t="shared" si="0"/>
        <v>68794.109062499992</v>
      </c>
      <c r="V44" s="532">
        <f t="shared" si="1"/>
        <v>120</v>
      </c>
      <c r="W44" s="534">
        <f t="shared" si="2"/>
        <v>573.2842421874999</v>
      </c>
      <c r="X44" s="139"/>
    </row>
    <row r="45" spans="2:28" s="8" customFormat="1" ht="24.6" outlineLevel="1">
      <c r="B45" s="20" t="s">
        <v>651</v>
      </c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2" t="s">
        <v>652</v>
      </c>
      <c r="AB45" s="573"/>
    </row>
    <row r="46" spans="2:28" s="8" customFormat="1" outlineLevel="1">
      <c r="B46" s="22" t="str">
        <f>'Program Budget'!D47</f>
        <v>Senior Vice President of Programs</v>
      </c>
      <c r="C46" s="72">
        <f>'Program Budget'!G47</f>
        <v>12</v>
      </c>
      <c r="D46" s="23">
        <f>'Program Budget'!E47+'Program Budget'!E187+'Program Budget'!E249+'Program Budget'!E308+'Program Budget'!E377+'Program Budget'!E444+'Program Budget'!E516+'Program Budget'!E591+'Program Budget'!E646+'Program Budget'!E720+'Program Budget'!E794+'Program Budget'!E866+'Program Budget'!E925</f>
        <v>0.35</v>
      </c>
      <c r="E46" s="24">
        <f>'Program Budget'!I47</f>
        <v>56700</v>
      </c>
      <c r="F46" s="72">
        <f>'Program Budget'!K47</f>
        <v>12</v>
      </c>
      <c r="G46" s="23">
        <f>'Program Budget'!J47+'Program Budget'!J187+'Program Budget'!J249+'Program Budget'!J308+'Program Budget'!J377+'Program Budget'!J444+'Program Budget'!J516+'Program Budget'!J591+'Program Budget'!J646+'Program Budget'!J720+'Program Budget'!J794+'Program Budget'!J866+'Program Budget'!J925</f>
        <v>0.35</v>
      </c>
      <c r="H46" s="24">
        <f>'Program Budget'!L47</f>
        <v>59534.999999999993</v>
      </c>
      <c r="I46" s="72">
        <f>'Program Budget'!N47</f>
        <v>12</v>
      </c>
      <c r="J46" s="23">
        <f>'Program Budget'!M47+'Program Budget'!M187+'Program Budget'!M249+'Program Budget'!M308+'Program Budget'!M377+'Program Budget'!M444+'Program Budget'!M516+'Program Budget'!M591+'Program Budget'!M646+'Program Budget'!M720+'Program Budget'!M794+'Program Budget'!M866+'Program Budget'!M925</f>
        <v>0.35</v>
      </c>
      <c r="K46" s="24">
        <f>'Program Budget'!O47</f>
        <v>62511.75</v>
      </c>
      <c r="L46" s="72">
        <f>'Program Budget'!Q47</f>
        <v>12</v>
      </c>
      <c r="M46" s="23">
        <f>'Program Budget'!P47+'Program Budget'!P187+'Program Budget'!P249+'Program Budget'!P308+'Program Budget'!P377+'Program Budget'!P444+'Program Budget'!P516+'Program Budget'!P591+'Program Budget'!P646+'Program Budget'!P720+'Program Budget'!P794+'Program Budget'!P866+'Program Budget'!P925</f>
        <v>0.35</v>
      </c>
      <c r="N46" s="24">
        <f>'Program Budget'!R47</f>
        <v>65637.337500000009</v>
      </c>
      <c r="O46" s="72">
        <f>'Program Budget'!T47</f>
        <v>12</v>
      </c>
      <c r="P46" s="23">
        <f>'Program Budget'!S47+'Program Budget'!S187+'Program Budget'!S249+'Program Budget'!S308+'Program Budget'!S377+'Program Budget'!S444+'Program Budget'!S516+'Program Budget'!S591+'Program Budget'!S646+'Program Budget'!S720+'Program Budget'!S794+'Program Budget'!S866+'Program Budget'!S925</f>
        <v>0.35</v>
      </c>
      <c r="Q46" s="24">
        <f>'Program Budget'!U47</f>
        <v>68919.204375000016</v>
      </c>
      <c r="R46" s="72">
        <f>'Program Budget'!W47</f>
        <v>12</v>
      </c>
      <c r="S46" s="23">
        <f>'Program Budget'!V47+'Program Budget'!V187+'Program Budget'!V249+'Program Budget'!V308+'Program Budget'!V377+'Program Budget'!V444+'Program Budget'!V516+'Program Budget'!V591+'Program Budget'!V646+'Program Budget'!V720+'Program Budget'!V794+'Program Budget'!V866+'Program Budget'!V925</f>
        <v>0.35</v>
      </c>
      <c r="T46" s="24">
        <f>'Program Budget'!X47</f>
        <v>72365.164593750014</v>
      </c>
      <c r="U46" s="531">
        <f>E46+H46+K46+N46+Q46+T46</f>
        <v>385668.45646875008</v>
      </c>
      <c r="V46" s="532">
        <f>C46+F46+I46+L46+O46+R46</f>
        <v>72</v>
      </c>
      <c r="W46" s="534">
        <f>U46/V46</f>
        <v>5356.5063398437514</v>
      </c>
      <c r="X46" s="139">
        <f>(13500+(13500*1.05)+(13500*1.05*1.05)+(13500*1.05*1.05*1.05)+(13500*1.05*1.05*1.05*1.05)+(13500*1.05*1.05*1.05*1.05*1.05))/6</f>
        <v>15304.303828125003</v>
      </c>
      <c r="Y46" s="139"/>
    </row>
    <row r="47" spans="2:28" s="8" customFormat="1" outlineLevel="1">
      <c r="B47" s="22" t="str">
        <f>'Program Budget'!D48</f>
        <v xml:space="preserve">Program Director </v>
      </c>
      <c r="C47" s="72">
        <f>'Program Budget'!G48</f>
        <v>12</v>
      </c>
      <c r="D47" s="23">
        <f>'Program Budget'!E48+'Program Budget'!E188+'Program Budget'!E250+'Program Budget'!E309+'Program Budget'!E378+'Program Budget'!E445+'Program Budget'!E517+'Program Budget'!E592+'Program Budget'!E647+'Program Budget'!E721+'Program Budget'!E795+'Program Budget'!E867+'Program Budget'!E926</f>
        <v>0.9</v>
      </c>
      <c r="E47" s="24">
        <f>'Program Budget'!I48</f>
        <v>135000</v>
      </c>
      <c r="F47" s="72">
        <f>'Program Budget'!K48</f>
        <v>12</v>
      </c>
      <c r="G47" s="23">
        <f>'Program Budget'!J48+'Program Budget'!J188+'Program Budget'!J250+'Program Budget'!J309+'Program Budget'!J378+'Program Budget'!J445+'Program Budget'!J517+'Program Budget'!J592+'Program Budget'!J647+'Program Budget'!J721+'Program Budget'!J795+'Program Budget'!J867+'Program Budget'!J926</f>
        <v>0.9</v>
      </c>
      <c r="H47" s="24">
        <f>'Program Budget'!L48</f>
        <v>141750</v>
      </c>
      <c r="I47" s="72">
        <f>'Program Budget'!N48</f>
        <v>12</v>
      </c>
      <c r="J47" s="23">
        <f>'Program Budget'!M48+'Program Budget'!M188+'Program Budget'!M250+'Program Budget'!M309+'Program Budget'!M378+'Program Budget'!M445+'Program Budget'!M517+'Program Budget'!M592+'Program Budget'!M647+'Program Budget'!M721+'Program Budget'!M795+'Program Budget'!M867+'Program Budget'!M926</f>
        <v>0.9</v>
      </c>
      <c r="K47" s="24">
        <f>'Program Budget'!O48</f>
        <v>148837.5</v>
      </c>
      <c r="L47" s="72">
        <f>'Program Budget'!Q48</f>
        <v>12</v>
      </c>
      <c r="M47" s="23">
        <f>'Program Budget'!P48+'Program Budget'!P188+'Program Budget'!P250+'Program Budget'!P309+'Program Budget'!P378+'Program Budget'!P445+'Program Budget'!P517+'Program Budget'!P592+'Program Budget'!P647+'Program Budget'!P721+'Program Budget'!P795+'Program Budget'!P867+'Program Budget'!P926</f>
        <v>0.9</v>
      </c>
      <c r="N47" s="24">
        <f>'Program Budget'!R48</f>
        <v>156279.375</v>
      </c>
      <c r="O47" s="72">
        <f>'Program Budget'!T48</f>
        <v>12</v>
      </c>
      <c r="P47" s="23">
        <f>'Program Budget'!S48+'Program Budget'!S188+'Program Budget'!S250+'Program Budget'!S309+'Program Budget'!S378+'Program Budget'!S445+'Program Budget'!S517+'Program Budget'!S592+'Program Budget'!S647+'Program Budget'!S721+'Program Budget'!S795+'Program Budget'!S867+'Program Budget'!S926</f>
        <v>0.9</v>
      </c>
      <c r="Q47" s="24">
        <f>'Program Budget'!U48</f>
        <v>164093.34375</v>
      </c>
      <c r="R47" s="72">
        <f>'Program Budget'!W48</f>
        <v>12</v>
      </c>
      <c r="S47" s="23">
        <f>'Program Budget'!V48+'Program Budget'!V188+'Program Budget'!V250+'Program Budget'!V309+'Program Budget'!V378+'Program Budget'!V445+'Program Budget'!V517+'Program Budget'!V592+'Program Budget'!V647+'Program Budget'!V721+'Program Budget'!V795+'Program Budget'!V867+'Program Budget'!V926</f>
        <v>0.9</v>
      </c>
      <c r="T47" s="24">
        <f>'Program Budget'!X48</f>
        <v>172298.01093750002</v>
      </c>
      <c r="U47" s="531">
        <f t="shared" ref="U47:U50" si="3">E47+H47+K47+N47+Q47+T47</f>
        <v>918258.22968750005</v>
      </c>
      <c r="V47" s="532">
        <f t="shared" ref="V47:V50" si="4">C47+F47+I47+L47+O47+R47</f>
        <v>72</v>
      </c>
      <c r="W47" s="534">
        <f t="shared" ref="W47:W50" si="5">U47/V47</f>
        <v>12753.586523437501</v>
      </c>
      <c r="X47" s="139">
        <f>(12500+(12500*1.05)+(12500*1.05*1.05)+(12500*1.05*1.05*1.05)+(12500*1.05*1.05*1.05*1.05)+(12500*1.05*1.05*1.05*1.05*1.05))/6</f>
        <v>14170.651692708334</v>
      </c>
    </row>
    <row r="48" spans="2:28" s="8" customFormat="1" outlineLevel="1">
      <c r="B48" s="22" t="str">
        <f>'Program Budget'!D49</f>
        <v>Compliance &amp; Contracts Director</v>
      </c>
      <c r="C48" s="72">
        <f>'Program Budget'!G49</f>
        <v>12</v>
      </c>
      <c r="D48" s="23">
        <f>'Program Budget'!E49+'Program Budget'!E189+'Program Budget'!E251+'Program Budget'!E310+'Program Budget'!E379+'Program Budget'!E446+'Program Budget'!E518+'Program Budget'!E593+'Program Budget'!E648+'Program Budget'!E722+'Program Budget'!E796+'Program Budget'!E868+'Program Budget'!E927</f>
        <v>0.2</v>
      </c>
      <c r="E48" s="24">
        <f>'Program Budget'!I49</f>
        <v>22000</v>
      </c>
      <c r="F48" s="72">
        <f>'Program Budget'!K49</f>
        <v>12</v>
      </c>
      <c r="G48" s="23">
        <f>'Program Budget'!J49+'Program Budget'!J189+'Program Budget'!J251+'Program Budget'!J310+'Program Budget'!J379+'Program Budget'!J446+'Program Budget'!J518+'Program Budget'!J593+'Program Budget'!J648+'Program Budget'!J722+'Program Budget'!J796+'Program Budget'!J868+'Program Budget'!J927</f>
        <v>0.2</v>
      </c>
      <c r="H48" s="24">
        <f>'Program Budget'!L49</f>
        <v>23100</v>
      </c>
      <c r="I48" s="72">
        <f>'Program Budget'!N49</f>
        <v>12</v>
      </c>
      <c r="J48" s="23">
        <f>'Program Budget'!M49+'Program Budget'!M189+'Program Budget'!M251+'Program Budget'!M310+'Program Budget'!M379+'Program Budget'!M446+'Program Budget'!M518+'Program Budget'!M593+'Program Budget'!M648+'Program Budget'!M722+'Program Budget'!M796+'Program Budget'!M868+'Program Budget'!M927</f>
        <v>0.2</v>
      </c>
      <c r="K48" s="24">
        <f>'Program Budget'!O49</f>
        <v>24255</v>
      </c>
      <c r="L48" s="72">
        <f>'Program Budget'!Q49</f>
        <v>12</v>
      </c>
      <c r="M48" s="23">
        <f>'Program Budget'!P49+'Program Budget'!P189+'Program Budget'!P251+'Program Budget'!P310+'Program Budget'!P379+'Program Budget'!P446+'Program Budget'!P518+'Program Budget'!P593+'Program Budget'!P648+'Program Budget'!P722+'Program Budget'!P796+'Program Budget'!P868+'Program Budget'!P927</f>
        <v>0.2</v>
      </c>
      <c r="N48" s="24">
        <f>'Program Budget'!R49</f>
        <v>25467.75</v>
      </c>
      <c r="O48" s="72">
        <f>'Program Budget'!T49</f>
        <v>12</v>
      </c>
      <c r="P48" s="23">
        <f>'Program Budget'!S49+'Program Budget'!S189+'Program Budget'!S251+'Program Budget'!S310+'Program Budget'!S379+'Program Budget'!S446+'Program Budget'!S518+'Program Budget'!S593+'Program Budget'!S648+'Program Budget'!S722+'Program Budget'!S796+'Program Budget'!S868+'Program Budget'!S927</f>
        <v>0.2</v>
      </c>
      <c r="Q48" s="24">
        <f>'Program Budget'!U49</f>
        <v>26741.137500000001</v>
      </c>
      <c r="R48" s="72">
        <f>'Program Budget'!W49</f>
        <v>12</v>
      </c>
      <c r="S48" s="23">
        <f>'Program Budget'!V49+'Program Budget'!V189+'Program Budget'!V251+'Program Budget'!V310+'Program Budget'!V379+'Program Budget'!V446+'Program Budget'!V518+'Program Budget'!V593+'Program Budget'!V648+'Program Budget'!V722+'Program Budget'!V796+'Program Budget'!V868+'Program Budget'!V927</f>
        <v>0.2</v>
      </c>
      <c r="T48" s="24">
        <f>'Program Budget'!X49</f>
        <v>28078.194375000003</v>
      </c>
      <c r="U48" s="531">
        <f t="shared" si="3"/>
        <v>149642.081875</v>
      </c>
      <c r="V48" s="532">
        <f t="shared" si="4"/>
        <v>72</v>
      </c>
      <c r="W48" s="534">
        <f t="shared" si="5"/>
        <v>2078.3622482638889</v>
      </c>
      <c r="X48" s="139">
        <f>(9167+(9167*1.05)+(9167*1.05*1.05)+(9167*1.05*1.05*1.05)+(9167*1.05*1.05*1.05*1.05)+(9167*1.05*1.05*1.05*1.05*1.05))/6</f>
        <v>10392.189125364583</v>
      </c>
    </row>
    <row r="49" spans="2:24" s="8" customFormat="1" outlineLevel="1">
      <c r="B49" s="22" t="str">
        <f>'Program Budget'!D50</f>
        <v>Associate Director</v>
      </c>
      <c r="C49" s="72">
        <f>'Program Budget'!G50</f>
        <v>12</v>
      </c>
      <c r="D49" s="23">
        <f>'Program Budget'!E50+'Program Budget'!E190+'Program Budget'!E252+'Program Budget'!E311+'Program Budget'!E380+'Program Budget'!E447+'Program Budget'!E519+'Program Budget'!E594+'Program Budget'!E649+'Program Budget'!E723+'Program Budget'!E797+'Program Budget'!E869+'Program Budget'!E928</f>
        <v>1</v>
      </c>
      <c r="E49" s="24">
        <f>'Program Budget'!I50</f>
        <v>90000</v>
      </c>
      <c r="F49" s="72">
        <f>'Program Budget'!K50</f>
        <v>12</v>
      </c>
      <c r="G49" s="23">
        <f>'Program Budget'!J50+'Program Budget'!J190+'Program Budget'!J252+'Program Budget'!J311+'Program Budget'!J380+'Program Budget'!J447+'Program Budget'!J519+'Program Budget'!J594+'Program Budget'!J649+'Program Budget'!J723+'Program Budget'!J797+'Program Budget'!J869+'Program Budget'!J928</f>
        <v>1</v>
      </c>
      <c r="H49" s="24">
        <f>'Program Budget'!L50</f>
        <v>94500</v>
      </c>
      <c r="I49" s="72">
        <f>'Program Budget'!N50</f>
        <v>12</v>
      </c>
      <c r="J49" s="23">
        <f>'Program Budget'!M50+'Program Budget'!M190+'Program Budget'!M252+'Program Budget'!M311+'Program Budget'!M380+'Program Budget'!M447+'Program Budget'!M519+'Program Budget'!M594+'Program Budget'!M649+'Program Budget'!M723+'Program Budget'!M797+'Program Budget'!M869+'Program Budget'!M928</f>
        <v>1</v>
      </c>
      <c r="K49" s="24">
        <f>'Program Budget'!O50</f>
        <v>99225</v>
      </c>
      <c r="L49" s="72">
        <f>'Program Budget'!Q50</f>
        <v>12</v>
      </c>
      <c r="M49" s="23">
        <f>'Program Budget'!P50+'Program Budget'!P190+'Program Budget'!P252+'Program Budget'!P311+'Program Budget'!P380+'Program Budget'!P447+'Program Budget'!P519+'Program Budget'!P594+'Program Budget'!P649+'Program Budget'!P723+'Program Budget'!P797+'Program Budget'!P869+'Program Budget'!P928</f>
        <v>1</v>
      </c>
      <c r="N49" s="24">
        <f>'Program Budget'!R50</f>
        <v>104186.25</v>
      </c>
      <c r="O49" s="72">
        <f>'Program Budget'!T50</f>
        <v>12</v>
      </c>
      <c r="P49" s="23">
        <f>'Program Budget'!S50+'Program Budget'!S190+'Program Budget'!S252+'Program Budget'!S311+'Program Budget'!S380+'Program Budget'!S447+'Program Budget'!S519+'Program Budget'!S594+'Program Budget'!S649+'Program Budget'!S723+'Program Budget'!S797+'Program Budget'!S869+'Program Budget'!S928</f>
        <v>1</v>
      </c>
      <c r="Q49" s="24">
        <f>'Program Budget'!U50</f>
        <v>109395.5625</v>
      </c>
      <c r="R49" s="72">
        <f>'Program Budget'!W50</f>
        <v>12</v>
      </c>
      <c r="S49" s="23">
        <f>'Program Budget'!V50+'Program Budget'!V190+'Program Budget'!V252+'Program Budget'!V311+'Program Budget'!V380+'Program Budget'!V447+'Program Budget'!V519+'Program Budget'!V594+'Program Budget'!V649+'Program Budget'!V723+'Program Budget'!V797+'Program Budget'!V869+'Program Budget'!V928</f>
        <v>1</v>
      </c>
      <c r="T49" s="24">
        <f>'Program Budget'!X50</f>
        <v>114865.34062500001</v>
      </c>
      <c r="U49" s="531">
        <f t="shared" si="3"/>
        <v>612172.15312499995</v>
      </c>
      <c r="V49" s="532">
        <f t="shared" si="4"/>
        <v>72</v>
      </c>
      <c r="W49" s="534">
        <f t="shared" si="5"/>
        <v>8502.3910156249985</v>
      </c>
      <c r="X49" s="139">
        <f>(7500+(7500*1.05)+(7500*1.05*1.05)+(7500*1.05*1.05*1.05)+(7500*1.05*1.05*1.05*1.05)+(7500*1.05*1.05*1.05*1.05*1.05))/6</f>
        <v>8502.3910156250004</v>
      </c>
    </row>
    <row r="50" spans="2:24" s="8" customFormat="1" outlineLevel="1">
      <c r="B50" s="22" t="str">
        <f>'Program Budget'!D51</f>
        <v xml:space="preserve">Senior Program Officer </v>
      </c>
      <c r="C50" s="72">
        <f>'Program Budget'!G51</f>
        <v>12</v>
      </c>
      <c r="D50" s="23">
        <f>'Program Budget'!E51+'Program Budget'!E191+'Program Budget'!E253+'Program Budget'!E312+'Program Budget'!E381+'Program Budget'!E448+'Program Budget'!E520+'Program Budget'!E595+'Program Budget'!E650+'Program Budget'!E724+'Program Budget'!E798+'Program Budget'!E870+'Program Budget'!E929</f>
        <v>0.2</v>
      </c>
      <c r="E50" s="24">
        <f>'Program Budget'!I51</f>
        <v>14200</v>
      </c>
      <c r="F50" s="72">
        <f>'Program Budget'!K51</f>
        <v>12</v>
      </c>
      <c r="G50" s="23">
        <f>'Program Budget'!J51+'Program Budget'!J191+'Program Budget'!J253+'Program Budget'!J312+'Program Budget'!J381+'Program Budget'!J448+'Program Budget'!J520+'Program Budget'!J595+'Program Budget'!J650+'Program Budget'!J724+'Program Budget'!J798+'Program Budget'!J870+'Program Budget'!J929</f>
        <v>0.05</v>
      </c>
      <c r="H50" s="24">
        <f>'Program Budget'!L51</f>
        <v>3727.5</v>
      </c>
      <c r="I50" s="72">
        <f>'Program Budget'!N51</f>
        <v>12</v>
      </c>
      <c r="J50" s="23">
        <f>'Program Budget'!M51+'Program Budget'!M191+'Program Budget'!M253+'Program Budget'!M312+'Program Budget'!M381+'Program Budget'!M448+'Program Budget'!M520+'Program Budget'!M595+'Program Budget'!M650+'Program Budget'!M724+'Program Budget'!M798+'Program Budget'!M870+'Program Budget'!M929</f>
        <v>0.05</v>
      </c>
      <c r="K50" s="24">
        <f>'Program Budget'!O51</f>
        <v>3913.875</v>
      </c>
      <c r="L50" s="72">
        <f>'Program Budget'!Q51</f>
        <v>12</v>
      </c>
      <c r="M50" s="23">
        <f>'Program Budget'!P51+'Program Budget'!P191+'Program Budget'!P253+'Program Budget'!P312+'Program Budget'!P381+'Program Budget'!P448+'Program Budget'!P520+'Program Budget'!P595+'Program Budget'!P650+'Program Budget'!P724+'Program Budget'!P798+'Program Budget'!P870+'Program Budget'!P929</f>
        <v>0.05</v>
      </c>
      <c r="N50" s="24">
        <f>'Program Budget'!R51</f>
        <v>4109.5687500000004</v>
      </c>
      <c r="O50" s="72">
        <f>'Program Budget'!T51</f>
        <v>12</v>
      </c>
      <c r="P50" s="23">
        <f>'Program Budget'!S51+'Program Budget'!S191+'Program Budget'!S253+'Program Budget'!S312+'Program Budget'!S381+'Program Budget'!S448+'Program Budget'!S520+'Program Budget'!S595+'Program Budget'!S650+'Program Budget'!S724+'Program Budget'!S798+'Program Budget'!S870+'Program Budget'!S929</f>
        <v>0.05</v>
      </c>
      <c r="Q50" s="24">
        <f>'Program Budget'!U51</f>
        <v>4315.0471875000003</v>
      </c>
      <c r="R50" s="72">
        <f>'Program Budget'!W51</f>
        <v>12</v>
      </c>
      <c r="S50" s="23">
        <f>'Program Budget'!V51+'Program Budget'!V191+'Program Budget'!V253+'Program Budget'!V312+'Program Budget'!V381+'Program Budget'!V448+'Program Budget'!V520+'Program Budget'!V595+'Program Budget'!V650+'Program Budget'!V724+'Program Budget'!V798+'Program Budget'!V870+'Program Budget'!V929</f>
        <v>0.2</v>
      </c>
      <c r="T50" s="24">
        <f>'Program Budget'!X51</f>
        <v>18123.198187500002</v>
      </c>
      <c r="U50" s="531">
        <f t="shared" si="3"/>
        <v>48389.189125000004</v>
      </c>
      <c r="V50" s="532">
        <f t="shared" si="4"/>
        <v>72</v>
      </c>
      <c r="W50" s="534">
        <f t="shared" si="5"/>
        <v>672.07207118055567</v>
      </c>
      <c r="X50" s="139">
        <f>(5917+(5917*1.05)+(5917*1.05*1.05)+(5917*1.05*1.05*1.05)+(5917*1.05*1.05*1.05*1.05)+(5917*1.05*1.05*1.05*1.05*1.05))/6</f>
        <v>6707.8196852604169</v>
      </c>
    </row>
    <row r="51" spans="2:24" s="8" customFormat="1" outlineLevel="1">
      <c r="B51" s="27" t="s">
        <v>140</v>
      </c>
      <c r="C51" s="28"/>
      <c r="D51" s="28"/>
      <c r="E51" s="29">
        <f>SUM(E11:E50)</f>
        <v>952633.33333333337</v>
      </c>
      <c r="F51" s="28"/>
      <c r="G51" s="28"/>
      <c r="H51" s="29">
        <f>SUM(H11:H50)</f>
        <v>1298272.5</v>
      </c>
      <c r="I51" s="28"/>
      <c r="J51" s="28"/>
      <c r="K51" s="29">
        <f>SUM(K11:K50)</f>
        <v>1374762.375</v>
      </c>
      <c r="L51" s="28"/>
      <c r="M51" s="28"/>
      <c r="N51" s="29">
        <f>SUM(N11:N50)</f>
        <v>1452182.6812499999</v>
      </c>
      <c r="O51" s="28"/>
      <c r="P51" s="28"/>
      <c r="Q51" s="29">
        <f>SUM(Q11:Q50)</f>
        <v>1513852.2590625002</v>
      </c>
      <c r="R51" s="28"/>
      <c r="S51" s="28"/>
      <c r="T51" s="29">
        <f>SUM(T11:T50)</f>
        <v>1241609.2467187499</v>
      </c>
      <c r="U51" s="29">
        <f>SUM(U11:U50)</f>
        <v>7833312.3953645835</v>
      </c>
      <c r="V51" s="533"/>
      <c r="W51" s="29"/>
    </row>
    <row r="52" spans="2:24">
      <c r="K52" s="236"/>
      <c r="Q52" s="236"/>
      <c r="T52" s="236"/>
      <c r="U52" s="236"/>
      <c r="V52" s="17"/>
    </row>
    <row r="53" spans="2:24">
      <c r="F53" s="139"/>
      <c r="H53" s="9"/>
      <c r="I53" s="139"/>
      <c r="N53" s="236"/>
      <c r="Q53" s="236"/>
      <c r="T53" s="236"/>
      <c r="U53" s="537"/>
      <c r="V53" s="17"/>
    </row>
    <row r="54" spans="2:24">
      <c r="F54" s="139"/>
      <c r="H54" s="9"/>
      <c r="I54" s="139"/>
      <c r="Q54" s="236"/>
      <c r="T54" s="236"/>
      <c r="U54" s="537"/>
      <c r="V54" s="17"/>
    </row>
    <row r="55" spans="2:24">
      <c r="F55" s="139"/>
      <c r="H55" s="9"/>
      <c r="I55" s="139"/>
      <c r="Q55" s="236"/>
      <c r="T55" s="236"/>
      <c r="U55" s="537"/>
    </row>
    <row r="56" spans="2:24">
      <c r="F56" s="139"/>
      <c r="H56" s="235"/>
      <c r="I56" s="139"/>
      <c r="Q56" s="236"/>
      <c r="T56" s="236"/>
      <c r="U56" s="537"/>
    </row>
    <row r="57" spans="2:24">
      <c r="F57" s="139"/>
      <c r="H57" s="9"/>
      <c r="I57" s="139"/>
      <c r="Q57" s="236"/>
      <c r="T57" s="236"/>
      <c r="U57" s="537"/>
    </row>
    <row r="58" spans="2:24">
      <c r="F58" s="139"/>
      <c r="H58" s="9"/>
      <c r="I58" s="139"/>
      <c r="Q58" s="236"/>
      <c r="T58" s="236"/>
      <c r="U58" s="537"/>
    </row>
    <row r="59" spans="2:24">
      <c r="F59" s="139"/>
      <c r="H59" s="9"/>
      <c r="I59" s="139"/>
      <c r="U59" s="236"/>
    </row>
    <row r="60" spans="2:24">
      <c r="E60" s="223"/>
      <c r="F60" s="139"/>
      <c r="H60" s="9"/>
      <c r="I60" s="139"/>
    </row>
    <row r="61" spans="2:24">
      <c r="F61" s="139"/>
      <c r="H61" s="9"/>
      <c r="I61" s="139"/>
    </row>
    <row r="62" spans="2:24">
      <c r="F62" s="139"/>
      <c r="H62" s="9"/>
      <c r="I62" s="139"/>
    </row>
    <row r="63" spans="2:24">
      <c r="F63" s="139"/>
      <c r="H63" s="9"/>
      <c r="I63" s="139"/>
    </row>
    <row r="64" spans="2:24">
      <c r="F64" s="139"/>
      <c r="H64" s="9"/>
      <c r="I64" s="139"/>
    </row>
    <row r="65" spans="6:9">
      <c r="F65" s="139"/>
      <c r="H65" s="9"/>
      <c r="I65" s="139"/>
    </row>
    <row r="66" spans="6:9">
      <c r="F66" s="139"/>
      <c r="H66" s="9"/>
      <c r="I66" s="139"/>
    </row>
    <row r="67" spans="6:9">
      <c r="F67" s="139"/>
      <c r="H67" s="9"/>
      <c r="I67" s="139"/>
    </row>
    <row r="68" spans="6:9">
      <c r="F68" s="139"/>
      <c r="H68" s="9"/>
      <c r="I68" s="139"/>
    </row>
    <row r="69" spans="6:9">
      <c r="F69" s="139"/>
      <c r="H69" s="9"/>
      <c r="I69" s="139"/>
    </row>
    <row r="70" spans="6:9">
      <c r="F70" s="139"/>
      <c r="I70" s="139"/>
    </row>
  </sheetData>
  <mergeCells count="5">
    <mergeCell ref="B3:W3"/>
    <mergeCell ref="B4:W4"/>
    <mergeCell ref="B5:W5"/>
    <mergeCell ref="B1:W1"/>
    <mergeCell ref="B2:W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F4268-E8D8-4A35-8F92-0A7D5C638A21}">
  <dimension ref="A1:D17"/>
  <sheetViews>
    <sheetView zoomScaleNormal="160" workbookViewId="0">
      <selection activeCell="B8" sqref="B8"/>
    </sheetView>
  </sheetViews>
  <sheetFormatPr defaultColWidth="8.5546875" defaultRowHeight="12.3"/>
  <cols>
    <col min="1" max="1" width="36.83203125" customWidth="1"/>
    <col min="2" max="2" width="18.44140625" style="365" customWidth="1"/>
    <col min="4" max="4" width="13.44140625" bestFit="1" customWidth="1"/>
  </cols>
  <sheetData>
    <row r="1" spans="1:4" ht="14.1">
      <c r="A1" s="648" t="s">
        <v>653</v>
      </c>
      <c r="B1" s="648"/>
    </row>
    <row r="2" spans="1:4">
      <c r="A2" s="1" t="s">
        <v>654</v>
      </c>
      <c r="B2" s="364">
        <v>0</v>
      </c>
    </row>
    <row r="3" spans="1:4">
      <c r="A3" s="1" t="s">
        <v>655</v>
      </c>
      <c r="B3" s="364">
        <v>0</v>
      </c>
    </row>
    <row r="4" spans="1:4">
      <c r="A4" s="1" t="s">
        <v>656</v>
      </c>
      <c r="B4" s="364">
        <f>'Personnel &amp; LOE Summary'!U35*0.367625-0.02</f>
        <v>34358.713389062505</v>
      </c>
    </row>
    <row r="5" spans="1:4">
      <c r="A5" s="1" t="s">
        <v>657</v>
      </c>
      <c r="B5" s="364">
        <f>B4*'Program Budget'!H56</f>
        <v>16581.515081561563</v>
      </c>
    </row>
    <row r="6" spans="1:4">
      <c r="A6" s="1" t="s">
        <v>57</v>
      </c>
      <c r="B6" s="364">
        <v>0</v>
      </c>
    </row>
    <row r="7" spans="1:4">
      <c r="A7" s="1" t="s">
        <v>59</v>
      </c>
      <c r="B7" s="364">
        <v>0</v>
      </c>
    </row>
    <row r="8" spans="1:4">
      <c r="A8" s="1" t="s">
        <v>51</v>
      </c>
      <c r="B8" s="551">
        <f>'Program Budget'!Y974+'Program Budget'!Y975+'Program Budget'!Y976</f>
        <v>3282393.1055208333</v>
      </c>
      <c r="D8" s="550"/>
    </row>
    <row r="9" spans="1:4">
      <c r="A9" s="1" t="s">
        <v>63</v>
      </c>
      <c r="B9" s="364">
        <f>SUM(B2:B3)*20%</f>
        <v>0</v>
      </c>
      <c r="D9" s="550"/>
    </row>
    <row r="10" spans="1:4">
      <c r="A10" s="1" t="s">
        <v>658</v>
      </c>
      <c r="B10" s="364">
        <f>SUM(B4:B7)*20%</f>
        <v>10188.045694124814</v>
      </c>
    </row>
    <row r="11" spans="1:4">
      <c r="A11" s="1" t="s">
        <v>659</v>
      </c>
      <c r="B11" s="364">
        <f>B8*20%</f>
        <v>656478.62110416673</v>
      </c>
      <c r="D11" s="550"/>
    </row>
    <row r="12" spans="1:4" ht="12.6" thickBot="1">
      <c r="A12" s="366" t="s">
        <v>540</v>
      </c>
      <c r="B12" s="367">
        <f>SUM(B2:B11)</f>
        <v>4000000.000789749</v>
      </c>
      <c r="D12" s="550"/>
    </row>
    <row r="13" spans="1:4" ht="12.9" thickTop="1" thickBot="1">
      <c r="A13" s="366" t="s">
        <v>660</v>
      </c>
      <c r="B13" s="528">
        <f>B12/40000000</f>
        <v>0.10000000001974373</v>
      </c>
    </row>
    <row r="14" spans="1:4" ht="12.6" thickTop="1">
      <c r="D14" s="550"/>
    </row>
    <row r="17" spans="4:4">
      <c r="D17" s="550"/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S281"/>
  <sheetViews>
    <sheetView topLeftCell="A30" zoomScale="80" zoomScaleNormal="80" workbookViewId="0">
      <selection activeCell="D48" sqref="D48"/>
    </sheetView>
  </sheetViews>
  <sheetFormatPr defaultColWidth="8.5546875" defaultRowHeight="12.6" outlineLevelRow="1"/>
  <cols>
    <col min="1" max="1" width="2.5546875" style="6" customWidth="1"/>
    <col min="2" max="2" width="52.1640625" style="7" bestFit="1" customWidth="1"/>
    <col min="3" max="3" width="5.44140625" style="7" customWidth="1"/>
    <col min="4" max="4" width="12.27734375" style="8" customWidth="1"/>
    <col min="5" max="5" width="13.83203125" style="9" customWidth="1"/>
    <col min="6" max="6" width="12.83203125" style="7" customWidth="1"/>
    <col min="7" max="16" width="13.44140625" style="11" customWidth="1"/>
    <col min="17" max="17" width="9.44140625" style="7" bestFit="1" customWidth="1"/>
    <col min="18" max="16384" width="8.5546875" style="6"/>
  </cols>
  <sheetData>
    <row r="1" spans="2:17" ht="13.5" customHeight="1">
      <c r="B1" s="649" t="s">
        <v>71</v>
      </c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49"/>
      <c r="P1" s="649"/>
      <c r="Q1" s="649"/>
    </row>
    <row r="2" spans="2:17" ht="13.5" customHeight="1">
      <c r="B2" s="649" t="s">
        <v>72</v>
      </c>
      <c r="C2" s="649"/>
      <c r="D2" s="649"/>
      <c r="E2" s="649"/>
      <c r="F2" s="649"/>
      <c r="G2" s="649"/>
      <c r="H2" s="649"/>
      <c r="I2" s="649"/>
      <c r="J2" s="649"/>
      <c r="K2" s="649"/>
      <c r="L2" s="649"/>
      <c r="M2" s="649"/>
      <c r="N2" s="649"/>
      <c r="O2" s="649"/>
      <c r="P2" s="649"/>
      <c r="Q2" s="649"/>
    </row>
    <row r="3" spans="2:17">
      <c r="B3" s="649" t="s">
        <v>73</v>
      </c>
      <c r="C3" s="649"/>
      <c r="D3" s="649"/>
      <c r="E3" s="649"/>
      <c r="F3" s="649"/>
      <c r="G3" s="649"/>
      <c r="H3" s="649"/>
      <c r="I3" s="649"/>
      <c r="J3" s="649"/>
      <c r="K3" s="649"/>
      <c r="L3" s="649"/>
      <c r="M3" s="649"/>
      <c r="N3" s="649"/>
      <c r="O3" s="649"/>
      <c r="P3" s="649"/>
      <c r="Q3" s="649"/>
    </row>
    <row r="4" spans="2:17">
      <c r="B4" s="649" t="s">
        <v>74</v>
      </c>
      <c r="C4" s="649"/>
      <c r="D4" s="649"/>
      <c r="E4" s="649"/>
      <c r="F4" s="649"/>
      <c r="G4" s="649"/>
      <c r="H4" s="649"/>
      <c r="I4" s="649"/>
      <c r="J4" s="649"/>
      <c r="K4" s="649"/>
      <c r="L4" s="649"/>
      <c r="M4" s="649"/>
      <c r="N4" s="649"/>
      <c r="O4" s="649"/>
      <c r="P4" s="649"/>
      <c r="Q4" s="649"/>
    </row>
    <row r="5" spans="2:17">
      <c r="B5" s="649" t="s">
        <v>625</v>
      </c>
      <c r="C5" s="649"/>
      <c r="D5" s="649"/>
      <c r="E5" s="649"/>
      <c r="F5" s="649"/>
      <c r="G5" s="649"/>
      <c r="H5" s="649"/>
      <c r="I5" s="649"/>
      <c r="J5" s="649"/>
      <c r="K5" s="649"/>
      <c r="L5" s="649"/>
      <c r="M5" s="649"/>
      <c r="N5" s="649"/>
      <c r="O5" s="649"/>
      <c r="P5" s="649"/>
      <c r="Q5" s="649"/>
    </row>
    <row r="6" spans="2:17">
      <c r="B6" s="2"/>
      <c r="C6" s="2"/>
      <c r="D6" s="3"/>
      <c r="E6" s="3"/>
      <c r="F6" s="3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 s="227" customFormat="1" ht="61.5" customHeight="1">
      <c r="B7" s="225"/>
      <c r="C7" s="225"/>
      <c r="D7" s="226" t="s">
        <v>661</v>
      </c>
      <c r="E7" s="226" t="str">
        <f>'USDA Budget Summary'!A27</f>
        <v>Activity 1: Provide School Meals</v>
      </c>
      <c r="F7" s="226" t="str">
        <f>'USDA Budget Summary'!A28</f>
        <v>Activity 2: Distribution: School Supplies and Materials</v>
      </c>
      <c r="G7" s="226" t="str">
        <f>'USDA Budget Summary'!A29</f>
        <v>Activity 3: Training: Teacher and Administrators</v>
      </c>
      <c r="H7" s="226" t="str">
        <f>'USDA Budget Summary'!A30</f>
        <v>Activity 4: Enrollment Campaigns</v>
      </c>
      <c r="I7" s="226" t="str">
        <f>'USDA Budget Summary'!A31</f>
        <v>Activity 5: Building/Rehabilitation: Wells and Water Stations/Systems</v>
      </c>
      <c r="J7" s="226" t="str">
        <f>'USDA Budget Summary'!A32</f>
        <v>Activity 6: Training: Good Health and Nutrition Practices</v>
      </c>
      <c r="K7" s="226" t="str">
        <f>'USDA Budget Summary'!A33</f>
        <v>Activity 7: Training: Commodity Management</v>
      </c>
      <c r="L7" s="226" t="str">
        <f>'USDA Budget Summary'!A34</f>
        <v>Activity 8: Capacity Building: Local and Regional Level</v>
      </c>
      <c r="M7" s="226" t="str">
        <f>'USDA Budget Summary'!A35</f>
        <v>Activity 9: Capacity Building: National Level</v>
      </c>
      <c r="N7" s="226" t="str">
        <f>'USDA Budget Summary'!A36</f>
        <v>Activity 10: Develop Public-Private Partnerships to Support School Feeding Sustainability</v>
      </c>
      <c r="O7" s="226" t="str">
        <f>'USDA Budget Summary'!A37</f>
        <v xml:space="preserve">Activity 11: Expand Use of US Commodities in Honduras School Feeding Program </v>
      </c>
      <c r="P7" s="226" t="str">
        <f>'Program Budget'!D888</f>
        <v>Internal Transportation Storage and Handling (ITSH)</v>
      </c>
      <c r="Q7" s="226" t="s">
        <v>662</v>
      </c>
    </row>
    <row r="8" spans="2:17" s="17" customFormat="1" ht="12.3">
      <c r="B8" s="14" t="s">
        <v>535</v>
      </c>
      <c r="C8" s="14"/>
      <c r="D8" s="15" t="s">
        <v>647</v>
      </c>
      <c r="E8" s="15" t="s">
        <v>647</v>
      </c>
      <c r="F8" s="15" t="s">
        <v>648</v>
      </c>
      <c r="G8" s="15" t="s">
        <v>648</v>
      </c>
      <c r="H8" s="15"/>
      <c r="I8" s="15"/>
      <c r="J8" s="15"/>
      <c r="K8" s="15"/>
      <c r="L8" s="15"/>
      <c r="M8" s="15"/>
      <c r="N8" s="15"/>
      <c r="O8" s="15"/>
      <c r="P8" s="15"/>
      <c r="Q8" s="15" t="s">
        <v>648</v>
      </c>
    </row>
    <row r="9" spans="2:17" s="8" customFormat="1">
      <c r="B9" s="18" t="s">
        <v>649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2:17" s="8" customFormat="1" outlineLevel="1">
      <c r="B10" s="20" t="s">
        <v>650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</row>
    <row r="11" spans="2:17" s="8" customFormat="1" outlineLevel="1">
      <c r="B11" s="22" t="str">
        <f>'Program Budget'!D12</f>
        <v xml:space="preserve">Key Personnel: Chief of Party - Roger Sanchez O’Neill </v>
      </c>
      <c r="C11" s="22"/>
      <c r="D11" s="23">
        <v>1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f>SUM(D11:P11)</f>
        <v>1</v>
      </c>
    </row>
    <row r="12" spans="2:17" s="8" customFormat="1" outlineLevel="1">
      <c r="B12" s="22" t="str">
        <f>'Program Budget'!D13</f>
        <v>Key Personnel: Deputy Chief of Party - David Medina Mayo</v>
      </c>
      <c r="C12" s="22"/>
      <c r="D12" s="23">
        <v>1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f t="shared" ref="Q12:Q44" si="0">SUM(D12:P12)</f>
        <v>1</v>
      </c>
    </row>
    <row r="13" spans="2:17" s="8" customFormat="1" outlineLevel="1">
      <c r="B13" s="22" t="str">
        <f>'Program Budget'!D14</f>
        <v>Policy &amp; Sustainability Specialist</v>
      </c>
      <c r="C13" s="22"/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0.1</v>
      </c>
      <c r="L13" s="23">
        <v>0.2</v>
      </c>
      <c r="M13" s="23">
        <v>0.3</v>
      </c>
      <c r="N13" s="23">
        <v>0.3</v>
      </c>
      <c r="O13" s="23">
        <v>0.1</v>
      </c>
      <c r="P13" s="23">
        <v>0</v>
      </c>
      <c r="Q13" s="23">
        <f t="shared" si="0"/>
        <v>1.0000000000000002</v>
      </c>
    </row>
    <row r="14" spans="2:17" s="8" customFormat="1" outlineLevel="1">
      <c r="B14" s="22" t="str">
        <f>'Program Budget'!D15</f>
        <v xml:space="preserve">Education Director </v>
      </c>
      <c r="C14" s="22"/>
      <c r="D14" s="23">
        <v>0</v>
      </c>
      <c r="E14" s="23">
        <v>0</v>
      </c>
      <c r="F14" s="23">
        <v>0.1</v>
      </c>
      <c r="G14" s="23">
        <v>0.2</v>
      </c>
      <c r="H14" s="23">
        <v>0.2</v>
      </c>
      <c r="I14" s="23">
        <v>0</v>
      </c>
      <c r="J14" s="23">
        <v>0.2</v>
      </c>
      <c r="K14" s="23">
        <v>0</v>
      </c>
      <c r="L14" s="23">
        <v>0.1</v>
      </c>
      <c r="M14" s="23">
        <v>0.1</v>
      </c>
      <c r="N14" s="23">
        <v>0.1</v>
      </c>
      <c r="O14" s="23">
        <v>0</v>
      </c>
      <c r="P14" s="23">
        <v>0</v>
      </c>
      <c r="Q14" s="23">
        <f t="shared" si="0"/>
        <v>0.99999999999999989</v>
      </c>
    </row>
    <row r="15" spans="2:17" s="8" customFormat="1" outlineLevel="1">
      <c r="B15" s="22" t="str">
        <f>'Program Budget'!D16</f>
        <v>Education Specialist</v>
      </c>
      <c r="C15" s="22"/>
      <c r="D15" s="23">
        <v>0</v>
      </c>
      <c r="E15" s="23">
        <v>0</v>
      </c>
      <c r="F15" s="23">
        <v>0.1</v>
      </c>
      <c r="G15" s="23">
        <v>0.2</v>
      </c>
      <c r="H15" s="23">
        <v>0.2</v>
      </c>
      <c r="I15" s="23">
        <v>0</v>
      </c>
      <c r="J15" s="23">
        <v>0.2</v>
      </c>
      <c r="K15" s="23">
        <v>0</v>
      </c>
      <c r="L15" s="23">
        <v>0.1</v>
      </c>
      <c r="M15" s="23">
        <v>0.1</v>
      </c>
      <c r="N15" s="23">
        <v>0.1</v>
      </c>
      <c r="O15" s="23">
        <v>0</v>
      </c>
      <c r="P15" s="23">
        <v>0</v>
      </c>
      <c r="Q15" s="23">
        <f t="shared" si="0"/>
        <v>0.99999999999999989</v>
      </c>
    </row>
    <row r="16" spans="2:17" s="8" customFormat="1" outlineLevel="1">
      <c r="B16" s="22" t="str">
        <f>'Program Budget'!D17</f>
        <v>Education Officer</v>
      </c>
      <c r="C16" s="22"/>
      <c r="D16" s="23">
        <v>0</v>
      </c>
      <c r="E16" s="23">
        <v>0</v>
      </c>
      <c r="F16" s="23">
        <v>0.1</v>
      </c>
      <c r="G16" s="23">
        <v>0.2</v>
      </c>
      <c r="H16" s="23">
        <v>0.2</v>
      </c>
      <c r="I16" s="23">
        <v>0</v>
      </c>
      <c r="J16" s="23">
        <v>0.2</v>
      </c>
      <c r="K16" s="23">
        <v>0</v>
      </c>
      <c r="L16" s="23">
        <v>0.1</v>
      </c>
      <c r="M16" s="23">
        <v>0.1</v>
      </c>
      <c r="N16" s="23">
        <v>0.1</v>
      </c>
      <c r="O16" s="23">
        <v>0</v>
      </c>
      <c r="P16" s="23">
        <v>0</v>
      </c>
      <c r="Q16" s="23">
        <f t="shared" si="0"/>
        <v>0.99999999999999989</v>
      </c>
    </row>
    <row r="17" spans="2:17" s="8" customFormat="1" outlineLevel="1">
      <c r="B17" s="22" t="str">
        <f>'Program Budget'!D18</f>
        <v>Nutrition and Health Specialist</v>
      </c>
      <c r="C17" s="22"/>
      <c r="D17" s="23">
        <v>0</v>
      </c>
      <c r="E17" s="23">
        <v>0.25</v>
      </c>
      <c r="F17" s="23">
        <v>0</v>
      </c>
      <c r="G17" s="23">
        <v>0</v>
      </c>
      <c r="H17" s="23">
        <v>0</v>
      </c>
      <c r="I17" s="23">
        <v>0.25</v>
      </c>
      <c r="J17" s="23">
        <v>0.15</v>
      </c>
      <c r="K17" s="23">
        <v>0.1</v>
      </c>
      <c r="L17" s="23">
        <v>0.05</v>
      </c>
      <c r="M17" s="23">
        <v>0.05</v>
      </c>
      <c r="N17" s="23">
        <v>0.1</v>
      </c>
      <c r="O17" s="23">
        <v>0.05</v>
      </c>
      <c r="P17" s="23">
        <v>0</v>
      </c>
      <c r="Q17" s="23">
        <f t="shared" si="0"/>
        <v>1</v>
      </c>
    </row>
    <row r="18" spans="2:17" s="8" customFormat="1" outlineLevel="1">
      <c r="B18" s="22" t="str">
        <f>'Program Budget'!D19</f>
        <v>Nutrition Officer - (2 Individuals)</v>
      </c>
      <c r="C18" s="22"/>
      <c r="D18" s="23">
        <v>0</v>
      </c>
      <c r="E18" s="23">
        <v>0.85</v>
      </c>
      <c r="F18" s="23">
        <v>0</v>
      </c>
      <c r="G18" s="23">
        <v>0</v>
      </c>
      <c r="H18" s="23">
        <v>0</v>
      </c>
      <c r="I18" s="23">
        <v>0</v>
      </c>
      <c r="J18" s="23">
        <v>0.15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f t="shared" si="0"/>
        <v>1</v>
      </c>
    </row>
    <row r="19" spans="2:17" s="8" customFormat="1" outlineLevel="1">
      <c r="B19" s="22" t="str">
        <f>'Program Budget'!D20</f>
        <v>School Feeding Specialist</v>
      </c>
      <c r="C19" s="22"/>
      <c r="D19" s="23">
        <v>0</v>
      </c>
      <c r="E19" s="23">
        <v>0.4</v>
      </c>
      <c r="F19" s="23">
        <v>0</v>
      </c>
      <c r="G19" s="23">
        <v>0</v>
      </c>
      <c r="H19" s="23">
        <v>0</v>
      </c>
      <c r="I19" s="23">
        <v>0</v>
      </c>
      <c r="J19" s="23">
        <v>0.15</v>
      </c>
      <c r="K19" s="23">
        <v>0.25</v>
      </c>
      <c r="L19" s="23">
        <v>0.05</v>
      </c>
      <c r="M19" s="23">
        <v>0.05</v>
      </c>
      <c r="N19" s="23">
        <v>0.05</v>
      </c>
      <c r="O19" s="23">
        <v>0.05</v>
      </c>
      <c r="P19" s="23">
        <v>0</v>
      </c>
      <c r="Q19" s="23">
        <f t="shared" si="0"/>
        <v>1.0000000000000002</v>
      </c>
    </row>
    <row r="20" spans="2:17" s="8" customFormat="1" outlineLevel="1">
      <c r="B20" s="22" t="str">
        <f>'Program Budget'!D21</f>
        <v>Food Aid Monitors - (2 Individuals)</v>
      </c>
      <c r="C20" s="22"/>
      <c r="D20" s="23">
        <v>0</v>
      </c>
      <c r="E20" s="23">
        <v>0.85</v>
      </c>
      <c r="F20" s="23">
        <v>0</v>
      </c>
      <c r="G20" s="23">
        <v>0</v>
      </c>
      <c r="H20" s="23">
        <v>0</v>
      </c>
      <c r="I20" s="23">
        <v>0</v>
      </c>
      <c r="J20" s="23">
        <v>7.0000000000000007E-2</v>
      </c>
      <c r="K20" s="23">
        <v>0.08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f t="shared" si="0"/>
        <v>0.99999999999999989</v>
      </c>
    </row>
    <row r="21" spans="2:17" s="8" customFormat="1" outlineLevel="1">
      <c r="B21" s="22" t="str">
        <f>'Program Budget'!D22</f>
        <v>WASH Officer</v>
      </c>
      <c r="C21" s="22"/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1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f t="shared" si="0"/>
        <v>1</v>
      </c>
    </row>
    <row r="22" spans="2:17" s="8" customFormat="1" outlineLevel="1">
      <c r="B22" s="22" t="str">
        <f>'Program Budget'!D23</f>
        <v>Communications Specialist</v>
      </c>
      <c r="C22" s="22"/>
      <c r="D22" s="23">
        <v>0.5</v>
      </c>
      <c r="E22" s="23">
        <v>0</v>
      </c>
      <c r="F22" s="23">
        <v>0</v>
      </c>
      <c r="G22" s="23">
        <v>0</v>
      </c>
      <c r="H22" s="23">
        <v>0.1</v>
      </c>
      <c r="I22" s="23">
        <v>0</v>
      </c>
      <c r="J22" s="23">
        <v>0.15</v>
      </c>
      <c r="K22" s="23">
        <v>0</v>
      </c>
      <c r="L22" s="23">
        <v>0.1</v>
      </c>
      <c r="M22" s="23">
        <v>0</v>
      </c>
      <c r="N22" s="23">
        <v>0.15</v>
      </c>
      <c r="O22" s="23">
        <v>0</v>
      </c>
      <c r="P22" s="23">
        <v>0</v>
      </c>
      <c r="Q22" s="23">
        <f t="shared" si="0"/>
        <v>1</v>
      </c>
    </row>
    <row r="23" spans="2:17" s="8" customFormat="1" outlineLevel="1">
      <c r="B23" s="22" t="str">
        <f>'Program Budget'!D24</f>
        <v>Communications Officer</v>
      </c>
      <c r="C23" s="22"/>
      <c r="D23" s="23">
        <v>0</v>
      </c>
      <c r="E23" s="23">
        <v>0</v>
      </c>
      <c r="F23" s="23">
        <v>0</v>
      </c>
      <c r="G23" s="23">
        <v>0</v>
      </c>
      <c r="H23" s="23">
        <v>0.6</v>
      </c>
      <c r="I23" s="23">
        <v>0</v>
      </c>
      <c r="J23" s="23">
        <v>0.15</v>
      </c>
      <c r="K23" s="23">
        <v>0</v>
      </c>
      <c r="L23" s="23">
        <v>0.1</v>
      </c>
      <c r="M23" s="23">
        <v>0</v>
      </c>
      <c r="N23" s="23">
        <v>0.15</v>
      </c>
      <c r="O23" s="23">
        <v>0</v>
      </c>
      <c r="P23" s="23">
        <v>0</v>
      </c>
      <c r="Q23" s="23">
        <f t="shared" si="0"/>
        <v>1</v>
      </c>
    </row>
    <row r="24" spans="2:17" s="8" customFormat="1" outlineLevel="1">
      <c r="B24" s="22" t="str">
        <f>'Program Budget'!D25</f>
        <v>Education &amp; Community Engagement Specialist</v>
      </c>
      <c r="C24" s="22"/>
      <c r="D24" s="23">
        <v>0</v>
      </c>
      <c r="E24" s="23">
        <v>0.1</v>
      </c>
      <c r="F24" s="23">
        <v>0.1</v>
      </c>
      <c r="G24" s="23">
        <v>0.1</v>
      </c>
      <c r="H24" s="23">
        <v>0.15</v>
      </c>
      <c r="I24" s="23">
        <v>0.1</v>
      </c>
      <c r="J24" s="23">
        <v>0.1</v>
      </c>
      <c r="K24" s="23">
        <v>0.1</v>
      </c>
      <c r="L24" s="23">
        <v>0.1</v>
      </c>
      <c r="M24" s="23">
        <v>0.05</v>
      </c>
      <c r="N24" s="23">
        <v>0.05</v>
      </c>
      <c r="O24" s="23">
        <v>0.05</v>
      </c>
      <c r="P24" s="23">
        <v>0</v>
      </c>
      <c r="Q24" s="23">
        <f t="shared" si="0"/>
        <v>1</v>
      </c>
    </row>
    <row r="25" spans="2:17" s="8" customFormat="1" outlineLevel="1">
      <c r="B25" s="22" t="str">
        <f>'Program Budget'!D26</f>
        <v>Education &amp; Community Engagement Officer</v>
      </c>
      <c r="C25" s="22"/>
      <c r="D25" s="23">
        <v>0</v>
      </c>
      <c r="E25" s="23">
        <v>0.1</v>
      </c>
      <c r="F25" s="23">
        <v>0.1</v>
      </c>
      <c r="G25" s="23">
        <v>0.1</v>
      </c>
      <c r="H25" s="23">
        <v>0.15</v>
      </c>
      <c r="I25" s="23">
        <v>0.1</v>
      </c>
      <c r="J25" s="23">
        <v>0.1</v>
      </c>
      <c r="K25" s="23">
        <v>0.1</v>
      </c>
      <c r="L25" s="23">
        <v>0.1</v>
      </c>
      <c r="M25" s="23">
        <v>0.05</v>
      </c>
      <c r="N25" s="23">
        <v>0.05</v>
      </c>
      <c r="O25" s="23">
        <v>0.05</v>
      </c>
      <c r="P25" s="23">
        <v>0</v>
      </c>
      <c r="Q25" s="23">
        <f t="shared" si="0"/>
        <v>1</v>
      </c>
    </row>
    <row r="26" spans="2:17" s="8" customFormat="1" outlineLevel="1">
      <c r="B26" s="22" t="str">
        <f>'Program Budget'!D27</f>
        <v>Private Sector Specialist</v>
      </c>
      <c r="C26" s="22"/>
      <c r="D26" s="23">
        <v>0</v>
      </c>
      <c r="E26" s="23">
        <v>0</v>
      </c>
      <c r="F26" s="23">
        <v>0.05</v>
      </c>
      <c r="G26" s="23">
        <v>0</v>
      </c>
      <c r="H26" s="23">
        <v>0</v>
      </c>
      <c r="I26" s="23">
        <v>0.05</v>
      </c>
      <c r="J26" s="23">
        <v>0</v>
      </c>
      <c r="K26" s="23">
        <v>0</v>
      </c>
      <c r="L26" s="23">
        <v>0.1</v>
      </c>
      <c r="M26" s="23">
        <v>0.1</v>
      </c>
      <c r="N26" s="23">
        <v>0.7</v>
      </c>
      <c r="O26" s="23">
        <v>0</v>
      </c>
      <c r="P26" s="23">
        <v>0</v>
      </c>
      <c r="Q26" s="23">
        <f t="shared" si="0"/>
        <v>1</v>
      </c>
    </row>
    <row r="27" spans="2:17" s="8" customFormat="1" outlineLevel="1">
      <c r="B27" s="22" t="str">
        <f>'Program Budget'!D28</f>
        <v xml:space="preserve">Key Personnel: M&amp;E Director </v>
      </c>
      <c r="C27" s="22"/>
      <c r="D27" s="23">
        <v>1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f t="shared" si="0"/>
        <v>1</v>
      </c>
    </row>
    <row r="28" spans="2:17" s="8" customFormat="1" outlineLevel="1">
      <c r="B28" s="22" t="str">
        <f>'Program Budget'!D29</f>
        <v>M&amp;E Specialist</v>
      </c>
      <c r="C28" s="22"/>
      <c r="D28" s="23">
        <v>1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f t="shared" si="0"/>
        <v>1</v>
      </c>
    </row>
    <row r="29" spans="2:17" s="8" customFormat="1" outlineLevel="1">
      <c r="B29" s="22" t="str">
        <f>'Program Budget'!D30</f>
        <v>M&amp;E Officer</v>
      </c>
      <c r="C29" s="22"/>
      <c r="D29" s="23">
        <v>1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f t="shared" si="0"/>
        <v>1</v>
      </c>
    </row>
    <row r="30" spans="2:17" s="8" customFormat="1" outlineLevel="1">
      <c r="B30" s="22" t="str">
        <f>'Program Budget'!D31</f>
        <v>Supply Chain Manager</v>
      </c>
      <c r="C30" s="22"/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1</v>
      </c>
      <c r="Q30" s="23">
        <f t="shared" si="0"/>
        <v>1</v>
      </c>
    </row>
    <row r="31" spans="2:17" s="8" customFormat="1" outlineLevel="1">
      <c r="B31" s="22" t="str">
        <f>'Program Budget'!D32</f>
        <v>In-Country Logistics Specialist</v>
      </c>
      <c r="C31" s="22"/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1</v>
      </c>
      <c r="Q31" s="23">
        <f t="shared" si="0"/>
        <v>1</v>
      </c>
    </row>
    <row r="32" spans="2:17" s="8" customFormat="1" outlineLevel="1">
      <c r="B32" s="22" t="str">
        <f>'Program Budget'!D33</f>
        <v>US Commodity Logistics Specialist</v>
      </c>
      <c r="C32" s="22"/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0.2</v>
      </c>
      <c r="P32" s="23">
        <v>0.8</v>
      </c>
      <c r="Q32" s="23">
        <f t="shared" si="0"/>
        <v>1</v>
      </c>
    </row>
    <row r="33" spans="2:17" s="8" customFormat="1" outlineLevel="1">
      <c r="B33" s="22" t="str">
        <f>'Program Budget'!D34</f>
        <v>Warehouse Manager</v>
      </c>
      <c r="C33" s="22"/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3">
        <v>1</v>
      </c>
      <c r="Q33" s="23">
        <f t="shared" si="0"/>
        <v>1</v>
      </c>
    </row>
    <row r="34" spans="2:17" s="8" customFormat="1" outlineLevel="1">
      <c r="B34" s="22" t="str">
        <f>'Program Budget'!D35</f>
        <v>Warehouse Officer - (2 Individuals)</v>
      </c>
      <c r="C34" s="22"/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1</v>
      </c>
      <c r="Q34" s="23">
        <f t="shared" si="0"/>
        <v>1</v>
      </c>
    </row>
    <row r="35" spans="2:17" s="8" customFormat="1" outlineLevel="1">
      <c r="B35" s="22" t="str">
        <f>'Program Budget'!D36</f>
        <v xml:space="preserve">LRP Technical Specialist </v>
      </c>
      <c r="C35" s="22"/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1</v>
      </c>
      <c r="Q35" s="23">
        <f t="shared" si="0"/>
        <v>1</v>
      </c>
    </row>
    <row r="36" spans="2:17" s="8" customFormat="1" outlineLevel="1">
      <c r="B36" s="22" t="str">
        <f>'Program Budget'!D37</f>
        <v>Finance &amp; Administration Director</v>
      </c>
      <c r="C36" s="22"/>
      <c r="D36" s="23">
        <v>1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f t="shared" si="0"/>
        <v>1</v>
      </c>
    </row>
    <row r="37" spans="2:17" s="8" customFormat="1" outlineLevel="1">
      <c r="B37" s="22" t="str">
        <f>'Program Budget'!D38</f>
        <v>Contracts &amp; Compliance Manager</v>
      </c>
      <c r="C37" s="22"/>
      <c r="D37" s="23">
        <v>1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f t="shared" si="0"/>
        <v>1</v>
      </c>
    </row>
    <row r="38" spans="2:17" s="8" customFormat="1" outlineLevel="1">
      <c r="B38" s="22" t="str">
        <f>'Program Budget'!D39</f>
        <v>Grants &amp; Procurement Specialist</v>
      </c>
      <c r="C38" s="22"/>
      <c r="D38" s="23">
        <v>1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f t="shared" si="0"/>
        <v>1</v>
      </c>
    </row>
    <row r="39" spans="2:17" s="8" customFormat="1" outlineLevel="1">
      <c r="B39" s="22" t="str">
        <f>'Program Budget'!D40</f>
        <v>Grants &amp; Procurement Officer</v>
      </c>
      <c r="C39" s="22"/>
      <c r="D39" s="23">
        <v>1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f t="shared" si="0"/>
        <v>1</v>
      </c>
    </row>
    <row r="40" spans="2:17" s="8" customFormat="1" outlineLevel="1">
      <c r="B40" s="22" t="str">
        <f>'Program Budget'!D41</f>
        <v>Finance Officer</v>
      </c>
      <c r="C40" s="22"/>
      <c r="D40" s="23">
        <v>1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f t="shared" si="0"/>
        <v>1</v>
      </c>
    </row>
    <row r="41" spans="2:17" s="8" customFormat="1" outlineLevel="1">
      <c r="B41" s="22" t="str">
        <f>'Program Budget'!D42</f>
        <v>Accountant</v>
      </c>
      <c r="C41" s="22"/>
      <c r="D41" s="23">
        <v>1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f t="shared" si="0"/>
        <v>1</v>
      </c>
    </row>
    <row r="42" spans="2:17" s="8" customFormat="1" outlineLevel="1">
      <c r="B42" s="22" t="str">
        <f>'Program Budget'!D43</f>
        <v>Operation &amp; HR Manager</v>
      </c>
      <c r="C42" s="22"/>
      <c r="D42" s="23">
        <v>1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f t="shared" si="0"/>
        <v>1</v>
      </c>
    </row>
    <row r="43" spans="2:17" s="8" customFormat="1" outlineLevel="1">
      <c r="B43" s="22" t="str">
        <f>'Program Budget'!D44</f>
        <v>Administrative Assistant - (2 Individuals)</v>
      </c>
      <c r="C43" s="22"/>
      <c r="D43" s="23">
        <v>1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f t="shared" si="0"/>
        <v>1</v>
      </c>
    </row>
    <row r="44" spans="2:17" s="8" customFormat="1" outlineLevel="1">
      <c r="B44" s="22" t="str">
        <f>'Program Budget'!D45</f>
        <v>Driver - (2 Individuals)</v>
      </c>
      <c r="C44" s="22"/>
      <c r="D44" s="23">
        <v>1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f t="shared" si="0"/>
        <v>1</v>
      </c>
    </row>
    <row r="45" spans="2:17" s="8" customFormat="1" outlineLevel="1">
      <c r="B45" s="20" t="s">
        <v>651</v>
      </c>
      <c r="C45" s="20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</row>
    <row r="46" spans="2:17" s="8" customFormat="1" outlineLevel="1">
      <c r="B46" s="22" t="str">
        <f>'Program Budget'!D47</f>
        <v>Senior Vice President of Programs</v>
      </c>
      <c r="C46" s="22"/>
      <c r="D46" s="23">
        <v>0.35</v>
      </c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>
        <f>SUM(D46:O46)</f>
        <v>0.35</v>
      </c>
    </row>
    <row r="47" spans="2:17" s="8" customFormat="1" outlineLevel="1">
      <c r="B47" s="22" t="str">
        <f>'Program Budget'!D48</f>
        <v xml:space="preserve">Program Director </v>
      </c>
      <c r="C47" s="22"/>
      <c r="D47" s="23">
        <v>0.9</v>
      </c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>
        <f>SUM(D47:O47)</f>
        <v>0.9</v>
      </c>
    </row>
    <row r="48" spans="2:17" s="8" customFormat="1" outlineLevel="1">
      <c r="B48" s="22" t="str">
        <f>'Program Budget'!D49</f>
        <v>Compliance &amp; Contracts Director</v>
      </c>
      <c r="C48" s="22"/>
      <c r="D48" s="23">
        <v>0.2</v>
      </c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>
        <f>SUM(D48:O48)</f>
        <v>0.2</v>
      </c>
    </row>
    <row r="49" spans="2:17" s="8" customFormat="1" outlineLevel="1">
      <c r="B49" s="22" t="str">
        <f>'Program Budget'!D50</f>
        <v>Associate Director</v>
      </c>
      <c r="C49" s="22"/>
      <c r="D49" s="23">
        <v>1</v>
      </c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>
        <f>SUM(D49:O49)</f>
        <v>1</v>
      </c>
    </row>
    <row r="50" spans="2:17" s="8" customFormat="1" outlineLevel="1">
      <c r="B50" s="22" t="str">
        <f>'Program Budget'!D51</f>
        <v xml:space="preserve">Senior Program Officer </v>
      </c>
      <c r="C50" s="22"/>
      <c r="D50" s="23">
        <v>0.2</v>
      </c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>
        <f>SUM(D50:O50)</f>
        <v>0.2</v>
      </c>
    </row>
    <row r="51" spans="2:17" s="8" customFormat="1" outlineLevel="1">
      <c r="B51" s="27" t="s">
        <v>140</v>
      </c>
      <c r="C51" s="27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</row>
    <row r="52" spans="2:17">
      <c r="D52" s="11"/>
      <c r="E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11"/>
    </row>
    <row r="53" spans="2:17" s="227" customFormat="1" ht="58" customHeight="1">
      <c r="B53" s="225"/>
      <c r="C53" s="225"/>
      <c r="D53" s="226" t="str">
        <f t="shared" ref="D53:P53" si="1">D7</f>
        <v>Administration</v>
      </c>
      <c r="E53" s="226" t="str">
        <f t="shared" si="1"/>
        <v>Activity 1: Provide School Meals</v>
      </c>
      <c r="F53" s="226" t="str">
        <f t="shared" si="1"/>
        <v>Activity 2: Distribution: School Supplies and Materials</v>
      </c>
      <c r="G53" s="226" t="str">
        <f t="shared" si="1"/>
        <v>Activity 3: Training: Teacher and Administrators</v>
      </c>
      <c r="H53" s="226" t="str">
        <f t="shared" si="1"/>
        <v>Activity 4: Enrollment Campaigns</v>
      </c>
      <c r="I53" s="226" t="str">
        <f t="shared" si="1"/>
        <v>Activity 5: Building/Rehabilitation: Wells and Water Stations/Systems</v>
      </c>
      <c r="J53" s="226" t="str">
        <f t="shared" si="1"/>
        <v>Activity 6: Training: Good Health and Nutrition Practices</v>
      </c>
      <c r="K53" s="226" t="str">
        <f t="shared" si="1"/>
        <v>Activity 7: Training: Commodity Management</v>
      </c>
      <c r="L53" s="226" t="str">
        <f t="shared" si="1"/>
        <v>Activity 8: Capacity Building: Local and Regional Level</v>
      </c>
      <c r="M53" s="226" t="str">
        <f t="shared" si="1"/>
        <v>Activity 9: Capacity Building: National Level</v>
      </c>
      <c r="N53" s="226" t="str">
        <f t="shared" si="1"/>
        <v>Activity 10: Develop Public-Private Partnerships to Support School Feeding Sustainability</v>
      </c>
      <c r="O53" s="226" t="str">
        <f t="shared" si="1"/>
        <v xml:space="preserve">Activity 11: Expand Use of US Commodities in Honduras School Feeding Program </v>
      </c>
      <c r="P53" s="226" t="str">
        <f t="shared" si="1"/>
        <v>Internal Transportation Storage and Handling (ITSH)</v>
      </c>
      <c r="Q53" s="226" t="s">
        <v>662</v>
      </c>
    </row>
    <row r="54" spans="2:17" s="17" customFormat="1" ht="12.3">
      <c r="B54" s="14" t="s">
        <v>536</v>
      </c>
      <c r="C54" s="14"/>
      <c r="D54" s="15" t="s">
        <v>647</v>
      </c>
      <c r="E54" s="15" t="s">
        <v>647</v>
      </c>
      <c r="F54" s="15" t="s">
        <v>648</v>
      </c>
      <c r="G54" s="15" t="s">
        <v>648</v>
      </c>
      <c r="H54" s="15"/>
      <c r="I54" s="15"/>
      <c r="J54" s="15"/>
      <c r="K54" s="15"/>
      <c r="L54" s="15"/>
      <c r="M54" s="15"/>
      <c r="N54" s="15"/>
      <c r="O54" s="15"/>
      <c r="P54" s="15"/>
      <c r="Q54" s="15" t="s">
        <v>648</v>
      </c>
    </row>
    <row r="55" spans="2:17" s="8" customFormat="1">
      <c r="B55" s="18" t="s">
        <v>649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</row>
    <row r="56" spans="2:17" s="8" customFormat="1" outlineLevel="1">
      <c r="B56" s="20" t="s">
        <v>650</v>
      </c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</row>
    <row r="57" spans="2:17" s="8" customFormat="1" outlineLevel="1">
      <c r="B57" s="22" t="str">
        <f>'Program Budget'!D12</f>
        <v xml:space="preserve">Key Personnel: Chief of Party - Roger Sanchez O’Neill </v>
      </c>
      <c r="C57" s="22"/>
      <c r="D57" s="23">
        <v>1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f t="shared" ref="Q57:Q90" si="2">SUM(D57:P57)</f>
        <v>1</v>
      </c>
    </row>
    <row r="58" spans="2:17" s="8" customFormat="1" outlineLevel="1">
      <c r="B58" s="22" t="str">
        <f>'Program Budget'!D13</f>
        <v>Key Personnel: Deputy Chief of Party - David Medina Mayo</v>
      </c>
      <c r="C58" s="22"/>
      <c r="D58" s="23">
        <v>1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f t="shared" si="2"/>
        <v>1</v>
      </c>
    </row>
    <row r="59" spans="2:17" s="8" customFormat="1" outlineLevel="1">
      <c r="B59" s="22" t="str">
        <f>'Program Budget'!D14</f>
        <v>Policy &amp; Sustainability Specialist</v>
      </c>
      <c r="C59" s="22"/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0.1</v>
      </c>
      <c r="L59" s="23">
        <v>0.2</v>
      </c>
      <c r="M59" s="23">
        <v>0.3</v>
      </c>
      <c r="N59" s="23">
        <v>0.3</v>
      </c>
      <c r="O59" s="23">
        <v>0.1</v>
      </c>
      <c r="P59" s="23">
        <v>0</v>
      </c>
      <c r="Q59" s="23">
        <f t="shared" si="2"/>
        <v>1.0000000000000002</v>
      </c>
    </row>
    <row r="60" spans="2:17" s="8" customFormat="1" outlineLevel="1">
      <c r="B60" s="22" t="str">
        <f>'Program Budget'!D15</f>
        <v xml:space="preserve">Education Director </v>
      </c>
      <c r="C60" s="22"/>
      <c r="D60" s="23">
        <v>0</v>
      </c>
      <c r="E60" s="23">
        <v>0</v>
      </c>
      <c r="F60" s="23">
        <v>0.1</v>
      </c>
      <c r="G60" s="23">
        <v>0.2</v>
      </c>
      <c r="H60" s="23">
        <v>0.2</v>
      </c>
      <c r="I60" s="23">
        <v>0</v>
      </c>
      <c r="J60" s="23">
        <v>0.2</v>
      </c>
      <c r="K60" s="23">
        <v>0</v>
      </c>
      <c r="L60" s="23">
        <v>0.1</v>
      </c>
      <c r="M60" s="23">
        <v>0.1</v>
      </c>
      <c r="N60" s="23">
        <v>0.1</v>
      </c>
      <c r="O60" s="23">
        <v>0</v>
      </c>
      <c r="P60" s="23">
        <v>0</v>
      </c>
      <c r="Q60" s="23">
        <f t="shared" si="2"/>
        <v>0.99999999999999989</v>
      </c>
    </row>
    <row r="61" spans="2:17" s="8" customFormat="1" outlineLevel="1">
      <c r="B61" s="22" t="str">
        <f>'Program Budget'!D16</f>
        <v>Education Specialist</v>
      </c>
      <c r="C61" s="22"/>
      <c r="D61" s="23">
        <v>0</v>
      </c>
      <c r="E61" s="23">
        <v>0</v>
      </c>
      <c r="F61" s="23">
        <v>0.1</v>
      </c>
      <c r="G61" s="23">
        <v>0.2</v>
      </c>
      <c r="H61" s="23">
        <v>0.2</v>
      </c>
      <c r="I61" s="23">
        <v>0</v>
      </c>
      <c r="J61" s="23">
        <v>0.2</v>
      </c>
      <c r="K61" s="23">
        <v>0</v>
      </c>
      <c r="L61" s="23">
        <v>0.1</v>
      </c>
      <c r="M61" s="23">
        <v>0.1</v>
      </c>
      <c r="N61" s="23">
        <v>0.1</v>
      </c>
      <c r="O61" s="23">
        <v>0</v>
      </c>
      <c r="P61" s="23">
        <v>0</v>
      </c>
      <c r="Q61" s="23">
        <f t="shared" si="2"/>
        <v>0.99999999999999989</v>
      </c>
    </row>
    <row r="62" spans="2:17" s="8" customFormat="1" outlineLevel="1">
      <c r="B62" s="22" t="str">
        <f>'Program Budget'!D17</f>
        <v>Education Officer</v>
      </c>
      <c r="C62" s="22"/>
      <c r="D62" s="23">
        <v>0</v>
      </c>
      <c r="E62" s="23">
        <v>0</v>
      </c>
      <c r="F62" s="23">
        <v>0.1</v>
      </c>
      <c r="G62" s="23">
        <v>0.2</v>
      </c>
      <c r="H62" s="23">
        <v>0.2</v>
      </c>
      <c r="I62" s="23">
        <v>0</v>
      </c>
      <c r="J62" s="23">
        <v>0.2</v>
      </c>
      <c r="K62" s="23">
        <v>0</v>
      </c>
      <c r="L62" s="23">
        <v>0.1</v>
      </c>
      <c r="M62" s="23">
        <v>0.1</v>
      </c>
      <c r="N62" s="23">
        <v>0.1</v>
      </c>
      <c r="O62" s="23">
        <v>0</v>
      </c>
      <c r="P62" s="23">
        <v>0</v>
      </c>
      <c r="Q62" s="23">
        <f t="shared" si="2"/>
        <v>0.99999999999999989</v>
      </c>
    </row>
    <row r="63" spans="2:17" s="8" customFormat="1" outlineLevel="1">
      <c r="B63" s="22" t="str">
        <f>'Program Budget'!D18</f>
        <v>Nutrition and Health Specialist</v>
      </c>
      <c r="C63" s="22"/>
      <c r="D63" s="23">
        <v>0</v>
      </c>
      <c r="E63" s="23">
        <v>0.25</v>
      </c>
      <c r="F63" s="23">
        <v>0</v>
      </c>
      <c r="G63" s="23">
        <v>0</v>
      </c>
      <c r="H63" s="23">
        <v>0</v>
      </c>
      <c r="I63" s="23">
        <v>0.25</v>
      </c>
      <c r="J63" s="23">
        <v>0.15</v>
      </c>
      <c r="K63" s="23">
        <v>0.1</v>
      </c>
      <c r="L63" s="23">
        <v>0.05</v>
      </c>
      <c r="M63" s="23">
        <v>0.05</v>
      </c>
      <c r="N63" s="23">
        <v>0.1</v>
      </c>
      <c r="O63" s="23">
        <v>0.05</v>
      </c>
      <c r="P63" s="23">
        <v>0</v>
      </c>
      <c r="Q63" s="23">
        <f t="shared" si="2"/>
        <v>1</v>
      </c>
    </row>
    <row r="64" spans="2:17" s="8" customFormat="1" outlineLevel="1">
      <c r="B64" s="22" t="str">
        <f>'Program Budget'!D19</f>
        <v>Nutrition Officer - (2 Individuals)</v>
      </c>
      <c r="C64" s="22"/>
      <c r="D64" s="23">
        <v>0</v>
      </c>
      <c r="E64" s="23">
        <v>0.85</v>
      </c>
      <c r="F64" s="23">
        <v>0</v>
      </c>
      <c r="G64" s="23">
        <v>0</v>
      </c>
      <c r="H64" s="23">
        <v>0</v>
      </c>
      <c r="I64" s="23">
        <v>0</v>
      </c>
      <c r="J64" s="23">
        <v>0.15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f t="shared" si="2"/>
        <v>1</v>
      </c>
    </row>
    <row r="65" spans="2:19" s="8" customFormat="1" outlineLevel="1">
      <c r="B65" s="22" t="str">
        <f>'Program Budget'!D20</f>
        <v>School Feeding Specialist</v>
      </c>
      <c r="C65" s="22"/>
      <c r="D65" s="23">
        <v>0</v>
      </c>
      <c r="E65" s="23">
        <v>0.4</v>
      </c>
      <c r="F65" s="23">
        <v>0</v>
      </c>
      <c r="G65" s="23">
        <v>0</v>
      </c>
      <c r="H65" s="23">
        <v>0</v>
      </c>
      <c r="I65" s="23">
        <v>0</v>
      </c>
      <c r="J65" s="23">
        <v>0.15</v>
      </c>
      <c r="K65" s="23">
        <v>0.25</v>
      </c>
      <c r="L65" s="23">
        <v>0.05</v>
      </c>
      <c r="M65" s="23">
        <v>0.05</v>
      </c>
      <c r="N65" s="23">
        <v>0.05</v>
      </c>
      <c r="O65" s="23">
        <v>0.05</v>
      </c>
      <c r="P65" s="23">
        <v>0</v>
      </c>
      <c r="Q65" s="23">
        <f t="shared" si="2"/>
        <v>1.0000000000000002</v>
      </c>
    </row>
    <row r="66" spans="2:19" s="8" customFormat="1" outlineLevel="1">
      <c r="B66" s="22" t="str">
        <f>'Program Budget'!D21</f>
        <v>Food Aid Monitors - (2 Individuals)</v>
      </c>
      <c r="C66" s="22"/>
      <c r="D66" s="23">
        <v>0</v>
      </c>
      <c r="E66" s="23">
        <v>0.85</v>
      </c>
      <c r="F66" s="23">
        <v>0</v>
      </c>
      <c r="G66" s="23">
        <v>0</v>
      </c>
      <c r="H66" s="23">
        <v>0</v>
      </c>
      <c r="I66" s="23">
        <v>0</v>
      </c>
      <c r="J66" s="23">
        <v>7.0000000000000007E-2</v>
      </c>
      <c r="K66" s="23">
        <v>0.08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f t="shared" si="2"/>
        <v>0.99999999999999989</v>
      </c>
    </row>
    <row r="67" spans="2:19" s="8" customFormat="1" outlineLevel="1">
      <c r="B67" s="22" t="str">
        <f>'Program Budget'!D22</f>
        <v>WASH Officer</v>
      </c>
      <c r="C67" s="22"/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1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f t="shared" si="2"/>
        <v>1</v>
      </c>
    </row>
    <row r="68" spans="2:19" s="8" customFormat="1" outlineLevel="1">
      <c r="B68" s="22" t="str">
        <f>'Program Budget'!D23</f>
        <v>Communications Specialist</v>
      </c>
      <c r="C68" s="22"/>
      <c r="D68" s="23">
        <v>0.5</v>
      </c>
      <c r="E68" s="23">
        <v>0</v>
      </c>
      <c r="F68" s="23">
        <v>0</v>
      </c>
      <c r="G68" s="23">
        <v>0</v>
      </c>
      <c r="H68" s="23">
        <v>0.1</v>
      </c>
      <c r="I68" s="23">
        <v>0</v>
      </c>
      <c r="J68" s="23">
        <v>0.15</v>
      </c>
      <c r="K68" s="23">
        <v>0</v>
      </c>
      <c r="L68" s="23">
        <v>0.1</v>
      </c>
      <c r="M68" s="23">
        <v>0</v>
      </c>
      <c r="N68" s="23">
        <v>0.15</v>
      </c>
      <c r="O68" s="23">
        <v>0</v>
      </c>
      <c r="P68" s="23">
        <v>0</v>
      </c>
      <c r="Q68" s="23">
        <f t="shared" si="2"/>
        <v>1</v>
      </c>
    </row>
    <row r="69" spans="2:19" s="8" customFormat="1" outlineLevel="1">
      <c r="B69" s="22" t="str">
        <f>'Program Budget'!D24</f>
        <v>Communications Officer</v>
      </c>
      <c r="C69" s="22"/>
      <c r="D69" s="23">
        <v>0</v>
      </c>
      <c r="E69" s="23">
        <v>0</v>
      </c>
      <c r="F69" s="23">
        <v>0</v>
      </c>
      <c r="G69" s="23">
        <v>0</v>
      </c>
      <c r="H69" s="23">
        <v>0.6</v>
      </c>
      <c r="I69" s="23">
        <v>0</v>
      </c>
      <c r="J69" s="23">
        <v>0.15</v>
      </c>
      <c r="K69" s="23">
        <v>0</v>
      </c>
      <c r="L69" s="23">
        <v>0.1</v>
      </c>
      <c r="M69" s="23">
        <v>0</v>
      </c>
      <c r="N69" s="23">
        <v>0.15</v>
      </c>
      <c r="O69" s="23">
        <v>0</v>
      </c>
      <c r="P69" s="23">
        <v>0</v>
      </c>
      <c r="Q69" s="23">
        <f t="shared" si="2"/>
        <v>1</v>
      </c>
    </row>
    <row r="70" spans="2:19" s="8" customFormat="1" outlineLevel="1">
      <c r="B70" s="22" t="str">
        <f>'Program Budget'!D25</f>
        <v>Education &amp; Community Engagement Specialist</v>
      </c>
      <c r="C70" s="22"/>
      <c r="D70" s="23">
        <v>0</v>
      </c>
      <c r="E70" s="23">
        <v>0.1</v>
      </c>
      <c r="F70" s="23">
        <v>0.1</v>
      </c>
      <c r="G70" s="23">
        <v>0.1</v>
      </c>
      <c r="H70" s="23">
        <v>0.15</v>
      </c>
      <c r="I70" s="23">
        <v>0.1</v>
      </c>
      <c r="J70" s="23">
        <v>0.1</v>
      </c>
      <c r="K70" s="23">
        <v>0.1</v>
      </c>
      <c r="L70" s="23">
        <v>0.1</v>
      </c>
      <c r="M70" s="23">
        <v>0.05</v>
      </c>
      <c r="N70" s="23">
        <v>0.05</v>
      </c>
      <c r="O70" s="23">
        <v>0.05</v>
      </c>
      <c r="P70" s="23">
        <v>0</v>
      </c>
      <c r="Q70" s="23">
        <f t="shared" si="2"/>
        <v>1</v>
      </c>
    </row>
    <row r="71" spans="2:19" s="8" customFormat="1" outlineLevel="1">
      <c r="B71" s="22" t="str">
        <f>'Program Budget'!D26</f>
        <v>Education &amp; Community Engagement Officer</v>
      </c>
      <c r="C71" s="22"/>
      <c r="D71" s="23">
        <v>0</v>
      </c>
      <c r="E71" s="23">
        <v>0.1</v>
      </c>
      <c r="F71" s="23">
        <v>0.1</v>
      </c>
      <c r="G71" s="23">
        <v>0.1</v>
      </c>
      <c r="H71" s="23">
        <v>0.15</v>
      </c>
      <c r="I71" s="23">
        <v>0.1</v>
      </c>
      <c r="J71" s="23">
        <v>0.1</v>
      </c>
      <c r="K71" s="23">
        <v>0.1</v>
      </c>
      <c r="L71" s="23">
        <v>0.1</v>
      </c>
      <c r="M71" s="23">
        <v>0.05</v>
      </c>
      <c r="N71" s="23">
        <v>0.05</v>
      </c>
      <c r="O71" s="23">
        <v>0.05</v>
      </c>
      <c r="P71" s="23">
        <v>0</v>
      </c>
      <c r="Q71" s="23">
        <f t="shared" si="2"/>
        <v>1</v>
      </c>
    </row>
    <row r="72" spans="2:19" s="8" customFormat="1" outlineLevel="1">
      <c r="B72" s="22" t="str">
        <f>'Program Budget'!D27</f>
        <v>Private Sector Specialist</v>
      </c>
      <c r="C72" s="22"/>
      <c r="D72" s="23">
        <v>0</v>
      </c>
      <c r="E72" s="23">
        <v>0</v>
      </c>
      <c r="F72" s="23">
        <v>0.05</v>
      </c>
      <c r="G72" s="23">
        <v>0</v>
      </c>
      <c r="H72" s="23">
        <v>0</v>
      </c>
      <c r="I72" s="23">
        <v>0.05</v>
      </c>
      <c r="J72" s="23">
        <v>0</v>
      </c>
      <c r="K72" s="23">
        <v>0</v>
      </c>
      <c r="L72" s="23">
        <v>0.1</v>
      </c>
      <c r="M72" s="23">
        <v>0.1</v>
      </c>
      <c r="N72" s="23">
        <v>0.7</v>
      </c>
      <c r="O72" s="23">
        <v>0</v>
      </c>
      <c r="P72" s="23">
        <v>0</v>
      </c>
      <c r="Q72" s="23">
        <f t="shared" si="2"/>
        <v>1</v>
      </c>
      <c r="S72" s="155"/>
    </row>
    <row r="73" spans="2:19" s="8" customFormat="1" outlineLevel="1">
      <c r="B73" s="22" t="str">
        <f>'Program Budget'!D28</f>
        <v xml:space="preserve">Key Personnel: M&amp;E Director </v>
      </c>
      <c r="C73" s="22"/>
      <c r="D73" s="23">
        <v>1</v>
      </c>
      <c r="E73" s="23">
        <v>0</v>
      </c>
      <c r="F73" s="23">
        <v>0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f t="shared" si="2"/>
        <v>1</v>
      </c>
    </row>
    <row r="74" spans="2:19" s="8" customFormat="1" outlineLevel="1">
      <c r="B74" s="22" t="str">
        <f>'Program Budget'!D29</f>
        <v>M&amp;E Specialist</v>
      </c>
      <c r="C74" s="22"/>
      <c r="D74" s="23">
        <v>1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23">
        <f t="shared" si="2"/>
        <v>1</v>
      </c>
    </row>
    <row r="75" spans="2:19" s="8" customFormat="1" outlineLevel="1">
      <c r="B75" s="22" t="str">
        <f>'Program Budget'!D30</f>
        <v>M&amp;E Officer</v>
      </c>
      <c r="C75" s="22"/>
      <c r="D75" s="23">
        <v>1</v>
      </c>
      <c r="E75" s="23">
        <v>0</v>
      </c>
      <c r="F75" s="23">
        <v>0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23">
        <f t="shared" si="2"/>
        <v>1</v>
      </c>
    </row>
    <row r="76" spans="2:19" s="25" customFormat="1" outlineLevel="1">
      <c r="B76" s="22" t="str">
        <f>'Program Budget'!D31</f>
        <v>Supply Chain Manager</v>
      </c>
      <c r="C76" s="22"/>
      <c r="D76" s="23">
        <v>0</v>
      </c>
      <c r="E76" s="23">
        <v>0</v>
      </c>
      <c r="F76" s="23">
        <v>0</v>
      </c>
      <c r="G76" s="23">
        <v>0</v>
      </c>
      <c r="H76" s="23">
        <v>0</v>
      </c>
      <c r="I76" s="23">
        <v>0</v>
      </c>
      <c r="J76" s="23">
        <v>0</v>
      </c>
      <c r="K76" s="23">
        <v>0</v>
      </c>
      <c r="L76" s="23">
        <v>0</v>
      </c>
      <c r="M76" s="23">
        <v>0</v>
      </c>
      <c r="N76" s="23">
        <v>0</v>
      </c>
      <c r="O76" s="23">
        <v>0</v>
      </c>
      <c r="P76" s="23">
        <v>1</v>
      </c>
      <c r="Q76" s="23">
        <f t="shared" si="2"/>
        <v>1</v>
      </c>
    </row>
    <row r="77" spans="2:19" s="25" customFormat="1" outlineLevel="1">
      <c r="B77" s="22" t="str">
        <f>'Program Budget'!D32</f>
        <v>In-Country Logistics Specialist</v>
      </c>
      <c r="C77" s="22"/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1</v>
      </c>
      <c r="Q77" s="23">
        <f t="shared" si="2"/>
        <v>1</v>
      </c>
    </row>
    <row r="78" spans="2:19" s="8" customFormat="1" outlineLevel="1">
      <c r="B78" s="22" t="str">
        <f>'Program Budget'!D33</f>
        <v>US Commodity Logistics Specialist</v>
      </c>
      <c r="C78" s="22"/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0.2</v>
      </c>
      <c r="P78" s="23">
        <v>0.8</v>
      </c>
      <c r="Q78" s="23">
        <f t="shared" si="2"/>
        <v>1</v>
      </c>
    </row>
    <row r="79" spans="2:19" s="8" customFormat="1" outlineLevel="1">
      <c r="B79" s="22" t="str">
        <f>'Program Budget'!D34</f>
        <v>Warehouse Manager</v>
      </c>
      <c r="C79" s="22"/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1</v>
      </c>
      <c r="Q79" s="23">
        <f t="shared" si="2"/>
        <v>1</v>
      </c>
    </row>
    <row r="80" spans="2:19" s="8" customFormat="1" outlineLevel="1">
      <c r="B80" s="22" t="str">
        <f>'Program Budget'!D35</f>
        <v>Warehouse Officer - (2 Individuals)</v>
      </c>
      <c r="C80" s="22"/>
      <c r="D80" s="23">
        <v>0</v>
      </c>
      <c r="E80" s="23">
        <v>0</v>
      </c>
      <c r="F80" s="23">
        <v>0</v>
      </c>
      <c r="G80" s="23">
        <v>0</v>
      </c>
      <c r="H80" s="23">
        <v>0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3">
        <v>0</v>
      </c>
      <c r="O80" s="23">
        <v>0</v>
      </c>
      <c r="P80" s="23">
        <v>1</v>
      </c>
      <c r="Q80" s="23">
        <f t="shared" si="2"/>
        <v>1</v>
      </c>
    </row>
    <row r="81" spans="2:17" s="8" customFormat="1" outlineLevel="1">
      <c r="B81" s="22" t="str">
        <f>'Program Budget'!D36</f>
        <v xml:space="preserve">LRP Technical Specialist </v>
      </c>
      <c r="C81" s="22"/>
      <c r="D81" s="23">
        <v>0</v>
      </c>
      <c r="E81" s="23">
        <v>0</v>
      </c>
      <c r="F81" s="23">
        <v>0</v>
      </c>
      <c r="G81" s="23">
        <v>0</v>
      </c>
      <c r="H81" s="23">
        <v>0</v>
      </c>
      <c r="I81" s="23">
        <v>0</v>
      </c>
      <c r="J81" s="23">
        <v>0</v>
      </c>
      <c r="K81" s="23">
        <v>0</v>
      </c>
      <c r="L81" s="23">
        <v>0</v>
      </c>
      <c r="M81" s="23">
        <v>0</v>
      </c>
      <c r="N81" s="23">
        <v>0</v>
      </c>
      <c r="O81" s="23">
        <v>0</v>
      </c>
      <c r="P81" s="23">
        <v>1</v>
      </c>
      <c r="Q81" s="23">
        <f t="shared" si="2"/>
        <v>1</v>
      </c>
    </row>
    <row r="82" spans="2:17" s="8" customFormat="1" outlineLevel="1">
      <c r="B82" s="22" t="str">
        <f>'Program Budget'!D37</f>
        <v>Finance &amp; Administration Director</v>
      </c>
      <c r="C82" s="22"/>
      <c r="D82" s="23">
        <v>1</v>
      </c>
      <c r="E82" s="23">
        <v>0</v>
      </c>
      <c r="F82" s="23">
        <v>0</v>
      </c>
      <c r="G82" s="23">
        <v>0</v>
      </c>
      <c r="H82" s="23">
        <v>0</v>
      </c>
      <c r="I82" s="23">
        <v>0</v>
      </c>
      <c r="J82" s="23">
        <v>0</v>
      </c>
      <c r="K82" s="23">
        <v>0</v>
      </c>
      <c r="L82" s="23">
        <v>0</v>
      </c>
      <c r="M82" s="23">
        <v>0</v>
      </c>
      <c r="N82" s="23">
        <v>0</v>
      </c>
      <c r="O82" s="23">
        <v>0</v>
      </c>
      <c r="P82" s="23">
        <v>0</v>
      </c>
      <c r="Q82" s="23">
        <f t="shared" si="2"/>
        <v>1</v>
      </c>
    </row>
    <row r="83" spans="2:17" s="8" customFormat="1" outlineLevel="1">
      <c r="B83" s="22" t="str">
        <f>'Program Budget'!D38</f>
        <v>Contracts &amp; Compliance Manager</v>
      </c>
      <c r="C83" s="22"/>
      <c r="D83" s="23">
        <v>1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f t="shared" si="2"/>
        <v>1</v>
      </c>
    </row>
    <row r="84" spans="2:17" s="8" customFormat="1" outlineLevel="1">
      <c r="B84" s="22" t="str">
        <f>'Program Budget'!D39</f>
        <v>Grants &amp; Procurement Specialist</v>
      </c>
      <c r="C84" s="22"/>
      <c r="D84" s="23">
        <v>1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f t="shared" si="2"/>
        <v>1</v>
      </c>
    </row>
    <row r="85" spans="2:17" s="8" customFormat="1" outlineLevel="1">
      <c r="B85" s="22" t="str">
        <f>'Program Budget'!D40</f>
        <v>Grants &amp; Procurement Officer</v>
      </c>
      <c r="C85" s="22"/>
      <c r="D85" s="23">
        <v>1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f t="shared" si="2"/>
        <v>1</v>
      </c>
    </row>
    <row r="86" spans="2:17" s="8" customFormat="1" outlineLevel="1">
      <c r="B86" s="22" t="str">
        <f>'Program Budget'!D41</f>
        <v>Finance Officer</v>
      </c>
      <c r="C86" s="22"/>
      <c r="D86" s="23">
        <v>1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f t="shared" si="2"/>
        <v>1</v>
      </c>
    </row>
    <row r="87" spans="2:17" s="8" customFormat="1" outlineLevel="1">
      <c r="B87" s="22" t="str">
        <f>'Program Budget'!D42</f>
        <v>Accountant</v>
      </c>
      <c r="C87" s="22"/>
      <c r="D87" s="23">
        <v>1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f t="shared" si="2"/>
        <v>1</v>
      </c>
    </row>
    <row r="88" spans="2:17" s="8" customFormat="1" outlineLevel="1">
      <c r="B88" s="22" t="str">
        <f>'Program Budget'!D43</f>
        <v>Operation &amp; HR Manager</v>
      </c>
      <c r="C88" s="22"/>
      <c r="D88" s="23">
        <v>1</v>
      </c>
      <c r="E88" s="23">
        <v>0</v>
      </c>
      <c r="F88" s="23">
        <v>0</v>
      </c>
      <c r="G88" s="23">
        <v>0</v>
      </c>
      <c r="H88" s="23">
        <v>0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  <c r="Q88" s="23">
        <f t="shared" si="2"/>
        <v>1</v>
      </c>
    </row>
    <row r="89" spans="2:17" s="8" customFormat="1" outlineLevel="1">
      <c r="B89" s="22" t="str">
        <f>'Program Budget'!D44</f>
        <v>Administrative Assistant - (2 Individuals)</v>
      </c>
      <c r="C89" s="22"/>
      <c r="D89" s="23">
        <v>1</v>
      </c>
      <c r="E89" s="23">
        <v>0</v>
      </c>
      <c r="F89" s="23">
        <v>0</v>
      </c>
      <c r="G89" s="23">
        <v>0</v>
      </c>
      <c r="H89" s="23">
        <v>0</v>
      </c>
      <c r="I89" s="23">
        <v>0</v>
      </c>
      <c r="J89" s="23">
        <v>0</v>
      </c>
      <c r="K89" s="23">
        <v>0</v>
      </c>
      <c r="L89" s="23">
        <v>0</v>
      </c>
      <c r="M89" s="23">
        <v>0</v>
      </c>
      <c r="N89" s="23">
        <v>0</v>
      </c>
      <c r="O89" s="23">
        <v>0</v>
      </c>
      <c r="P89" s="23">
        <v>0</v>
      </c>
      <c r="Q89" s="23">
        <f t="shared" si="2"/>
        <v>1</v>
      </c>
    </row>
    <row r="90" spans="2:17" s="8" customFormat="1" outlineLevel="1">
      <c r="B90" s="22" t="str">
        <f>'Program Budget'!D45</f>
        <v>Driver - (2 Individuals)</v>
      </c>
      <c r="C90" s="22"/>
      <c r="D90" s="23">
        <v>1</v>
      </c>
      <c r="E90" s="23">
        <v>0</v>
      </c>
      <c r="F90" s="23">
        <v>0</v>
      </c>
      <c r="G90" s="23">
        <v>0</v>
      </c>
      <c r="H90" s="23">
        <v>0</v>
      </c>
      <c r="I90" s="23">
        <v>0</v>
      </c>
      <c r="J90" s="23">
        <v>0</v>
      </c>
      <c r="K90" s="23">
        <v>0</v>
      </c>
      <c r="L90" s="23">
        <v>0</v>
      </c>
      <c r="M90" s="23">
        <v>0</v>
      </c>
      <c r="N90" s="23">
        <v>0</v>
      </c>
      <c r="O90" s="23">
        <v>0</v>
      </c>
      <c r="P90" s="23">
        <v>0</v>
      </c>
      <c r="Q90" s="23">
        <f t="shared" si="2"/>
        <v>1</v>
      </c>
    </row>
    <row r="91" spans="2:17" s="8" customFormat="1" outlineLevel="1">
      <c r="B91" s="20" t="s">
        <v>651</v>
      </c>
      <c r="C91" s="20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</row>
    <row r="92" spans="2:17" s="8" customFormat="1" outlineLevel="1">
      <c r="B92" s="22" t="str">
        <f>'Program Budget'!D47</f>
        <v>Senior Vice President of Programs</v>
      </c>
      <c r="C92" s="22"/>
      <c r="D92" s="23">
        <v>0.35</v>
      </c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>
        <f>SUM(D92:O92)</f>
        <v>0.35</v>
      </c>
    </row>
    <row r="93" spans="2:17" s="8" customFormat="1" outlineLevel="1">
      <c r="B93" s="22" t="str">
        <f>'Program Budget'!D48</f>
        <v xml:space="preserve">Program Director </v>
      </c>
      <c r="C93" s="22"/>
      <c r="D93" s="23">
        <v>0.9</v>
      </c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>
        <f>SUM(D93:O93)</f>
        <v>0.9</v>
      </c>
    </row>
    <row r="94" spans="2:17" s="8" customFormat="1" outlineLevel="1">
      <c r="B94" s="22" t="str">
        <f>'Program Budget'!D49</f>
        <v>Compliance &amp; Contracts Director</v>
      </c>
      <c r="C94" s="22"/>
      <c r="D94" s="23">
        <v>0.2</v>
      </c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>
        <f>SUM(D94:O94)</f>
        <v>0.2</v>
      </c>
    </row>
    <row r="95" spans="2:17" s="8" customFormat="1" outlineLevel="1">
      <c r="B95" s="22" t="str">
        <f>'Program Budget'!D50</f>
        <v>Associate Director</v>
      </c>
      <c r="C95" s="22"/>
      <c r="D95" s="23">
        <v>1</v>
      </c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>
        <f>SUM(D95:O95)</f>
        <v>1</v>
      </c>
    </row>
    <row r="96" spans="2:17" s="8" customFormat="1" outlineLevel="1">
      <c r="B96" s="22" t="str">
        <f>'Program Budget'!D51</f>
        <v xml:space="preserve">Senior Program Officer </v>
      </c>
      <c r="C96" s="22"/>
      <c r="D96" s="23">
        <v>0.05</v>
      </c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>
        <f>SUM(D96:O96)</f>
        <v>0.05</v>
      </c>
    </row>
    <row r="97" spans="2:17" s="8" customFormat="1" outlineLevel="1">
      <c r="B97" s="27" t="s">
        <v>140</v>
      </c>
      <c r="C97" s="27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</row>
    <row r="98" spans="2:17">
      <c r="D98" s="11"/>
      <c r="E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11"/>
    </row>
    <row r="99" spans="2:17" s="227" customFormat="1" ht="48.75" customHeight="1">
      <c r="B99" s="225"/>
      <c r="C99" s="225"/>
      <c r="D99" s="226" t="str">
        <f t="shared" ref="D99:P99" si="3">D7</f>
        <v>Administration</v>
      </c>
      <c r="E99" s="226" t="str">
        <f t="shared" si="3"/>
        <v>Activity 1: Provide School Meals</v>
      </c>
      <c r="F99" s="226" t="str">
        <f t="shared" si="3"/>
        <v>Activity 2: Distribution: School Supplies and Materials</v>
      </c>
      <c r="G99" s="226" t="str">
        <f t="shared" si="3"/>
        <v>Activity 3: Training: Teacher and Administrators</v>
      </c>
      <c r="H99" s="226" t="str">
        <f t="shared" si="3"/>
        <v>Activity 4: Enrollment Campaigns</v>
      </c>
      <c r="I99" s="226" t="str">
        <f t="shared" si="3"/>
        <v>Activity 5: Building/Rehabilitation: Wells and Water Stations/Systems</v>
      </c>
      <c r="J99" s="226" t="str">
        <f t="shared" si="3"/>
        <v>Activity 6: Training: Good Health and Nutrition Practices</v>
      </c>
      <c r="K99" s="226" t="str">
        <f t="shared" si="3"/>
        <v>Activity 7: Training: Commodity Management</v>
      </c>
      <c r="L99" s="226" t="str">
        <f t="shared" si="3"/>
        <v>Activity 8: Capacity Building: Local and Regional Level</v>
      </c>
      <c r="M99" s="226" t="str">
        <f t="shared" si="3"/>
        <v>Activity 9: Capacity Building: National Level</v>
      </c>
      <c r="N99" s="226" t="str">
        <f t="shared" si="3"/>
        <v>Activity 10: Develop Public-Private Partnerships to Support School Feeding Sustainability</v>
      </c>
      <c r="O99" s="226" t="str">
        <f t="shared" si="3"/>
        <v xml:space="preserve">Activity 11: Expand Use of US Commodities in Honduras School Feeding Program </v>
      </c>
      <c r="P99" s="226" t="str">
        <f t="shared" si="3"/>
        <v>Internal Transportation Storage and Handling (ITSH)</v>
      </c>
      <c r="Q99" s="226" t="s">
        <v>662</v>
      </c>
    </row>
    <row r="100" spans="2:17" s="17" customFormat="1" ht="12.3">
      <c r="B100" s="14" t="s">
        <v>537</v>
      </c>
      <c r="C100" s="14"/>
      <c r="D100" s="15" t="s">
        <v>647</v>
      </c>
      <c r="E100" s="15" t="s">
        <v>647</v>
      </c>
      <c r="F100" s="15" t="s">
        <v>648</v>
      </c>
      <c r="G100" s="15" t="s">
        <v>648</v>
      </c>
      <c r="H100" s="15"/>
      <c r="I100" s="15"/>
      <c r="J100" s="15"/>
      <c r="K100" s="15"/>
      <c r="L100" s="15"/>
      <c r="M100" s="15"/>
      <c r="N100" s="15"/>
      <c r="O100" s="15"/>
      <c r="P100" s="15"/>
      <c r="Q100" s="15" t="s">
        <v>648</v>
      </c>
    </row>
    <row r="101" spans="2:17" s="8" customFormat="1">
      <c r="B101" s="18" t="s">
        <v>649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</row>
    <row r="102" spans="2:17" s="8" customFormat="1" outlineLevel="1">
      <c r="B102" s="20" t="s">
        <v>650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</row>
    <row r="103" spans="2:17" s="8" customFormat="1" outlineLevel="1">
      <c r="B103" s="22" t="str">
        <f>'Program Budget'!D12</f>
        <v xml:space="preserve">Key Personnel: Chief of Party - Roger Sanchez O’Neill </v>
      </c>
      <c r="C103" s="22"/>
      <c r="D103" s="23">
        <v>1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23">
        <f t="shared" ref="Q103:Q136" si="4">SUM(D103:P103)</f>
        <v>1</v>
      </c>
    </row>
    <row r="104" spans="2:17" s="8" customFormat="1" outlineLevel="1">
      <c r="B104" s="22" t="str">
        <f>'Program Budget'!D13</f>
        <v>Key Personnel: Deputy Chief of Party - David Medina Mayo</v>
      </c>
      <c r="C104" s="22"/>
      <c r="D104" s="23">
        <v>1</v>
      </c>
      <c r="E104" s="23">
        <v>0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f t="shared" si="4"/>
        <v>1</v>
      </c>
    </row>
    <row r="105" spans="2:17" s="8" customFormat="1" outlineLevel="1">
      <c r="B105" s="22" t="str">
        <f>'Program Budget'!D14</f>
        <v>Policy &amp; Sustainability Specialist</v>
      </c>
      <c r="C105" s="22"/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0.1</v>
      </c>
      <c r="L105" s="23">
        <v>0.2</v>
      </c>
      <c r="M105" s="23">
        <v>0.3</v>
      </c>
      <c r="N105" s="23">
        <v>0.3</v>
      </c>
      <c r="O105" s="23">
        <v>0.1</v>
      </c>
      <c r="P105" s="23">
        <v>0</v>
      </c>
      <c r="Q105" s="23">
        <f t="shared" si="4"/>
        <v>1.0000000000000002</v>
      </c>
    </row>
    <row r="106" spans="2:17" s="8" customFormat="1" outlineLevel="1">
      <c r="B106" s="22" t="str">
        <f>'Program Budget'!D15</f>
        <v xml:space="preserve">Education Director </v>
      </c>
      <c r="C106" s="22"/>
      <c r="D106" s="23">
        <v>0</v>
      </c>
      <c r="E106" s="23">
        <v>0</v>
      </c>
      <c r="F106" s="23">
        <v>0.1</v>
      </c>
      <c r="G106" s="23">
        <v>0.2</v>
      </c>
      <c r="H106" s="23">
        <v>0.2</v>
      </c>
      <c r="I106" s="23">
        <v>0</v>
      </c>
      <c r="J106" s="23">
        <v>0.2</v>
      </c>
      <c r="K106" s="23">
        <v>0</v>
      </c>
      <c r="L106" s="23">
        <v>0.1</v>
      </c>
      <c r="M106" s="23">
        <v>0.1</v>
      </c>
      <c r="N106" s="23">
        <v>0.1</v>
      </c>
      <c r="O106" s="23">
        <v>0</v>
      </c>
      <c r="P106" s="23">
        <v>0</v>
      </c>
      <c r="Q106" s="23">
        <f t="shared" si="4"/>
        <v>0.99999999999999989</v>
      </c>
    </row>
    <row r="107" spans="2:17" s="8" customFormat="1" outlineLevel="1">
      <c r="B107" s="22" t="str">
        <f>'Program Budget'!D16</f>
        <v>Education Specialist</v>
      </c>
      <c r="C107" s="22"/>
      <c r="D107" s="23">
        <v>0</v>
      </c>
      <c r="E107" s="23">
        <v>0</v>
      </c>
      <c r="F107" s="23">
        <v>0.1</v>
      </c>
      <c r="G107" s="23">
        <v>0.2</v>
      </c>
      <c r="H107" s="23">
        <v>0.2</v>
      </c>
      <c r="I107" s="23">
        <v>0</v>
      </c>
      <c r="J107" s="23">
        <v>0.2</v>
      </c>
      <c r="K107" s="23">
        <v>0</v>
      </c>
      <c r="L107" s="23">
        <v>0.1</v>
      </c>
      <c r="M107" s="23">
        <v>0.1</v>
      </c>
      <c r="N107" s="23">
        <v>0.1</v>
      </c>
      <c r="O107" s="23">
        <v>0</v>
      </c>
      <c r="P107" s="23">
        <v>0</v>
      </c>
      <c r="Q107" s="23">
        <f t="shared" si="4"/>
        <v>0.99999999999999989</v>
      </c>
    </row>
    <row r="108" spans="2:17" s="8" customFormat="1" outlineLevel="1">
      <c r="B108" s="22" t="str">
        <f>'Program Budget'!D17</f>
        <v>Education Officer</v>
      </c>
      <c r="C108" s="22"/>
      <c r="D108" s="23">
        <v>0</v>
      </c>
      <c r="E108" s="23">
        <v>0</v>
      </c>
      <c r="F108" s="23">
        <v>0.1</v>
      </c>
      <c r="G108" s="23">
        <v>0.2</v>
      </c>
      <c r="H108" s="23">
        <v>0.2</v>
      </c>
      <c r="I108" s="23">
        <v>0</v>
      </c>
      <c r="J108" s="23">
        <v>0.2</v>
      </c>
      <c r="K108" s="23">
        <v>0</v>
      </c>
      <c r="L108" s="23">
        <v>0.1</v>
      </c>
      <c r="M108" s="23">
        <v>0.1</v>
      </c>
      <c r="N108" s="23">
        <v>0.1</v>
      </c>
      <c r="O108" s="23">
        <v>0</v>
      </c>
      <c r="P108" s="23">
        <v>0</v>
      </c>
      <c r="Q108" s="23">
        <f t="shared" si="4"/>
        <v>0.99999999999999989</v>
      </c>
    </row>
    <row r="109" spans="2:17" s="8" customFormat="1" outlineLevel="1">
      <c r="B109" s="22" t="str">
        <f>'Program Budget'!D18</f>
        <v>Nutrition and Health Specialist</v>
      </c>
      <c r="C109" s="22"/>
      <c r="D109" s="23">
        <v>0</v>
      </c>
      <c r="E109" s="23">
        <v>0.25</v>
      </c>
      <c r="F109" s="23">
        <v>0</v>
      </c>
      <c r="G109" s="23">
        <v>0</v>
      </c>
      <c r="H109" s="23">
        <v>0</v>
      </c>
      <c r="I109" s="23">
        <v>0.25</v>
      </c>
      <c r="J109" s="23">
        <v>0.15</v>
      </c>
      <c r="K109" s="23">
        <v>0.1</v>
      </c>
      <c r="L109" s="23">
        <v>0.05</v>
      </c>
      <c r="M109" s="23">
        <v>0.05</v>
      </c>
      <c r="N109" s="23">
        <v>0.1</v>
      </c>
      <c r="O109" s="23">
        <v>0.05</v>
      </c>
      <c r="P109" s="23">
        <v>0</v>
      </c>
      <c r="Q109" s="23">
        <f t="shared" si="4"/>
        <v>1</v>
      </c>
    </row>
    <row r="110" spans="2:17" s="8" customFormat="1" outlineLevel="1">
      <c r="B110" s="22" t="str">
        <f>'Program Budget'!D19</f>
        <v>Nutrition Officer - (2 Individuals)</v>
      </c>
      <c r="C110" s="22"/>
      <c r="D110" s="23">
        <v>0</v>
      </c>
      <c r="E110" s="23">
        <v>0.85</v>
      </c>
      <c r="F110" s="23">
        <v>0</v>
      </c>
      <c r="G110" s="23">
        <v>0</v>
      </c>
      <c r="H110" s="23">
        <v>0</v>
      </c>
      <c r="I110" s="23">
        <v>0</v>
      </c>
      <c r="J110" s="23">
        <v>0.15</v>
      </c>
      <c r="K110" s="23">
        <v>0</v>
      </c>
      <c r="L110" s="23">
        <v>0</v>
      </c>
      <c r="M110" s="23">
        <v>0</v>
      </c>
      <c r="N110" s="23">
        <v>0</v>
      </c>
      <c r="O110" s="23">
        <v>0</v>
      </c>
      <c r="P110" s="23">
        <v>0</v>
      </c>
      <c r="Q110" s="23">
        <f t="shared" si="4"/>
        <v>1</v>
      </c>
    </row>
    <row r="111" spans="2:17" s="8" customFormat="1" outlineLevel="1">
      <c r="B111" s="22" t="str">
        <f>'Program Budget'!D20</f>
        <v>School Feeding Specialist</v>
      </c>
      <c r="C111" s="22"/>
      <c r="D111" s="23">
        <v>0</v>
      </c>
      <c r="E111" s="23">
        <v>0.4</v>
      </c>
      <c r="F111" s="23">
        <v>0</v>
      </c>
      <c r="G111" s="23">
        <v>0</v>
      </c>
      <c r="H111" s="23">
        <v>0</v>
      </c>
      <c r="I111" s="23">
        <v>0</v>
      </c>
      <c r="J111" s="23">
        <v>0.15</v>
      </c>
      <c r="K111" s="23">
        <v>0.25</v>
      </c>
      <c r="L111" s="23">
        <v>0.05</v>
      </c>
      <c r="M111" s="23">
        <v>0.05</v>
      </c>
      <c r="N111" s="23">
        <v>0.05</v>
      </c>
      <c r="O111" s="23">
        <v>0.05</v>
      </c>
      <c r="P111" s="23">
        <v>0</v>
      </c>
      <c r="Q111" s="23">
        <f t="shared" si="4"/>
        <v>1.0000000000000002</v>
      </c>
    </row>
    <row r="112" spans="2:17" s="8" customFormat="1" outlineLevel="1">
      <c r="B112" s="22" t="str">
        <f>'Program Budget'!D21</f>
        <v>Food Aid Monitors - (2 Individuals)</v>
      </c>
      <c r="C112" s="22"/>
      <c r="D112" s="23">
        <v>0</v>
      </c>
      <c r="E112" s="23">
        <v>0.85</v>
      </c>
      <c r="F112" s="23">
        <v>0</v>
      </c>
      <c r="G112" s="23">
        <v>0</v>
      </c>
      <c r="H112" s="23">
        <v>0</v>
      </c>
      <c r="I112" s="23">
        <v>0</v>
      </c>
      <c r="J112" s="23">
        <v>7.0000000000000007E-2</v>
      </c>
      <c r="K112" s="23">
        <v>0.08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23">
        <f t="shared" si="4"/>
        <v>0.99999999999999989</v>
      </c>
    </row>
    <row r="113" spans="2:17" s="8" customFormat="1" outlineLevel="1">
      <c r="B113" s="22" t="str">
        <f>'Program Budget'!D22</f>
        <v>WASH Officer</v>
      </c>
      <c r="C113" s="22"/>
      <c r="D113" s="23">
        <v>0</v>
      </c>
      <c r="E113" s="23">
        <v>0</v>
      </c>
      <c r="F113" s="23">
        <v>0</v>
      </c>
      <c r="G113" s="23">
        <v>0</v>
      </c>
      <c r="H113" s="23">
        <v>0</v>
      </c>
      <c r="I113" s="23">
        <v>1</v>
      </c>
      <c r="J113" s="23">
        <v>0</v>
      </c>
      <c r="K113" s="23">
        <v>0</v>
      </c>
      <c r="L113" s="23">
        <v>0</v>
      </c>
      <c r="M113" s="23">
        <v>0</v>
      </c>
      <c r="N113" s="23">
        <v>0</v>
      </c>
      <c r="O113" s="23">
        <v>0</v>
      </c>
      <c r="P113" s="23">
        <v>0</v>
      </c>
      <c r="Q113" s="23">
        <f t="shared" si="4"/>
        <v>1</v>
      </c>
    </row>
    <row r="114" spans="2:17" s="8" customFormat="1" outlineLevel="1">
      <c r="B114" s="22" t="str">
        <f>'Program Budget'!D23</f>
        <v>Communications Specialist</v>
      </c>
      <c r="C114" s="22"/>
      <c r="D114" s="23">
        <v>0.5</v>
      </c>
      <c r="E114" s="23">
        <v>0</v>
      </c>
      <c r="F114" s="23">
        <v>0</v>
      </c>
      <c r="G114" s="23">
        <v>0</v>
      </c>
      <c r="H114" s="23">
        <v>0.1</v>
      </c>
      <c r="I114" s="23">
        <v>0</v>
      </c>
      <c r="J114" s="23">
        <v>0.15</v>
      </c>
      <c r="K114" s="23">
        <v>0</v>
      </c>
      <c r="L114" s="23">
        <v>0.1</v>
      </c>
      <c r="M114" s="23">
        <v>0</v>
      </c>
      <c r="N114" s="23">
        <v>0.15</v>
      </c>
      <c r="O114" s="23">
        <v>0</v>
      </c>
      <c r="P114" s="23">
        <v>0</v>
      </c>
      <c r="Q114" s="23">
        <f t="shared" si="4"/>
        <v>1</v>
      </c>
    </row>
    <row r="115" spans="2:17" s="8" customFormat="1" outlineLevel="1">
      <c r="B115" s="22" t="str">
        <f>'Program Budget'!D24</f>
        <v>Communications Officer</v>
      </c>
      <c r="C115" s="22"/>
      <c r="D115" s="23">
        <v>0</v>
      </c>
      <c r="E115" s="23">
        <v>0</v>
      </c>
      <c r="F115" s="23">
        <v>0</v>
      </c>
      <c r="G115" s="23">
        <v>0</v>
      </c>
      <c r="H115" s="23">
        <v>0.6</v>
      </c>
      <c r="I115" s="23">
        <v>0</v>
      </c>
      <c r="J115" s="23">
        <v>0.15</v>
      </c>
      <c r="K115" s="23">
        <v>0</v>
      </c>
      <c r="L115" s="23">
        <v>0.1</v>
      </c>
      <c r="M115" s="23">
        <v>0</v>
      </c>
      <c r="N115" s="23">
        <v>0.15</v>
      </c>
      <c r="O115" s="23">
        <v>0</v>
      </c>
      <c r="P115" s="23">
        <v>0</v>
      </c>
      <c r="Q115" s="23">
        <f t="shared" si="4"/>
        <v>1</v>
      </c>
    </row>
    <row r="116" spans="2:17" s="8" customFormat="1" outlineLevel="1">
      <c r="B116" s="22" t="str">
        <f>'Program Budget'!D25</f>
        <v>Education &amp; Community Engagement Specialist</v>
      </c>
      <c r="C116" s="22"/>
      <c r="D116" s="23">
        <v>0</v>
      </c>
      <c r="E116" s="23">
        <v>0.1</v>
      </c>
      <c r="F116" s="23">
        <v>0.1</v>
      </c>
      <c r="G116" s="23">
        <v>0.1</v>
      </c>
      <c r="H116" s="23">
        <v>0.15</v>
      </c>
      <c r="I116" s="23">
        <v>0.1</v>
      </c>
      <c r="J116" s="23">
        <v>0.1</v>
      </c>
      <c r="K116" s="23">
        <v>0.1</v>
      </c>
      <c r="L116" s="23">
        <v>0.1</v>
      </c>
      <c r="M116" s="23">
        <v>0.05</v>
      </c>
      <c r="N116" s="23">
        <v>0.05</v>
      </c>
      <c r="O116" s="23">
        <v>0.05</v>
      </c>
      <c r="P116" s="23">
        <v>0</v>
      </c>
      <c r="Q116" s="23">
        <f t="shared" si="4"/>
        <v>1</v>
      </c>
    </row>
    <row r="117" spans="2:17" s="8" customFormat="1" outlineLevel="1">
      <c r="B117" s="22" t="str">
        <f>'Program Budget'!D26</f>
        <v>Education &amp; Community Engagement Officer</v>
      </c>
      <c r="C117" s="22"/>
      <c r="D117" s="23">
        <v>0</v>
      </c>
      <c r="E117" s="23">
        <v>0.1</v>
      </c>
      <c r="F117" s="23">
        <v>0.1</v>
      </c>
      <c r="G117" s="23">
        <v>0.1</v>
      </c>
      <c r="H117" s="23">
        <v>0.15</v>
      </c>
      <c r="I117" s="23">
        <v>0.1</v>
      </c>
      <c r="J117" s="23">
        <v>0.1</v>
      </c>
      <c r="K117" s="23">
        <v>0.1</v>
      </c>
      <c r="L117" s="23">
        <v>0.1</v>
      </c>
      <c r="M117" s="23">
        <v>0.05</v>
      </c>
      <c r="N117" s="23">
        <v>0.05</v>
      </c>
      <c r="O117" s="23">
        <v>0.05</v>
      </c>
      <c r="P117" s="23">
        <v>0</v>
      </c>
      <c r="Q117" s="23">
        <f t="shared" si="4"/>
        <v>1</v>
      </c>
    </row>
    <row r="118" spans="2:17" s="8" customFormat="1" outlineLevel="1">
      <c r="B118" s="22" t="str">
        <f>'Program Budget'!D27</f>
        <v>Private Sector Specialist</v>
      </c>
      <c r="C118" s="22"/>
      <c r="D118" s="23">
        <v>0</v>
      </c>
      <c r="E118" s="23">
        <v>0</v>
      </c>
      <c r="F118" s="23">
        <v>0.05</v>
      </c>
      <c r="G118" s="23">
        <v>0</v>
      </c>
      <c r="H118" s="23">
        <v>0</v>
      </c>
      <c r="I118" s="23">
        <v>0.05</v>
      </c>
      <c r="J118" s="23">
        <v>0</v>
      </c>
      <c r="K118" s="23">
        <v>0</v>
      </c>
      <c r="L118" s="23">
        <v>0.1</v>
      </c>
      <c r="M118" s="23">
        <v>0.1</v>
      </c>
      <c r="N118" s="23">
        <v>0.7</v>
      </c>
      <c r="O118" s="23">
        <v>0</v>
      </c>
      <c r="P118" s="23">
        <v>0</v>
      </c>
      <c r="Q118" s="23">
        <f t="shared" si="4"/>
        <v>1</v>
      </c>
    </row>
    <row r="119" spans="2:17" s="8" customFormat="1" outlineLevel="1">
      <c r="B119" s="22" t="str">
        <f>'Program Budget'!D28</f>
        <v xml:space="preserve">Key Personnel: M&amp;E Director </v>
      </c>
      <c r="C119" s="22"/>
      <c r="D119" s="23">
        <v>1</v>
      </c>
      <c r="E119" s="23">
        <v>0</v>
      </c>
      <c r="F119" s="23">
        <v>0</v>
      </c>
      <c r="G119" s="23">
        <v>0</v>
      </c>
      <c r="H119" s="23">
        <v>0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f t="shared" si="4"/>
        <v>1</v>
      </c>
    </row>
    <row r="120" spans="2:17" s="8" customFormat="1" outlineLevel="1">
      <c r="B120" s="22" t="str">
        <f>'Program Budget'!D29</f>
        <v>M&amp;E Specialist</v>
      </c>
      <c r="C120" s="22"/>
      <c r="D120" s="23">
        <v>1</v>
      </c>
      <c r="E120" s="23">
        <v>0</v>
      </c>
      <c r="F120" s="23">
        <v>0</v>
      </c>
      <c r="G120" s="23">
        <v>0</v>
      </c>
      <c r="H120" s="23">
        <v>0</v>
      </c>
      <c r="I120" s="23">
        <v>0</v>
      </c>
      <c r="J120" s="23">
        <v>0</v>
      </c>
      <c r="K120" s="23">
        <v>0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23">
        <f t="shared" si="4"/>
        <v>1</v>
      </c>
    </row>
    <row r="121" spans="2:17" s="25" customFormat="1" outlineLevel="1">
      <c r="B121" s="22" t="str">
        <f>'Program Budget'!D30</f>
        <v>M&amp;E Officer</v>
      </c>
      <c r="C121" s="22"/>
      <c r="D121" s="23">
        <v>1</v>
      </c>
      <c r="E121" s="23">
        <v>0</v>
      </c>
      <c r="F121" s="23">
        <v>0</v>
      </c>
      <c r="G121" s="23">
        <v>0</v>
      </c>
      <c r="H121" s="23">
        <v>0</v>
      </c>
      <c r="I121" s="23">
        <v>0</v>
      </c>
      <c r="J121" s="23">
        <v>0</v>
      </c>
      <c r="K121" s="23">
        <v>0</v>
      </c>
      <c r="L121" s="23">
        <v>0</v>
      </c>
      <c r="M121" s="23">
        <v>0</v>
      </c>
      <c r="N121" s="23">
        <v>0</v>
      </c>
      <c r="O121" s="23">
        <v>0</v>
      </c>
      <c r="P121" s="23">
        <v>0</v>
      </c>
      <c r="Q121" s="23">
        <f t="shared" si="4"/>
        <v>1</v>
      </c>
    </row>
    <row r="122" spans="2:17" s="25" customFormat="1" outlineLevel="1">
      <c r="B122" s="22" t="str">
        <f>'Program Budget'!D31</f>
        <v>Supply Chain Manager</v>
      </c>
      <c r="C122" s="22"/>
      <c r="D122" s="23">
        <v>0</v>
      </c>
      <c r="E122" s="23">
        <v>0</v>
      </c>
      <c r="F122" s="23">
        <v>0</v>
      </c>
      <c r="G122" s="23">
        <v>0</v>
      </c>
      <c r="H122" s="23">
        <v>0</v>
      </c>
      <c r="I122" s="23">
        <v>0</v>
      </c>
      <c r="J122" s="23">
        <v>0</v>
      </c>
      <c r="K122" s="23">
        <v>0</v>
      </c>
      <c r="L122" s="23">
        <v>0</v>
      </c>
      <c r="M122" s="23">
        <v>0</v>
      </c>
      <c r="N122" s="23">
        <v>0</v>
      </c>
      <c r="O122" s="23">
        <v>0</v>
      </c>
      <c r="P122" s="23">
        <v>1</v>
      </c>
      <c r="Q122" s="23">
        <f t="shared" si="4"/>
        <v>1</v>
      </c>
    </row>
    <row r="123" spans="2:17" s="25" customFormat="1" outlineLevel="1">
      <c r="B123" s="22" t="str">
        <f>'Program Budget'!D32</f>
        <v>In-Country Logistics Specialist</v>
      </c>
      <c r="C123" s="22"/>
      <c r="D123" s="23">
        <v>0</v>
      </c>
      <c r="E123" s="23">
        <v>0</v>
      </c>
      <c r="F123" s="23">
        <v>0</v>
      </c>
      <c r="G123" s="23">
        <v>0</v>
      </c>
      <c r="H123" s="23">
        <v>0</v>
      </c>
      <c r="I123" s="23">
        <v>0</v>
      </c>
      <c r="J123" s="23">
        <v>0</v>
      </c>
      <c r="K123" s="23">
        <v>0</v>
      </c>
      <c r="L123" s="23">
        <v>0</v>
      </c>
      <c r="M123" s="23">
        <v>0</v>
      </c>
      <c r="N123" s="23">
        <v>0</v>
      </c>
      <c r="O123" s="23">
        <v>0</v>
      </c>
      <c r="P123" s="23">
        <v>1</v>
      </c>
      <c r="Q123" s="23">
        <f t="shared" si="4"/>
        <v>1</v>
      </c>
    </row>
    <row r="124" spans="2:17" s="25" customFormat="1" outlineLevel="1">
      <c r="B124" s="22" t="str">
        <f>'Program Budget'!D33</f>
        <v>US Commodity Logistics Specialist</v>
      </c>
      <c r="C124" s="22"/>
      <c r="D124" s="23">
        <v>0</v>
      </c>
      <c r="E124" s="23">
        <v>0</v>
      </c>
      <c r="F124" s="23">
        <v>0</v>
      </c>
      <c r="G124" s="23">
        <v>0</v>
      </c>
      <c r="H124" s="23">
        <v>0</v>
      </c>
      <c r="I124" s="23">
        <v>0</v>
      </c>
      <c r="J124" s="23">
        <v>0</v>
      </c>
      <c r="K124" s="23">
        <v>0</v>
      </c>
      <c r="L124" s="23">
        <v>0</v>
      </c>
      <c r="M124" s="23">
        <v>0</v>
      </c>
      <c r="N124" s="23">
        <v>0</v>
      </c>
      <c r="O124" s="23">
        <v>0.2</v>
      </c>
      <c r="P124" s="23">
        <v>0.8</v>
      </c>
      <c r="Q124" s="23">
        <f t="shared" si="4"/>
        <v>1</v>
      </c>
    </row>
    <row r="125" spans="2:17" s="25" customFormat="1" outlineLevel="1">
      <c r="B125" s="22" t="str">
        <f>'Program Budget'!D34</f>
        <v>Warehouse Manager</v>
      </c>
      <c r="C125" s="22"/>
      <c r="D125" s="23">
        <v>0</v>
      </c>
      <c r="E125" s="23">
        <v>0</v>
      </c>
      <c r="F125" s="23">
        <v>0</v>
      </c>
      <c r="G125" s="23">
        <v>0</v>
      </c>
      <c r="H125" s="23">
        <v>0</v>
      </c>
      <c r="I125" s="23">
        <v>0</v>
      </c>
      <c r="J125" s="23">
        <v>0</v>
      </c>
      <c r="K125" s="23">
        <v>0</v>
      </c>
      <c r="L125" s="23">
        <v>0</v>
      </c>
      <c r="M125" s="23">
        <v>0</v>
      </c>
      <c r="N125" s="23">
        <v>0</v>
      </c>
      <c r="O125" s="23">
        <v>0</v>
      </c>
      <c r="P125" s="23">
        <v>1</v>
      </c>
      <c r="Q125" s="23">
        <f t="shared" si="4"/>
        <v>1</v>
      </c>
    </row>
    <row r="126" spans="2:17" s="25" customFormat="1" outlineLevel="1">
      <c r="B126" s="22" t="str">
        <f>'Program Budget'!D35</f>
        <v>Warehouse Officer - (2 Individuals)</v>
      </c>
      <c r="C126" s="22"/>
      <c r="D126" s="23">
        <v>0</v>
      </c>
      <c r="E126" s="23">
        <v>0</v>
      </c>
      <c r="F126" s="23">
        <v>0</v>
      </c>
      <c r="G126" s="23">
        <v>0</v>
      </c>
      <c r="H126" s="23">
        <v>0</v>
      </c>
      <c r="I126" s="23">
        <v>0</v>
      </c>
      <c r="J126" s="23">
        <v>0</v>
      </c>
      <c r="K126" s="23">
        <v>0</v>
      </c>
      <c r="L126" s="23">
        <v>0</v>
      </c>
      <c r="M126" s="23">
        <v>0</v>
      </c>
      <c r="N126" s="23">
        <v>0</v>
      </c>
      <c r="O126" s="23">
        <v>0</v>
      </c>
      <c r="P126" s="23">
        <v>1</v>
      </c>
      <c r="Q126" s="23">
        <f t="shared" si="4"/>
        <v>1</v>
      </c>
    </row>
    <row r="127" spans="2:17" s="25" customFormat="1" outlineLevel="1">
      <c r="B127" s="22" t="str">
        <f>'Program Budget'!D36</f>
        <v xml:space="preserve">LRP Technical Specialist </v>
      </c>
      <c r="C127" s="22"/>
      <c r="D127" s="23">
        <v>0</v>
      </c>
      <c r="E127" s="23">
        <v>0</v>
      </c>
      <c r="F127" s="23">
        <v>0</v>
      </c>
      <c r="G127" s="23">
        <v>0</v>
      </c>
      <c r="H127" s="23">
        <v>0</v>
      </c>
      <c r="I127" s="23">
        <v>0</v>
      </c>
      <c r="J127" s="23">
        <v>0</v>
      </c>
      <c r="K127" s="23">
        <v>0</v>
      </c>
      <c r="L127" s="23">
        <v>0</v>
      </c>
      <c r="M127" s="23">
        <v>0</v>
      </c>
      <c r="N127" s="23">
        <v>0</v>
      </c>
      <c r="O127" s="23">
        <v>0</v>
      </c>
      <c r="P127" s="23">
        <v>1</v>
      </c>
      <c r="Q127" s="23">
        <f t="shared" si="4"/>
        <v>1</v>
      </c>
    </row>
    <row r="128" spans="2:17" s="25" customFormat="1" outlineLevel="1">
      <c r="B128" s="22" t="str">
        <f>'Program Budget'!D37</f>
        <v>Finance &amp; Administration Director</v>
      </c>
      <c r="C128" s="22"/>
      <c r="D128" s="23">
        <v>1</v>
      </c>
      <c r="E128" s="23">
        <v>0</v>
      </c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23">
        <f t="shared" si="4"/>
        <v>1</v>
      </c>
    </row>
    <row r="129" spans="2:17" s="25" customFormat="1" outlineLevel="1">
      <c r="B129" s="22" t="str">
        <f>'Program Budget'!D38</f>
        <v>Contracts &amp; Compliance Manager</v>
      </c>
      <c r="C129" s="22"/>
      <c r="D129" s="23">
        <v>1</v>
      </c>
      <c r="E129" s="23">
        <v>0</v>
      </c>
      <c r="F129" s="23">
        <v>0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3">
        <v>0</v>
      </c>
      <c r="N129" s="23">
        <v>0</v>
      </c>
      <c r="O129" s="23">
        <v>0</v>
      </c>
      <c r="P129" s="23">
        <v>0</v>
      </c>
      <c r="Q129" s="23">
        <f t="shared" si="4"/>
        <v>1</v>
      </c>
    </row>
    <row r="130" spans="2:17" s="25" customFormat="1" outlineLevel="1">
      <c r="B130" s="22" t="str">
        <f>'Program Budget'!D39</f>
        <v>Grants &amp; Procurement Specialist</v>
      </c>
      <c r="C130" s="22"/>
      <c r="D130" s="23">
        <v>1</v>
      </c>
      <c r="E130" s="23">
        <v>0</v>
      </c>
      <c r="F130" s="23">
        <v>0</v>
      </c>
      <c r="G130" s="23">
        <v>0</v>
      </c>
      <c r="H130" s="23">
        <v>0</v>
      </c>
      <c r="I130" s="23">
        <v>0</v>
      </c>
      <c r="J130" s="23">
        <v>0</v>
      </c>
      <c r="K130" s="23">
        <v>0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23">
        <f t="shared" si="4"/>
        <v>1</v>
      </c>
    </row>
    <row r="131" spans="2:17" s="25" customFormat="1" outlineLevel="1">
      <c r="B131" s="22" t="str">
        <f>'Program Budget'!D40</f>
        <v>Grants &amp; Procurement Officer</v>
      </c>
      <c r="C131" s="22"/>
      <c r="D131" s="23">
        <v>1</v>
      </c>
      <c r="E131" s="23">
        <v>0</v>
      </c>
      <c r="F131" s="23">
        <v>0</v>
      </c>
      <c r="G131" s="23">
        <v>0</v>
      </c>
      <c r="H131" s="23">
        <v>0</v>
      </c>
      <c r="I131" s="23">
        <v>0</v>
      </c>
      <c r="J131" s="23">
        <v>0</v>
      </c>
      <c r="K131" s="23">
        <v>0</v>
      </c>
      <c r="L131" s="23">
        <v>0</v>
      </c>
      <c r="M131" s="23">
        <v>0</v>
      </c>
      <c r="N131" s="23">
        <v>0</v>
      </c>
      <c r="O131" s="23">
        <v>0</v>
      </c>
      <c r="P131" s="23">
        <v>0</v>
      </c>
      <c r="Q131" s="23">
        <f t="shared" si="4"/>
        <v>1</v>
      </c>
    </row>
    <row r="132" spans="2:17" s="25" customFormat="1" outlineLevel="1">
      <c r="B132" s="22" t="str">
        <f>'Program Budget'!D41</f>
        <v>Finance Officer</v>
      </c>
      <c r="C132" s="22"/>
      <c r="D132" s="23">
        <v>1</v>
      </c>
      <c r="E132" s="23">
        <v>0</v>
      </c>
      <c r="F132" s="23">
        <v>0</v>
      </c>
      <c r="G132" s="23">
        <v>0</v>
      </c>
      <c r="H132" s="23">
        <v>0</v>
      </c>
      <c r="I132" s="23">
        <v>0</v>
      </c>
      <c r="J132" s="23">
        <v>0</v>
      </c>
      <c r="K132" s="23">
        <v>0</v>
      </c>
      <c r="L132" s="23">
        <v>0</v>
      </c>
      <c r="M132" s="23">
        <v>0</v>
      </c>
      <c r="N132" s="23">
        <v>0</v>
      </c>
      <c r="O132" s="23">
        <v>0</v>
      </c>
      <c r="P132" s="23">
        <v>0</v>
      </c>
      <c r="Q132" s="23">
        <f t="shared" si="4"/>
        <v>1</v>
      </c>
    </row>
    <row r="133" spans="2:17" s="25" customFormat="1" outlineLevel="1">
      <c r="B133" s="22" t="str">
        <f>'Program Budget'!D42</f>
        <v>Accountant</v>
      </c>
      <c r="C133" s="22"/>
      <c r="D133" s="23">
        <v>1</v>
      </c>
      <c r="E133" s="23">
        <v>0</v>
      </c>
      <c r="F133" s="23">
        <v>0</v>
      </c>
      <c r="G133" s="23">
        <v>0</v>
      </c>
      <c r="H133" s="23">
        <v>0</v>
      </c>
      <c r="I133" s="23">
        <v>0</v>
      </c>
      <c r="J133" s="23">
        <v>0</v>
      </c>
      <c r="K133" s="23">
        <v>0</v>
      </c>
      <c r="L133" s="23">
        <v>0</v>
      </c>
      <c r="M133" s="23">
        <v>0</v>
      </c>
      <c r="N133" s="23">
        <v>0</v>
      </c>
      <c r="O133" s="23">
        <v>0</v>
      </c>
      <c r="P133" s="23">
        <v>0</v>
      </c>
      <c r="Q133" s="23">
        <f t="shared" si="4"/>
        <v>1</v>
      </c>
    </row>
    <row r="134" spans="2:17" s="25" customFormat="1" outlineLevel="1">
      <c r="B134" s="22" t="str">
        <f>'Program Budget'!D43</f>
        <v>Operation &amp; HR Manager</v>
      </c>
      <c r="C134" s="22"/>
      <c r="D134" s="23">
        <v>1</v>
      </c>
      <c r="E134" s="23">
        <v>0</v>
      </c>
      <c r="F134" s="23">
        <v>0</v>
      </c>
      <c r="G134" s="23">
        <v>0</v>
      </c>
      <c r="H134" s="23">
        <v>0</v>
      </c>
      <c r="I134" s="23">
        <v>0</v>
      </c>
      <c r="J134" s="23">
        <v>0</v>
      </c>
      <c r="K134" s="23">
        <v>0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23">
        <f t="shared" si="4"/>
        <v>1</v>
      </c>
    </row>
    <row r="135" spans="2:17" s="25" customFormat="1" outlineLevel="1">
      <c r="B135" s="22" t="str">
        <f>'Program Budget'!D44</f>
        <v>Administrative Assistant - (2 Individuals)</v>
      </c>
      <c r="C135" s="22"/>
      <c r="D135" s="23">
        <v>1</v>
      </c>
      <c r="E135" s="23">
        <v>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  <c r="L135" s="23">
        <v>0</v>
      </c>
      <c r="M135" s="23">
        <v>0</v>
      </c>
      <c r="N135" s="23">
        <v>0</v>
      </c>
      <c r="O135" s="23">
        <v>0</v>
      </c>
      <c r="P135" s="23">
        <v>0</v>
      </c>
      <c r="Q135" s="23">
        <f t="shared" si="4"/>
        <v>1</v>
      </c>
    </row>
    <row r="136" spans="2:17" s="25" customFormat="1" outlineLevel="1">
      <c r="B136" s="22" t="str">
        <f>'Program Budget'!D45</f>
        <v>Driver - (2 Individuals)</v>
      </c>
      <c r="C136" s="22"/>
      <c r="D136" s="23">
        <v>1</v>
      </c>
      <c r="E136" s="23">
        <v>0</v>
      </c>
      <c r="F136" s="23">
        <v>0</v>
      </c>
      <c r="G136" s="23">
        <v>0</v>
      </c>
      <c r="H136" s="23">
        <v>0</v>
      </c>
      <c r="I136" s="23">
        <v>0</v>
      </c>
      <c r="J136" s="23">
        <v>0</v>
      </c>
      <c r="K136" s="23">
        <v>0</v>
      </c>
      <c r="L136" s="23">
        <v>0</v>
      </c>
      <c r="M136" s="23">
        <v>0</v>
      </c>
      <c r="N136" s="23">
        <v>0</v>
      </c>
      <c r="O136" s="23">
        <v>0</v>
      </c>
      <c r="P136" s="23">
        <v>0</v>
      </c>
      <c r="Q136" s="23">
        <f t="shared" si="4"/>
        <v>1</v>
      </c>
    </row>
    <row r="137" spans="2:17" s="8" customFormat="1" outlineLevel="1">
      <c r="B137" s="20" t="s">
        <v>651</v>
      </c>
      <c r="C137" s="20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</row>
    <row r="138" spans="2:17" s="8" customFormat="1" outlineLevel="1">
      <c r="B138" s="22" t="str">
        <f>'Program Budget'!D47</f>
        <v>Senior Vice President of Programs</v>
      </c>
      <c r="C138" s="22"/>
      <c r="D138" s="23">
        <v>0.35</v>
      </c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>
        <f>SUM(D138:O138)</f>
        <v>0.35</v>
      </c>
    </row>
    <row r="139" spans="2:17" s="8" customFormat="1" outlineLevel="1">
      <c r="B139" s="22" t="str">
        <f>'Program Budget'!D48</f>
        <v xml:space="preserve">Program Director </v>
      </c>
      <c r="C139" s="22"/>
      <c r="D139" s="23">
        <v>0.9</v>
      </c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>
        <f>SUM(D139:O139)</f>
        <v>0.9</v>
      </c>
    </row>
    <row r="140" spans="2:17" s="8" customFormat="1" outlineLevel="1">
      <c r="B140" s="22" t="str">
        <f>'Program Budget'!D49</f>
        <v>Compliance &amp; Contracts Director</v>
      </c>
      <c r="C140" s="22"/>
      <c r="D140" s="23">
        <v>0.2</v>
      </c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>
        <f>SUM(D140:O140)</f>
        <v>0.2</v>
      </c>
    </row>
    <row r="141" spans="2:17" s="8" customFormat="1" outlineLevel="1">
      <c r="B141" s="22" t="str">
        <f>'Program Budget'!D50</f>
        <v>Associate Director</v>
      </c>
      <c r="C141" s="22"/>
      <c r="D141" s="23">
        <v>1</v>
      </c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>
        <f>SUM(D141:O141)</f>
        <v>1</v>
      </c>
    </row>
    <row r="142" spans="2:17" s="8" customFormat="1" outlineLevel="1">
      <c r="B142" s="22" t="str">
        <f>'Program Budget'!D51</f>
        <v xml:space="preserve">Senior Program Officer </v>
      </c>
      <c r="C142" s="22"/>
      <c r="D142" s="23">
        <v>0.05</v>
      </c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>
        <f>SUM(D142:O142)</f>
        <v>0.05</v>
      </c>
    </row>
    <row r="143" spans="2:17" s="8" customFormat="1" outlineLevel="1">
      <c r="B143" s="27" t="s">
        <v>140</v>
      </c>
      <c r="C143" s="27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</row>
    <row r="144" spans="2:17">
      <c r="D144" s="11"/>
      <c r="E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11"/>
    </row>
    <row r="145" spans="2:17" s="227" customFormat="1" ht="47.5" customHeight="1">
      <c r="B145" s="225"/>
      <c r="C145" s="225"/>
      <c r="D145" s="226" t="str">
        <f t="shared" ref="D145:P145" si="5">D7</f>
        <v>Administration</v>
      </c>
      <c r="E145" s="226" t="str">
        <f t="shared" si="5"/>
        <v>Activity 1: Provide School Meals</v>
      </c>
      <c r="F145" s="226" t="str">
        <f t="shared" si="5"/>
        <v>Activity 2: Distribution: School Supplies and Materials</v>
      </c>
      <c r="G145" s="226" t="str">
        <f t="shared" si="5"/>
        <v>Activity 3: Training: Teacher and Administrators</v>
      </c>
      <c r="H145" s="226" t="str">
        <f t="shared" si="5"/>
        <v>Activity 4: Enrollment Campaigns</v>
      </c>
      <c r="I145" s="226" t="str">
        <f t="shared" si="5"/>
        <v>Activity 5: Building/Rehabilitation: Wells and Water Stations/Systems</v>
      </c>
      <c r="J145" s="226" t="str">
        <f t="shared" si="5"/>
        <v>Activity 6: Training: Good Health and Nutrition Practices</v>
      </c>
      <c r="K145" s="226" t="str">
        <f t="shared" si="5"/>
        <v>Activity 7: Training: Commodity Management</v>
      </c>
      <c r="L145" s="226" t="str">
        <f t="shared" si="5"/>
        <v>Activity 8: Capacity Building: Local and Regional Level</v>
      </c>
      <c r="M145" s="226" t="str">
        <f t="shared" si="5"/>
        <v>Activity 9: Capacity Building: National Level</v>
      </c>
      <c r="N145" s="226" t="str">
        <f t="shared" si="5"/>
        <v>Activity 10: Develop Public-Private Partnerships to Support School Feeding Sustainability</v>
      </c>
      <c r="O145" s="226" t="str">
        <f t="shared" si="5"/>
        <v xml:space="preserve">Activity 11: Expand Use of US Commodities in Honduras School Feeding Program </v>
      </c>
      <c r="P145" s="226" t="str">
        <f t="shared" si="5"/>
        <v>Internal Transportation Storage and Handling (ITSH)</v>
      </c>
      <c r="Q145" s="226" t="s">
        <v>662</v>
      </c>
    </row>
    <row r="146" spans="2:17" s="17" customFormat="1" ht="12.3">
      <c r="B146" s="14" t="s">
        <v>538</v>
      </c>
      <c r="C146" s="14"/>
      <c r="D146" s="15" t="s">
        <v>647</v>
      </c>
      <c r="E146" s="15" t="s">
        <v>647</v>
      </c>
      <c r="F146" s="15" t="s">
        <v>648</v>
      </c>
      <c r="G146" s="15" t="s">
        <v>648</v>
      </c>
      <c r="H146" s="15"/>
      <c r="I146" s="15"/>
      <c r="J146" s="15"/>
      <c r="K146" s="15"/>
      <c r="L146" s="15"/>
      <c r="M146" s="15"/>
      <c r="N146" s="15"/>
      <c r="O146" s="15"/>
      <c r="P146" s="15"/>
      <c r="Q146" s="15" t="s">
        <v>648</v>
      </c>
    </row>
    <row r="147" spans="2:17" s="8" customFormat="1">
      <c r="B147" s="18" t="s">
        <v>649</v>
      </c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</row>
    <row r="148" spans="2:17" s="8" customFormat="1" outlineLevel="1">
      <c r="B148" s="20" t="s">
        <v>650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</row>
    <row r="149" spans="2:17" s="8" customFormat="1" outlineLevel="1">
      <c r="B149" s="22" t="str">
        <f>'Program Budget'!D12</f>
        <v xml:space="preserve">Key Personnel: Chief of Party - Roger Sanchez O’Neill </v>
      </c>
      <c r="C149" s="22"/>
      <c r="D149" s="23">
        <v>1</v>
      </c>
      <c r="E149" s="23">
        <v>0</v>
      </c>
      <c r="F149" s="23">
        <v>0</v>
      </c>
      <c r="G149" s="23">
        <v>0</v>
      </c>
      <c r="H149" s="23">
        <v>0</v>
      </c>
      <c r="I149" s="23">
        <v>0</v>
      </c>
      <c r="J149" s="23">
        <v>0</v>
      </c>
      <c r="K149" s="23">
        <v>0</v>
      </c>
      <c r="L149" s="23">
        <v>0</v>
      </c>
      <c r="M149" s="23">
        <v>0</v>
      </c>
      <c r="N149" s="23">
        <v>0</v>
      </c>
      <c r="O149" s="23">
        <v>0</v>
      </c>
      <c r="P149" s="23">
        <v>0</v>
      </c>
      <c r="Q149" s="23">
        <f t="shared" ref="Q149:Q182" si="6">SUM(D149:P149)</f>
        <v>1</v>
      </c>
    </row>
    <row r="150" spans="2:17" s="8" customFormat="1" outlineLevel="1">
      <c r="B150" s="22" t="str">
        <f>'Program Budget'!D13</f>
        <v>Key Personnel: Deputy Chief of Party - David Medina Mayo</v>
      </c>
      <c r="C150" s="22"/>
      <c r="D150" s="23">
        <v>1</v>
      </c>
      <c r="E150" s="23">
        <v>0</v>
      </c>
      <c r="F150" s="23">
        <v>0</v>
      </c>
      <c r="G150" s="23">
        <v>0</v>
      </c>
      <c r="H150" s="23">
        <v>0</v>
      </c>
      <c r="I150" s="23">
        <v>0</v>
      </c>
      <c r="J150" s="23">
        <v>0</v>
      </c>
      <c r="K150" s="23">
        <v>0</v>
      </c>
      <c r="L150" s="23">
        <v>0</v>
      </c>
      <c r="M150" s="23">
        <v>0</v>
      </c>
      <c r="N150" s="23">
        <v>0</v>
      </c>
      <c r="O150" s="23">
        <v>0</v>
      </c>
      <c r="P150" s="23">
        <v>0</v>
      </c>
      <c r="Q150" s="23">
        <f t="shared" si="6"/>
        <v>1</v>
      </c>
    </row>
    <row r="151" spans="2:17" s="8" customFormat="1" outlineLevel="1">
      <c r="B151" s="22" t="str">
        <f>'Program Budget'!D14</f>
        <v>Policy &amp; Sustainability Specialist</v>
      </c>
      <c r="C151" s="22"/>
      <c r="D151" s="23">
        <v>0</v>
      </c>
      <c r="E151" s="23">
        <v>0</v>
      </c>
      <c r="F151" s="23">
        <v>0</v>
      </c>
      <c r="G151" s="23">
        <v>0</v>
      </c>
      <c r="H151" s="23">
        <v>0</v>
      </c>
      <c r="I151" s="23">
        <v>0</v>
      </c>
      <c r="J151" s="23">
        <v>0</v>
      </c>
      <c r="K151" s="23">
        <v>0.1</v>
      </c>
      <c r="L151" s="23">
        <v>0.2</v>
      </c>
      <c r="M151" s="23">
        <v>0.3</v>
      </c>
      <c r="N151" s="23">
        <v>0.3</v>
      </c>
      <c r="O151" s="23">
        <v>0.1</v>
      </c>
      <c r="P151" s="23">
        <v>0</v>
      </c>
      <c r="Q151" s="23">
        <f t="shared" si="6"/>
        <v>1.0000000000000002</v>
      </c>
    </row>
    <row r="152" spans="2:17" s="8" customFormat="1" outlineLevel="1">
      <c r="B152" s="22" t="str">
        <f>'Program Budget'!D15</f>
        <v xml:space="preserve">Education Director </v>
      </c>
      <c r="C152" s="22"/>
      <c r="D152" s="23">
        <v>0</v>
      </c>
      <c r="E152" s="23">
        <v>0</v>
      </c>
      <c r="F152" s="23">
        <v>0.1</v>
      </c>
      <c r="G152" s="23">
        <v>0.2</v>
      </c>
      <c r="H152" s="23">
        <v>0.2</v>
      </c>
      <c r="I152" s="23">
        <v>0</v>
      </c>
      <c r="J152" s="23">
        <v>0.2</v>
      </c>
      <c r="K152" s="23">
        <v>0</v>
      </c>
      <c r="L152" s="23">
        <v>0.1</v>
      </c>
      <c r="M152" s="23">
        <v>0.1</v>
      </c>
      <c r="N152" s="23">
        <v>0.1</v>
      </c>
      <c r="O152" s="23">
        <v>0</v>
      </c>
      <c r="P152" s="23">
        <v>0</v>
      </c>
      <c r="Q152" s="23">
        <f t="shared" si="6"/>
        <v>0.99999999999999989</v>
      </c>
    </row>
    <row r="153" spans="2:17" s="8" customFormat="1" outlineLevel="1">
      <c r="B153" s="22" t="str">
        <f>'Program Budget'!D16</f>
        <v>Education Specialist</v>
      </c>
      <c r="C153" s="22"/>
      <c r="D153" s="23">
        <v>0</v>
      </c>
      <c r="E153" s="23">
        <v>0</v>
      </c>
      <c r="F153" s="23">
        <v>0.1</v>
      </c>
      <c r="G153" s="23">
        <v>0.2</v>
      </c>
      <c r="H153" s="23">
        <v>0.2</v>
      </c>
      <c r="I153" s="23">
        <v>0</v>
      </c>
      <c r="J153" s="23">
        <v>0.2</v>
      </c>
      <c r="K153" s="23">
        <v>0</v>
      </c>
      <c r="L153" s="23">
        <v>0.1</v>
      </c>
      <c r="M153" s="23">
        <v>0.1</v>
      </c>
      <c r="N153" s="23">
        <v>0.1</v>
      </c>
      <c r="O153" s="23">
        <v>0</v>
      </c>
      <c r="P153" s="23">
        <v>0</v>
      </c>
      <c r="Q153" s="23">
        <f t="shared" si="6"/>
        <v>0.99999999999999989</v>
      </c>
    </row>
    <row r="154" spans="2:17" s="8" customFormat="1" outlineLevel="1">
      <c r="B154" s="22" t="str">
        <f>'Program Budget'!D17</f>
        <v>Education Officer</v>
      </c>
      <c r="C154" s="22"/>
      <c r="D154" s="23">
        <v>0</v>
      </c>
      <c r="E154" s="23">
        <v>0</v>
      </c>
      <c r="F154" s="23">
        <v>0.1</v>
      </c>
      <c r="G154" s="23">
        <v>0.2</v>
      </c>
      <c r="H154" s="23">
        <v>0.2</v>
      </c>
      <c r="I154" s="23">
        <v>0</v>
      </c>
      <c r="J154" s="23">
        <v>0.2</v>
      </c>
      <c r="K154" s="23">
        <v>0</v>
      </c>
      <c r="L154" s="23">
        <v>0.1</v>
      </c>
      <c r="M154" s="23">
        <v>0.1</v>
      </c>
      <c r="N154" s="23">
        <v>0.1</v>
      </c>
      <c r="O154" s="23">
        <v>0</v>
      </c>
      <c r="P154" s="23">
        <v>0</v>
      </c>
      <c r="Q154" s="23">
        <f t="shared" si="6"/>
        <v>0.99999999999999989</v>
      </c>
    </row>
    <row r="155" spans="2:17" s="8" customFormat="1" outlineLevel="1">
      <c r="B155" s="22" t="str">
        <f>'Program Budget'!D18</f>
        <v>Nutrition and Health Specialist</v>
      </c>
      <c r="C155" s="22"/>
      <c r="D155" s="23">
        <v>0</v>
      </c>
      <c r="E155" s="23">
        <v>0.25</v>
      </c>
      <c r="F155" s="23">
        <v>0</v>
      </c>
      <c r="G155" s="23">
        <v>0</v>
      </c>
      <c r="H155" s="23">
        <v>0</v>
      </c>
      <c r="I155" s="23">
        <v>0.25</v>
      </c>
      <c r="J155" s="23">
        <v>0.15</v>
      </c>
      <c r="K155" s="23">
        <v>0.1</v>
      </c>
      <c r="L155" s="23">
        <v>0.05</v>
      </c>
      <c r="M155" s="23">
        <v>0.05</v>
      </c>
      <c r="N155" s="23">
        <v>0.1</v>
      </c>
      <c r="O155" s="23">
        <v>0.05</v>
      </c>
      <c r="P155" s="23">
        <v>0</v>
      </c>
      <c r="Q155" s="23">
        <f t="shared" si="6"/>
        <v>1</v>
      </c>
    </row>
    <row r="156" spans="2:17" s="8" customFormat="1" outlineLevel="1">
      <c r="B156" s="22" t="str">
        <f>'Program Budget'!D19</f>
        <v>Nutrition Officer - (2 Individuals)</v>
      </c>
      <c r="C156" s="22"/>
      <c r="D156" s="23">
        <v>0</v>
      </c>
      <c r="E156" s="23">
        <v>0.85</v>
      </c>
      <c r="F156" s="23">
        <v>0</v>
      </c>
      <c r="G156" s="23">
        <v>0</v>
      </c>
      <c r="H156" s="23">
        <v>0</v>
      </c>
      <c r="I156" s="23">
        <v>0</v>
      </c>
      <c r="J156" s="23">
        <v>0.15</v>
      </c>
      <c r="K156" s="23">
        <v>0</v>
      </c>
      <c r="L156" s="23">
        <v>0</v>
      </c>
      <c r="M156" s="23">
        <v>0</v>
      </c>
      <c r="N156" s="23">
        <v>0</v>
      </c>
      <c r="O156" s="23">
        <v>0</v>
      </c>
      <c r="P156" s="23">
        <v>0</v>
      </c>
      <c r="Q156" s="23">
        <f t="shared" si="6"/>
        <v>1</v>
      </c>
    </row>
    <row r="157" spans="2:17" s="8" customFormat="1" outlineLevel="1">
      <c r="B157" s="22" t="str">
        <f>'Program Budget'!D20</f>
        <v>School Feeding Specialist</v>
      </c>
      <c r="C157" s="22"/>
      <c r="D157" s="23">
        <v>0</v>
      </c>
      <c r="E157" s="23">
        <v>0.4</v>
      </c>
      <c r="F157" s="23">
        <v>0</v>
      </c>
      <c r="G157" s="23">
        <v>0</v>
      </c>
      <c r="H157" s="23">
        <v>0</v>
      </c>
      <c r="I157" s="23">
        <v>0</v>
      </c>
      <c r="J157" s="23">
        <v>0.15</v>
      </c>
      <c r="K157" s="23">
        <v>0.25</v>
      </c>
      <c r="L157" s="23">
        <v>0.05</v>
      </c>
      <c r="M157" s="23">
        <v>0.05</v>
      </c>
      <c r="N157" s="23">
        <v>0.05</v>
      </c>
      <c r="O157" s="23">
        <v>0.05</v>
      </c>
      <c r="P157" s="23">
        <v>0</v>
      </c>
      <c r="Q157" s="23">
        <f t="shared" si="6"/>
        <v>1.0000000000000002</v>
      </c>
    </row>
    <row r="158" spans="2:17" s="8" customFormat="1" outlineLevel="1">
      <c r="B158" s="22" t="str">
        <f>'Program Budget'!D21</f>
        <v>Food Aid Monitors - (2 Individuals)</v>
      </c>
      <c r="C158" s="22"/>
      <c r="D158" s="23">
        <v>0</v>
      </c>
      <c r="E158" s="23">
        <v>0.85</v>
      </c>
      <c r="F158" s="23">
        <v>0</v>
      </c>
      <c r="G158" s="23">
        <v>0</v>
      </c>
      <c r="H158" s="23">
        <v>0</v>
      </c>
      <c r="I158" s="23">
        <v>0</v>
      </c>
      <c r="J158" s="23">
        <v>7.0000000000000007E-2</v>
      </c>
      <c r="K158" s="23">
        <v>0.08</v>
      </c>
      <c r="L158" s="23">
        <v>0</v>
      </c>
      <c r="M158" s="23">
        <v>0</v>
      </c>
      <c r="N158" s="23">
        <v>0</v>
      </c>
      <c r="O158" s="23">
        <v>0</v>
      </c>
      <c r="P158" s="23">
        <v>0</v>
      </c>
      <c r="Q158" s="23">
        <f t="shared" si="6"/>
        <v>0.99999999999999989</v>
      </c>
    </row>
    <row r="159" spans="2:17" s="8" customFormat="1" outlineLevel="1">
      <c r="B159" s="22" t="str">
        <f>'Program Budget'!D22</f>
        <v>WASH Officer</v>
      </c>
      <c r="C159" s="22"/>
      <c r="D159" s="23">
        <v>0</v>
      </c>
      <c r="E159" s="23">
        <v>0</v>
      </c>
      <c r="F159" s="23">
        <v>0</v>
      </c>
      <c r="G159" s="23">
        <v>0</v>
      </c>
      <c r="H159" s="23">
        <v>0</v>
      </c>
      <c r="I159" s="23">
        <v>1</v>
      </c>
      <c r="J159" s="23">
        <v>0</v>
      </c>
      <c r="K159" s="23">
        <v>0</v>
      </c>
      <c r="L159" s="23">
        <v>0</v>
      </c>
      <c r="M159" s="23">
        <v>0</v>
      </c>
      <c r="N159" s="23">
        <v>0</v>
      </c>
      <c r="O159" s="23">
        <v>0</v>
      </c>
      <c r="P159" s="23">
        <v>0</v>
      </c>
      <c r="Q159" s="23">
        <f t="shared" si="6"/>
        <v>1</v>
      </c>
    </row>
    <row r="160" spans="2:17" s="8" customFormat="1" outlineLevel="1">
      <c r="B160" s="22" t="str">
        <f>'Program Budget'!D23</f>
        <v>Communications Specialist</v>
      </c>
      <c r="C160" s="22"/>
      <c r="D160" s="23">
        <v>0.5</v>
      </c>
      <c r="E160" s="23">
        <v>0</v>
      </c>
      <c r="F160" s="23">
        <v>0</v>
      </c>
      <c r="G160" s="23">
        <v>0</v>
      </c>
      <c r="H160" s="23">
        <v>0.1</v>
      </c>
      <c r="I160" s="23">
        <v>0</v>
      </c>
      <c r="J160" s="23">
        <v>0.15</v>
      </c>
      <c r="K160" s="23">
        <v>0</v>
      </c>
      <c r="L160" s="23">
        <v>0.1</v>
      </c>
      <c r="M160" s="23">
        <v>0</v>
      </c>
      <c r="N160" s="23">
        <v>0.15</v>
      </c>
      <c r="O160" s="23">
        <v>0</v>
      </c>
      <c r="P160" s="23">
        <v>0</v>
      </c>
      <c r="Q160" s="23">
        <f t="shared" si="6"/>
        <v>1</v>
      </c>
    </row>
    <row r="161" spans="2:17" s="8" customFormat="1" outlineLevel="1">
      <c r="B161" s="22" t="str">
        <f>'Program Budget'!D24</f>
        <v>Communications Officer</v>
      </c>
      <c r="C161" s="22"/>
      <c r="D161" s="23">
        <v>0</v>
      </c>
      <c r="E161" s="23">
        <v>0</v>
      </c>
      <c r="F161" s="23">
        <v>0</v>
      </c>
      <c r="G161" s="23">
        <v>0</v>
      </c>
      <c r="H161" s="23">
        <v>0.6</v>
      </c>
      <c r="I161" s="23">
        <v>0</v>
      </c>
      <c r="J161" s="23">
        <v>0.15</v>
      </c>
      <c r="K161" s="23">
        <v>0</v>
      </c>
      <c r="L161" s="23">
        <v>0.1</v>
      </c>
      <c r="M161" s="23">
        <v>0</v>
      </c>
      <c r="N161" s="23">
        <v>0.15</v>
      </c>
      <c r="O161" s="23">
        <v>0</v>
      </c>
      <c r="P161" s="23">
        <v>0</v>
      </c>
      <c r="Q161" s="23">
        <f t="shared" si="6"/>
        <v>1</v>
      </c>
    </row>
    <row r="162" spans="2:17" s="8" customFormat="1" outlineLevel="1">
      <c r="B162" s="22" t="str">
        <f>'Program Budget'!D25</f>
        <v>Education &amp; Community Engagement Specialist</v>
      </c>
      <c r="C162" s="22"/>
      <c r="D162" s="23">
        <v>0</v>
      </c>
      <c r="E162" s="23">
        <v>0.1</v>
      </c>
      <c r="F162" s="23">
        <v>0.1</v>
      </c>
      <c r="G162" s="23">
        <v>0.1</v>
      </c>
      <c r="H162" s="23">
        <v>0.15</v>
      </c>
      <c r="I162" s="23">
        <v>0.1</v>
      </c>
      <c r="J162" s="23">
        <v>0.1</v>
      </c>
      <c r="K162" s="23">
        <v>0.1</v>
      </c>
      <c r="L162" s="23">
        <v>0.1</v>
      </c>
      <c r="M162" s="23">
        <v>0.05</v>
      </c>
      <c r="N162" s="23">
        <v>0.05</v>
      </c>
      <c r="O162" s="23">
        <v>0.05</v>
      </c>
      <c r="P162" s="23">
        <v>0</v>
      </c>
      <c r="Q162" s="23">
        <f t="shared" si="6"/>
        <v>1</v>
      </c>
    </row>
    <row r="163" spans="2:17" s="8" customFormat="1" outlineLevel="1">
      <c r="B163" s="22" t="str">
        <f>'Program Budget'!D26</f>
        <v>Education &amp; Community Engagement Officer</v>
      </c>
      <c r="C163" s="22"/>
      <c r="D163" s="23">
        <v>0</v>
      </c>
      <c r="E163" s="23">
        <v>0.1</v>
      </c>
      <c r="F163" s="23">
        <v>0.1</v>
      </c>
      <c r="G163" s="23">
        <v>0.1</v>
      </c>
      <c r="H163" s="23">
        <v>0.15</v>
      </c>
      <c r="I163" s="23">
        <v>0.1</v>
      </c>
      <c r="J163" s="23">
        <v>0.1</v>
      </c>
      <c r="K163" s="23">
        <v>0.1</v>
      </c>
      <c r="L163" s="23">
        <v>0.1</v>
      </c>
      <c r="M163" s="23">
        <v>0.05</v>
      </c>
      <c r="N163" s="23">
        <v>0.05</v>
      </c>
      <c r="O163" s="23">
        <v>0.05</v>
      </c>
      <c r="P163" s="23">
        <v>0</v>
      </c>
      <c r="Q163" s="23">
        <f t="shared" si="6"/>
        <v>1</v>
      </c>
    </row>
    <row r="164" spans="2:17" s="8" customFormat="1" outlineLevel="1">
      <c r="B164" s="22" t="str">
        <f>'Program Budget'!D27</f>
        <v>Private Sector Specialist</v>
      </c>
      <c r="C164" s="22"/>
      <c r="D164" s="23">
        <v>0</v>
      </c>
      <c r="E164" s="23">
        <v>0</v>
      </c>
      <c r="F164" s="23">
        <v>0.05</v>
      </c>
      <c r="G164" s="23">
        <v>0</v>
      </c>
      <c r="H164" s="23">
        <v>0</v>
      </c>
      <c r="I164" s="23">
        <v>0.05</v>
      </c>
      <c r="J164" s="23">
        <v>0</v>
      </c>
      <c r="K164" s="23">
        <v>0</v>
      </c>
      <c r="L164" s="23">
        <v>0.1</v>
      </c>
      <c r="M164" s="23">
        <v>0.1</v>
      </c>
      <c r="N164" s="23">
        <v>0.7</v>
      </c>
      <c r="O164" s="23">
        <v>0</v>
      </c>
      <c r="P164" s="23">
        <v>0</v>
      </c>
      <c r="Q164" s="23">
        <f t="shared" si="6"/>
        <v>1</v>
      </c>
    </row>
    <row r="165" spans="2:17" s="8" customFormat="1" outlineLevel="1">
      <c r="B165" s="22" t="str">
        <f>'Program Budget'!D28</f>
        <v xml:space="preserve">Key Personnel: M&amp;E Director </v>
      </c>
      <c r="C165" s="22"/>
      <c r="D165" s="23">
        <v>1</v>
      </c>
      <c r="E165" s="23">
        <v>0</v>
      </c>
      <c r="F165" s="23">
        <v>0</v>
      </c>
      <c r="G165" s="23">
        <v>0</v>
      </c>
      <c r="H165" s="23">
        <v>0</v>
      </c>
      <c r="I165" s="23">
        <v>0</v>
      </c>
      <c r="J165" s="23">
        <v>0</v>
      </c>
      <c r="K165" s="23">
        <v>0</v>
      </c>
      <c r="L165" s="23">
        <v>0</v>
      </c>
      <c r="M165" s="23">
        <v>0</v>
      </c>
      <c r="N165" s="23">
        <v>0</v>
      </c>
      <c r="O165" s="23">
        <v>0</v>
      </c>
      <c r="P165" s="23">
        <v>0</v>
      </c>
      <c r="Q165" s="23">
        <f t="shared" si="6"/>
        <v>1</v>
      </c>
    </row>
    <row r="166" spans="2:17" s="8" customFormat="1" outlineLevel="1">
      <c r="B166" s="22" t="str">
        <f>'Program Budget'!D29</f>
        <v>M&amp;E Specialist</v>
      </c>
      <c r="C166" s="22"/>
      <c r="D166" s="23">
        <v>1</v>
      </c>
      <c r="E166" s="23">
        <v>0</v>
      </c>
      <c r="F166" s="23">
        <v>0</v>
      </c>
      <c r="G166" s="23">
        <v>0</v>
      </c>
      <c r="H166" s="23">
        <v>0</v>
      </c>
      <c r="I166" s="23">
        <v>0</v>
      </c>
      <c r="J166" s="23">
        <v>0</v>
      </c>
      <c r="K166" s="23">
        <v>0</v>
      </c>
      <c r="L166" s="23">
        <v>0</v>
      </c>
      <c r="M166" s="23">
        <v>0</v>
      </c>
      <c r="N166" s="23">
        <v>0</v>
      </c>
      <c r="O166" s="23">
        <v>0</v>
      </c>
      <c r="P166" s="23">
        <v>0</v>
      </c>
      <c r="Q166" s="23">
        <f t="shared" si="6"/>
        <v>1</v>
      </c>
    </row>
    <row r="167" spans="2:17" s="8" customFormat="1" outlineLevel="1">
      <c r="B167" s="22" t="str">
        <f>'Program Budget'!D30</f>
        <v>M&amp;E Officer</v>
      </c>
      <c r="C167" s="22"/>
      <c r="D167" s="23">
        <v>1</v>
      </c>
      <c r="E167" s="23">
        <v>0</v>
      </c>
      <c r="F167" s="23">
        <v>0</v>
      </c>
      <c r="G167" s="23">
        <v>0</v>
      </c>
      <c r="H167" s="23">
        <v>0</v>
      </c>
      <c r="I167" s="23">
        <v>0</v>
      </c>
      <c r="J167" s="23">
        <v>0</v>
      </c>
      <c r="K167" s="23">
        <v>0</v>
      </c>
      <c r="L167" s="23">
        <v>0</v>
      </c>
      <c r="M167" s="23">
        <v>0</v>
      </c>
      <c r="N167" s="23">
        <v>0</v>
      </c>
      <c r="O167" s="23">
        <v>0</v>
      </c>
      <c r="P167" s="23">
        <v>0</v>
      </c>
      <c r="Q167" s="23">
        <f t="shared" si="6"/>
        <v>1</v>
      </c>
    </row>
    <row r="168" spans="2:17" s="8" customFormat="1" outlineLevel="1">
      <c r="B168" s="22" t="str">
        <f>'Program Budget'!D31</f>
        <v>Supply Chain Manager</v>
      </c>
      <c r="C168" s="22"/>
      <c r="D168" s="23">
        <v>0</v>
      </c>
      <c r="E168" s="23">
        <v>0</v>
      </c>
      <c r="F168" s="23">
        <v>0</v>
      </c>
      <c r="G168" s="23">
        <v>0</v>
      </c>
      <c r="H168" s="23">
        <v>0</v>
      </c>
      <c r="I168" s="23">
        <v>0</v>
      </c>
      <c r="J168" s="23">
        <v>0</v>
      </c>
      <c r="K168" s="23">
        <v>0</v>
      </c>
      <c r="L168" s="23">
        <v>0</v>
      </c>
      <c r="M168" s="23">
        <v>0</v>
      </c>
      <c r="N168" s="23">
        <v>0</v>
      </c>
      <c r="O168" s="23">
        <v>0</v>
      </c>
      <c r="P168" s="23">
        <v>1</v>
      </c>
      <c r="Q168" s="23">
        <f t="shared" si="6"/>
        <v>1</v>
      </c>
    </row>
    <row r="169" spans="2:17" s="8" customFormat="1" outlineLevel="1">
      <c r="B169" s="22" t="str">
        <f>'Program Budget'!D32</f>
        <v>In-Country Logistics Specialist</v>
      </c>
      <c r="C169" s="22"/>
      <c r="D169" s="23">
        <v>0</v>
      </c>
      <c r="E169" s="23">
        <v>0</v>
      </c>
      <c r="F169" s="23">
        <v>0</v>
      </c>
      <c r="G169" s="23">
        <v>0</v>
      </c>
      <c r="H169" s="23">
        <v>0</v>
      </c>
      <c r="I169" s="23">
        <v>0</v>
      </c>
      <c r="J169" s="23">
        <v>0</v>
      </c>
      <c r="K169" s="23">
        <v>0</v>
      </c>
      <c r="L169" s="23">
        <v>0</v>
      </c>
      <c r="M169" s="23">
        <v>0</v>
      </c>
      <c r="N169" s="23">
        <v>0</v>
      </c>
      <c r="O169" s="23">
        <v>0</v>
      </c>
      <c r="P169" s="23">
        <v>1</v>
      </c>
      <c r="Q169" s="23">
        <f t="shared" si="6"/>
        <v>1</v>
      </c>
    </row>
    <row r="170" spans="2:17" s="8" customFormat="1" outlineLevel="1">
      <c r="B170" s="22" t="str">
        <f>'Program Budget'!D33</f>
        <v>US Commodity Logistics Specialist</v>
      </c>
      <c r="C170" s="22"/>
      <c r="D170" s="23">
        <v>0</v>
      </c>
      <c r="E170" s="23">
        <v>0</v>
      </c>
      <c r="F170" s="23">
        <v>0</v>
      </c>
      <c r="G170" s="23">
        <v>0</v>
      </c>
      <c r="H170" s="23">
        <v>0</v>
      </c>
      <c r="I170" s="23">
        <v>0</v>
      </c>
      <c r="J170" s="23">
        <v>0</v>
      </c>
      <c r="K170" s="23">
        <v>0</v>
      </c>
      <c r="L170" s="23">
        <v>0</v>
      </c>
      <c r="M170" s="23">
        <v>0</v>
      </c>
      <c r="N170" s="23">
        <v>0</v>
      </c>
      <c r="O170" s="23">
        <v>0.2</v>
      </c>
      <c r="P170" s="23">
        <v>0.8</v>
      </c>
      <c r="Q170" s="23">
        <f t="shared" si="6"/>
        <v>1</v>
      </c>
    </row>
    <row r="171" spans="2:17" s="8" customFormat="1" outlineLevel="1">
      <c r="B171" s="22" t="str">
        <f>'Program Budget'!D34</f>
        <v>Warehouse Manager</v>
      </c>
      <c r="C171" s="22"/>
      <c r="D171" s="23">
        <v>0</v>
      </c>
      <c r="E171" s="23">
        <v>0</v>
      </c>
      <c r="F171" s="23">
        <v>0</v>
      </c>
      <c r="G171" s="23">
        <v>0</v>
      </c>
      <c r="H171" s="23">
        <v>0</v>
      </c>
      <c r="I171" s="23">
        <v>0</v>
      </c>
      <c r="J171" s="23">
        <v>0</v>
      </c>
      <c r="K171" s="23">
        <v>0</v>
      </c>
      <c r="L171" s="23">
        <v>0</v>
      </c>
      <c r="M171" s="23">
        <v>0</v>
      </c>
      <c r="N171" s="23">
        <v>0</v>
      </c>
      <c r="O171" s="23">
        <v>0</v>
      </c>
      <c r="P171" s="23">
        <v>1</v>
      </c>
      <c r="Q171" s="23">
        <f t="shared" si="6"/>
        <v>1</v>
      </c>
    </row>
    <row r="172" spans="2:17" s="8" customFormat="1" outlineLevel="1">
      <c r="B172" s="22" t="str">
        <f>'Program Budget'!D35</f>
        <v>Warehouse Officer - (2 Individuals)</v>
      </c>
      <c r="C172" s="22"/>
      <c r="D172" s="23">
        <v>0</v>
      </c>
      <c r="E172" s="23">
        <v>0</v>
      </c>
      <c r="F172" s="23">
        <v>0</v>
      </c>
      <c r="G172" s="23">
        <v>0</v>
      </c>
      <c r="H172" s="23">
        <v>0</v>
      </c>
      <c r="I172" s="23">
        <v>0</v>
      </c>
      <c r="J172" s="23">
        <v>0</v>
      </c>
      <c r="K172" s="23">
        <v>0</v>
      </c>
      <c r="L172" s="23">
        <v>0</v>
      </c>
      <c r="M172" s="23">
        <v>0</v>
      </c>
      <c r="N172" s="23">
        <v>0</v>
      </c>
      <c r="O172" s="23">
        <v>0</v>
      </c>
      <c r="P172" s="23">
        <v>1</v>
      </c>
      <c r="Q172" s="23">
        <f t="shared" si="6"/>
        <v>1</v>
      </c>
    </row>
    <row r="173" spans="2:17" s="8" customFormat="1" outlineLevel="1">
      <c r="B173" s="22" t="str">
        <f>'Program Budget'!D36</f>
        <v xml:space="preserve">LRP Technical Specialist </v>
      </c>
      <c r="C173" s="22"/>
      <c r="D173" s="23">
        <v>0</v>
      </c>
      <c r="E173" s="23">
        <v>0</v>
      </c>
      <c r="F173" s="23">
        <v>0</v>
      </c>
      <c r="G173" s="23">
        <v>0</v>
      </c>
      <c r="H173" s="23">
        <v>0</v>
      </c>
      <c r="I173" s="23">
        <v>0</v>
      </c>
      <c r="J173" s="23">
        <v>0</v>
      </c>
      <c r="K173" s="23">
        <v>0</v>
      </c>
      <c r="L173" s="23">
        <v>0</v>
      </c>
      <c r="M173" s="23">
        <v>0</v>
      </c>
      <c r="N173" s="23">
        <v>0</v>
      </c>
      <c r="O173" s="23">
        <v>0</v>
      </c>
      <c r="P173" s="23">
        <v>1</v>
      </c>
      <c r="Q173" s="23">
        <f t="shared" si="6"/>
        <v>1</v>
      </c>
    </row>
    <row r="174" spans="2:17" s="8" customFormat="1" outlineLevel="1">
      <c r="B174" s="22" t="str">
        <f>'Program Budget'!D37</f>
        <v>Finance &amp; Administration Director</v>
      </c>
      <c r="C174" s="22"/>
      <c r="D174" s="23">
        <v>1</v>
      </c>
      <c r="E174" s="23">
        <v>0</v>
      </c>
      <c r="F174" s="23">
        <v>0</v>
      </c>
      <c r="G174" s="23">
        <v>0</v>
      </c>
      <c r="H174" s="23">
        <v>0</v>
      </c>
      <c r="I174" s="23">
        <v>0</v>
      </c>
      <c r="J174" s="23">
        <v>0</v>
      </c>
      <c r="K174" s="23">
        <v>0</v>
      </c>
      <c r="L174" s="23">
        <v>0</v>
      </c>
      <c r="M174" s="23">
        <v>0</v>
      </c>
      <c r="N174" s="23">
        <v>0</v>
      </c>
      <c r="O174" s="23">
        <v>0</v>
      </c>
      <c r="P174" s="23">
        <v>0</v>
      </c>
      <c r="Q174" s="23">
        <f t="shared" si="6"/>
        <v>1</v>
      </c>
    </row>
    <row r="175" spans="2:17" s="8" customFormat="1" outlineLevel="1">
      <c r="B175" s="22" t="str">
        <f>'Program Budget'!D38</f>
        <v>Contracts &amp; Compliance Manager</v>
      </c>
      <c r="C175" s="22"/>
      <c r="D175" s="23">
        <v>1</v>
      </c>
      <c r="E175" s="23">
        <v>0</v>
      </c>
      <c r="F175" s="23">
        <v>0</v>
      </c>
      <c r="G175" s="23">
        <v>0</v>
      </c>
      <c r="H175" s="23">
        <v>0</v>
      </c>
      <c r="I175" s="23">
        <v>0</v>
      </c>
      <c r="J175" s="23">
        <v>0</v>
      </c>
      <c r="K175" s="23">
        <v>0</v>
      </c>
      <c r="L175" s="23">
        <v>0</v>
      </c>
      <c r="M175" s="23">
        <v>0</v>
      </c>
      <c r="N175" s="23">
        <v>0</v>
      </c>
      <c r="O175" s="23">
        <v>0</v>
      </c>
      <c r="P175" s="23">
        <v>0</v>
      </c>
      <c r="Q175" s="23">
        <f t="shared" si="6"/>
        <v>1</v>
      </c>
    </row>
    <row r="176" spans="2:17" s="8" customFormat="1" outlineLevel="1">
      <c r="B176" s="22" t="str">
        <f>'Program Budget'!D39</f>
        <v>Grants &amp; Procurement Specialist</v>
      </c>
      <c r="C176" s="22"/>
      <c r="D176" s="23">
        <v>1</v>
      </c>
      <c r="E176" s="23">
        <v>0</v>
      </c>
      <c r="F176" s="23">
        <v>0</v>
      </c>
      <c r="G176" s="23">
        <v>0</v>
      </c>
      <c r="H176" s="23">
        <v>0</v>
      </c>
      <c r="I176" s="23">
        <v>0</v>
      </c>
      <c r="J176" s="23">
        <v>0</v>
      </c>
      <c r="K176" s="23">
        <v>0</v>
      </c>
      <c r="L176" s="23">
        <v>0</v>
      </c>
      <c r="M176" s="23">
        <v>0</v>
      </c>
      <c r="N176" s="23">
        <v>0</v>
      </c>
      <c r="O176" s="23">
        <v>0</v>
      </c>
      <c r="P176" s="23">
        <v>0</v>
      </c>
      <c r="Q176" s="23">
        <f t="shared" si="6"/>
        <v>1</v>
      </c>
    </row>
    <row r="177" spans="2:17" s="8" customFormat="1" outlineLevel="1">
      <c r="B177" s="22" t="str">
        <f>'Program Budget'!D40</f>
        <v>Grants &amp; Procurement Officer</v>
      </c>
      <c r="C177" s="22"/>
      <c r="D177" s="23">
        <v>1</v>
      </c>
      <c r="E177" s="23">
        <v>0</v>
      </c>
      <c r="F177" s="23">
        <v>0</v>
      </c>
      <c r="G177" s="23">
        <v>0</v>
      </c>
      <c r="H177" s="23">
        <v>0</v>
      </c>
      <c r="I177" s="23">
        <v>0</v>
      </c>
      <c r="J177" s="23">
        <v>0</v>
      </c>
      <c r="K177" s="23">
        <v>0</v>
      </c>
      <c r="L177" s="23">
        <v>0</v>
      </c>
      <c r="M177" s="23">
        <v>0</v>
      </c>
      <c r="N177" s="23">
        <v>0</v>
      </c>
      <c r="O177" s="23">
        <v>0</v>
      </c>
      <c r="P177" s="23">
        <v>0</v>
      </c>
      <c r="Q177" s="23">
        <f t="shared" si="6"/>
        <v>1</v>
      </c>
    </row>
    <row r="178" spans="2:17" s="8" customFormat="1" outlineLevel="1">
      <c r="B178" s="22" t="str">
        <f>'Program Budget'!D41</f>
        <v>Finance Officer</v>
      </c>
      <c r="C178" s="22"/>
      <c r="D178" s="23">
        <v>1</v>
      </c>
      <c r="E178" s="23">
        <v>0</v>
      </c>
      <c r="F178" s="23">
        <v>0</v>
      </c>
      <c r="G178" s="23">
        <v>0</v>
      </c>
      <c r="H178" s="23">
        <v>0</v>
      </c>
      <c r="I178" s="23">
        <v>0</v>
      </c>
      <c r="J178" s="23">
        <v>0</v>
      </c>
      <c r="K178" s="23">
        <v>0</v>
      </c>
      <c r="L178" s="23">
        <v>0</v>
      </c>
      <c r="M178" s="23">
        <v>0</v>
      </c>
      <c r="N178" s="23">
        <v>0</v>
      </c>
      <c r="O178" s="23">
        <v>0</v>
      </c>
      <c r="P178" s="23">
        <v>0</v>
      </c>
      <c r="Q178" s="23">
        <f t="shared" si="6"/>
        <v>1</v>
      </c>
    </row>
    <row r="179" spans="2:17" s="8" customFormat="1" outlineLevel="1">
      <c r="B179" s="22" t="str">
        <f>'Program Budget'!D42</f>
        <v>Accountant</v>
      </c>
      <c r="C179" s="22"/>
      <c r="D179" s="23">
        <v>1</v>
      </c>
      <c r="E179" s="23">
        <v>0</v>
      </c>
      <c r="F179" s="23">
        <v>0</v>
      </c>
      <c r="G179" s="23">
        <v>0</v>
      </c>
      <c r="H179" s="23">
        <v>0</v>
      </c>
      <c r="I179" s="23">
        <v>0</v>
      </c>
      <c r="J179" s="23">
        <v>0</v>
      </c>
      <c r="K179" s="23">
        <v>0</v>
      </c>
      <c r="L179" s="23">
        <v>0</v>
      </c>
      <c r="M179" s="23">
        <v>0</v>
      </c>
      <c r="N179" s="23">
        <v>0</v>
      </c>
      <c r="O179" s="23">
        <v>0</v>
      </c>
      <c r="P179" s="23">
        <v>0</v>
      </c>
      <c r="Q179" s="23">
        <f t="shared" si="6"/>
        <v>1</v>
      </c>
    </row>
    <row r="180" spans="2:17" s="8" customFormat="1" outlineLevel="1">
      <c r="B180" s="22" t="str">
        <f>'Program Budget'!D43</f>
        <v>Operation &amp; HR Manager</v>
      </c>
      <c r="C180" s="22"/>
      <c r="D180" s="23">
        <v>1</v>
      </c>
      <c r="E180" s="23">
        <v>0</v>
      </c>
      <c r="F180" s="23">
        <v>0</v>
      </c>
      <c r="G180" s="23">
        <v>0</v>
      </c>
      <c r="H180" s="23">
        <v>0</v>
      </c>
      <c r="I180" s="23">
        <v>0</v>
      </c>
      <c r="J180" s="23">
        <v>0</v>
      </c>
      <c r="K180" s="23">
        <v>0</v>
      </c>
      <c r="L180" s="23">
        <v>0</v>
      </c>
      <c r="M180" s="23">
        <v>0</v>
      </c>
      <c r="N180" s="23">
        <v>0</v>
      </c>
      <c r="O180" s="23">
        <v>0</v>
      </c>
      <c r="P180" s="23">
        <v>0</v>
      </c>
      <c r="Q180" s="23">
        <f t="shared" si="6"/>
        <v>1</v>
      </c>
    </row>
    <row r="181" spans="2:17" s="8" customFormat="1" outlineLevel="1">
      <c r="B181" s="22" t="str">
        <f>'Program Budget'!D44</f>
        <v>Administrative Assistant - (2 Individuals)</v>
      </c>
      <c r="C181" s="22"/>
      <c r="D181" s="23">
        <v>1</v>
      </c>
      <c r="E181" s="23">
        <v>0</v>
      </c>
      <c r="F181" s="23">
        <v>0</v>
      </c>
      <c r="G181" s="23">
        <v>0</v>
      </c>
      <c r="H181" s="23">
        <v>0</v>
      </c>
      <c r="I181" s="23">
        <v>0</v>
      </c>
      <c r="J181" s="23">
        <v>0</v>
      </c>
      <c r="K181" s="23">
        <v>0</v>
      </c>
      <c r="L181" s="23">
        <v>0</v>
      </c>
      <c r="M181" s="23">
        <v>0</v>
      </c>
      <c r="N181" s="23">
        <v>0</v>
      </c>
      <c r="O181" s="23">
        <v>0</v>
      </c>
      <c r="P181" s="23">
        <v>0</v>
      </c>
      <c r="Q181" s="23">
        <f t="shared" si="6"/>
        <v>1</v>
      </c>
    </row>
    <row r="182" spans="2:17" s="8" customFormat="1" outlineLevel="1">
      <c r="B182" s="22" t="str">
        <f>'Program Budget'!D45</f>
        <v>Driver - (2 Individuals)</v>
      </c>
      <c r="C182" s="22"/>
      <c r="D182" s="23">
        <v>1</v>
      </c>
      <c r="E182" s="23">
        <v>0</v>
      </c>
      <c r="F182" s="23">
        <v>0</v>
      </c>
      <c r="G182" s="23">
        <v>0</v>
      </c>
      <c r="H182" s="23">
        <v>0</v>
      </c>
      <c r="I182" s="23">
        <v>0</v>
      </c>
      <c r="J182" s="23">
        <v>0</v>
      </c>
      <c r="K182" s="23">
        <v>0</v>
      </c>
      <c r="L182" s="23">
        <v>0</v>
      </c>
      <c r="M182" s="23">
        <v>0</v>
      </c>
      <c r="N182" s="23">
        <v>0</v>
      </c>
      <c r="O182" s="23">
        <v>0</v>
      </c>
      <c r="P182" s="23">
        <v>0</v>
      </c>
      <c r="Q182" s="23">
        <f t="shared" si="6"/>
        <v>1</v>
      </c>
    </row>
    <row r="183" spans="2:17" s="8" customFormat="1" outlineLevel="1">
      <c r="B183" s="20" t="s">
        <v>651</v>
      </c>
      <c r="C183" s="20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</row>
    <row r="184" spans="2:17" s="8" customFormat="1" outlineLevel="1">
      <c r="B184" s="22" t="str">
        <f>'Program Budget'!D47</f>
        <v>Senior Vice President of Programs</v>
      </c>
      <c r="C184" s="22"/>
      <c r="D184" s="23">
        <v>0.35</v>
      </c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>
        <f>SUM(D184:O184)</f>
        <v>0.35</v>
      </c>
    </row>
    <row r="185" spans="2:17" s="8" customFormat="1" outlineLevel="1">
      <c r="B185" s="22" t="str">
        <f>'Program Budget'!D48</f>
        <v xml:space="preserve">Program Director </v>
      </c>
      <c r="C185" s="22"/>
      <c r="D185" s="23">
        <v>0.9</v>
      </c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>
        <f>SUM(D185:O185)</f>
        <v>0.9</v>
      </c>
    </row>
    <row r="186" spans="2:17" s="8" customFormat="1" outlineLevel="1">
      <c r="B186" s="22" t="str">
        <f>'Program Budget'!D49</f>
        <v>Compliance &amp; Contracts Director</v>
      </c>
      <c r="C186" s="22"/>
      <c r="D186" s="23">
        <v>0.2</v>
      </c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>
        <f>SUM(D186:O186)</f>
        <v>0.2</v>
      </c>
    </row>
    <row r="187" spans="2:17" s="8" customFormat="1" outlineLevel="1">
      <c r="B187" s="22" t="str">
        <f>'Program Budget'!D50</f>
        <v>Associate Director</v>
      </c>
      <c r="C187" s="22"/>
      <c r="D187" s="23">
        <v>1</v>
      </c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>
        <f>SUM(D187:O187)</f>
        <v>1</v>
      </c>
    </row>
    <row r="188" spans="2:17" s="8" customFormat="1" outlineLevel="1">
      <c r="B188" s="22" t="str">
        <f>'Program Budget'!D51</f>
        <v xml:space="preserve">Senior Program Officer </v>
      </c>
      <c r="C188" s="22"/>
      <c r="D188" s="23">
        <v>0.05</v>
      </c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>
        <f>SUM(D188:O188)</f>
        <v>0.05</v>
      </c>
    </row>
    <row r="189" spans="2:17" s="8" customFormat="1" outlineLevel="1">
      <c r="B189" s="27" t="s">
        <v>140</v>
      </c>
      <c r="C189" s="27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</row>
    <row r="190" spans="2:17">
      <c r="D190" s="11"/>
      <c r="E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11"/>
    </row>
    <row r="191" spans="2:17" s="227" customFormat="1" ht="51" customHeight="1">
      <c r="B191" s="225"/>
      <c r="C191" s="225"/>
      <c r="D191" s="226" t="str">
        <f t="shared" ref="D191:P191" si="7">D7</f>
        <v>Administration</v>
      </c>
      <c r="E191" s="226" t="str">
        <f t="shared" si="7"/>
        <v>Activity 1: Provide School Meals</v>
      </c>
      <c r="F191" s="226" t="str">
        <f t="shared" si="7"/>
        <v>Activity 2: Distribution: School Supplies and Materials</v>
      </c>
      <c r="G191" s="226" t="str">
        <f t="shared" si="7"/>
        <v>Activity 3: Training: Teacher and Administrators</v>
      </c>
      <c r="H191" s="226" t="str">
        <f t="shared" si="7"/>
        <v>Activity 4: Enrollment Campaigns</v>
      </c>
      <c r="I191" s="226" t="str">
        <f t="shared" si="7"/>
        <v>Activity 5: Building/Rehabilitation: Wells and Water Stations/Systems</v>
      </c>
      <c r="J191" s="226" t="str">
        <f t="shared" si="7"/>
        <v>Activity 6: Training: Good Health and Nutrition Practices</v>
      </c>
      <c r="K191" s="226" t="str">
        <f t="shared" si="7"/>
        <v>Activity 7: Training: Commodity Management</v>
      </c>
      <c r="L191" s="226" t="str">
        <f t="shared" si="7"/>
        <v>Activity 8: Capacity Building: Local and Regional Level</v>
      </c>
      <c r="M191" s="226" t="str">
        <f t="shared" si="7"/>
        <v>Activity 9: Capacity Building: National Level</v>
      </c>
      <c r="N191" s="226" t="str">
        <f t="shared" si="7"/>
        <v>Activity 10: Develop Public-Private Partnerships to Support School Feeding Sustainability</v>
      </c>
      <c r="O191" s="226" t="str">
        <f t="shared" si="7"/>
        <v xml:space="preserve">Activity 11: Expand Use of US Commodities in Honduras School Feeding Program </v>
      </c>
      <c r="P191" s="226" t="str">
        <f t="shared" si="7"/>
        <v>Internal Transportation Storage and Handling (ITSH)</v>
      </c>
      <c r="Q191" s="226" t="s">
        <v>662</v>
      </c>
    </row>
    <row r="192" spans="2:17" s="17" customFormat="1" ht="12.3">
      <c r="B192" s="14" t="s">
        <v>539</v>
      </c>
      <c r="C192" s="14"/>
      <c r="D192" s="15" t="s">
        <v>647</v>
      </c>
      <c r="E192" s="15" t="s">
        <v>647</v>
      </c>
      <c r="F192" s="15" t="s">
        <v>648</v>
      </c>
      <c r="G192" s="15" t="s">
        <v>648</v>
      </c>
      <c r="H192" s="15"/>
      <c r="I192" s="15"/>
      <c r="J192" s="15"/>
      <c r="K192" s="15"/>
      <c r="L192" s="15"/>
      <c r="M192" s="15"/>
      <c r="N192" s="15"/>
      <c r="O192" s="15"/>
      <c r="P192" s="15"/>
      <c r="Q192" s="15" t="s">
        <v>648</v>
      </c>
    </row>
    <row r="193" spans="2:17" s="8" customFormat="1">
      <c r="B193" s="18" t="s">
        <v>649</v>
      </c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</row>
    <row r="194" spans="2:17" s="8" customFormat="1" outlineLevel="1">
      <c r="B194" s="20" t="s">
        <v>650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</row>
    <row r="195" spans="2:17" s="8" customFormat="1" outlineLevel="1">
      <c r="B195" s="22" t="str">
        <f>'Program Budget'!D12</f>
        <v xml:space="preserve">Key Personnel: Chief of Party - Roger Sanchez O’Neill </v>
      </c>
      <c r="C195" s="22"/>
      <c r="D195" s="23">
        <v>1</v>
      </c>
      <c r="E195" s="23">
        <v>0</v>
      </c>
      <c r="F195" s="23">
        <v>0</v>
      </c>
      <c r="G195" s="23">
        <v>0</v>
      </c>
      <c r="H195" s="23">
        <v>0</v>
      </c>
      <c r="I195" s="23">
        <v>0</v>
      </c>
      <c r="J195" s="23">
        <v>0</v>
      </c>
      <c r="K195" s="23">
        <v>0</v>
      </c>
      <c r="L195" s="23">
        <v>0</v>
      </c>
      <c r="M195" s="23">
        <v>0</v>
      </c>
      <c r="N195" s="23">
        <v>0</v>
      </c>
      <c r="O195" s="23">
        <v>0</v>
      </c>
      <c r="P195" s="23">
        <v>0</v>
      </c>
      <c r="Q195" s="23">
        <f t="shared" ref="Q195:Q228" si="8">SUM(D195:P195)</f>
        <v>1</v>
      </c>
    </row>
    <row r="196" spans="2:17" s="8" customFormat="1" outlineLevel="1">
      <c r="B196" s="22" t="str">
        <f>'Program Budget'!D13</f>
        <v>Key Personnel: Deputy Chief of Party - David Medina Mayo</v>
      </c>
      <c r="C196" s="22"/>
      <c r="D196" s="23">
        <v>1</v>
      </c>
      <c r="E196" s="23">
        <v>0</v>
      </c>
      <c r="F196" s="23">
        <v>0</v>
      </c>
      <c r="G196" s="23">
        <v>0</v>
      </c>
      <c r="H196" s="23">
        <v>0</v>
      </c>
      <c r="I196" s="23">
        <v>0</v>
      </c>
      <c r="J196" s="23">
        <v>0</v>
      </c>
      <c r="K196" s="23">
        <v>0</v>
      </c>
      <c r="L196" s="23">
        <v>0</v>
      </c>
      <c r="M196" s="23">
        <v>0</v>
      </c>
      <c r="N196" s="23">
        <v>0</v>
      </c>
      <c r="O196" s="23">
        <v>0</v>
      </c>
      <c r="P196" s="23">
        <v>0</v>
      </c>
      <c r="Q196" s="23">
        <f t="shared" si="8"/>
        <v>1</v>
      </c>
    </row>
    <row r="197" spans="2:17" s="8" customFormat="1" outlineLevel="1">
      <c r="B197" s="22" t="str">
        <f>'Program Budget'!D14</f>
        <v>Policy &amp; Sustainability Specialist</v>
      </c>
      <c r="C197" s="22"/>
      <c r="D197" s="23">
        <v>0</v>
      </c>
      <c r="E197" s="23">
        <v>0</v>
      </c>
      <c r="F197" s="23">
        <v>0</v>
      </c>
      <c r="G197" s="23">
        <v>0</v>
      </c>
      <c r="H197" s="23">
        <v>0</v>
      </c>
      <c r="I197" s="23">
        <v>0</v>
      </c>
      <c r="J197" s="23">
        <v>0</v>
      </c>
      <c r="K197" s="23">
        <v>0.1</v>
      </c>
      <c r="L197" s="23">
        <v>0.2</v>
      </c>
      <c r="M197" s="23">
        <v>0.3</v>
      </c>
      <c r="N197" s="23">
        <v>0.3</v>
      </c>
      <c r="O197" s="23">
        <v>0.1</v>
      </c>
      <c r="P197" s="23">
        <v>0</v>
      </c>
      <c r="Q197" s="23">
        <f t="shared" si="8"/>
        <v>1.0000000000000002</v>
      </c>
    </row>
    <row r="198" spans="2:17" s="8" customFormat="1" outlineLevel="1">
      <c r="B198" s="22" t="str">
        <f>'Program Budget'!D15</f>
        <v xml:space="preserve">Education Director </v>
      </c>
      <c r="C198" s="22"/>
      <c r="D198" s="23">
        <v>0</v>
      </c>
      <c r="E198" s="23">
        <v>0</v>
      </c>
      <c r="F198" s="23">
        <v>0.1</v>
      </c>
      <c r="G198" s="23">
        <v>0.2</v>
      </c>
      <c r="H198" s="23">
        <v>0.2</v>
      </c>
      <c r="I198" s="23">
        <v>0</v>
      </c>
      <c r="J198" s="23">
        <v>0.2</v>
      </c>
      <c r="K198" s="23">
        <v>0</v>
      </c>
      <c r="L198" s="23">
        <v>0.1</v>
      </c>
      <c r="M198" s="23">
        <v>0.1</v>
      </c>
      <c r="N198" s="23">
        <v>0.1</v>
      </c>
      <c r="O198" s="23">
        <v>0</v>
      </c>
      <c r="P198" s="23">
        <v>0</v>
      </c>
      <c r="Q198" s="23">
        <f t="shared" si="8"/>
        <v>0.99999999999999989</v>
      </c>
    </row>
    <row r="199" spans="2:17" s="8" customFormat="1" outlineLevel="1">
      <c r="B199" s="22" t="str">
        <f>'Program Budget'!D16</f>
        <v>Education Specialist</v>
      </c>
      <c r="C199" s="22"/>
      <c r="D199" s="23">
        <v>0</v>
      </c>
      <c r="E199" s="23">
        <v>0</v>
      </c>
      <c r="F199" s="23">
        <v>0.1</v>
      </c>
      <c r="G199" s="23">
        <v>0.2</v>
      </c>
      <c r="H199" s="23">
        <v>0.2</v>
      </c>
      <c r="I199" s="23">
        <v>0</v>
      </c>
      <c r="J199" s="23">
        <v>0.2</v>
      </c>
      <c r="K199" s="23">
        <v>0</v>
      </c>
      <c r="L199" s="23">
        <v>0.1</v>
      </c>
      <c r="M199" s="23">
        <v>0.1</v>
      </c>
      <c r="N199" s="23">
        <v>0.1</v>
      </c>
      <c r="O199" s="23">
        <v>0</v>
      </c>
      <c r="P199" s="23">
        <v>0</v>
      </c>
      <c r="Q199" s="23">
        <f t="shared" si="8"/>
        <v>0.99999999999999989</v>
      </c>
    </row>
    <row r="200" spans="2:17" s="8" customFormat="1" outlineLevel="1">
      <c r="B200" s="22" t="str">
        <f>'Program Budget'!D17</f>
        <v>Education Officer</v>
      </c>
      <c r="C200" s="22"/>
      <c r="D200" s="23">
        <v>0</v>
      </c>
      <c r="E200" s="23">
        <v>0</v>
      </c>
      <c r="F200" s="23">
        <v>0.1</v>
      </c>
      <c r="G200" s="23">
        <v>0.2</v>
      </c>
      <c r="H200" s="23">
        <v>0.2</v>
      </c>
      <c r="I200" s="23">
        <v>0</v>
      </c>
      <c r="J200" s="23">
        <v>0.2</v>
      </c>
      <c r="K200" s="23">
        <v>0</v>
      </c>
      <c r="L200" s="23">
        <v>0.1</v>
      </c>
      <c r="M200" s="23">
        <v>0.1</v>
      </c>
      <c r="N200" s="23">
        <v>0.1</v>
      </c>
      <c r="O200" s="23">
        <v>0</v>
      </c>
      <c r="P200" s="23">
        <v>0</v>
      </c>
      <c r="Q200" s="23">
        <f t="shared" si="8"/>
        <v>0.99999999999999989</v>
      </c>
    </row>
    <row r="201" spans="2:17" s="8" customFormat="1" outlineLevel="1">
      <c r="B201" s="22" t="str">
        <f>'Program Budget'!D18</f>
        <v>Nutrition and Health Specialist</v>
      </c>
      <c r="C201" s="22"/>
      <c r="D201" s="23">
        <v>0</v>
      </c>
      <c r="E201" s="23">
        <v>0.25</v>
      </c>
      <c r="F201" s="23">
        <v>0</v>
      </c>
      <c r="G201" s="23">
        <v>0</v>
      </c>
      <c r="H201" s="23">
        <v>0</v>
      </c>
      <c r="I201" s="23">
        <v>0.25</v>
      </c>
      <c r="J201" s="23">
        <v>0.15</v>
      </c>
      <c r="K201" s="23">
        <v>0.1</v>
      </c>
      <c r="L201" s="23">
        <v>0.05</v>
      </c>
      <c r="M201" s="23">
        <v>0.05</v>
      </c>
      <c r="N201" s="23">
        <v>0.1</v>
      </c>
      <c r="O201" s="23">
        <v>0.05</v>
      </c>
      <c r="P201" s="23">
        <v>0</v>
      </c>
      <c r="Q201" s="23">
        <f t="shared" si="8"/>
        <v>1</v>
      </c>
    </row>
    <row r="202" spans="2:17" s="8" customFormat="1" outlineLevel="1">
      <c r="B202" s="22" t="str">
        <f>'Program Budget'!D19</f>
        <v>Nutrition Officer - (2 Individuals)</v>
      </c>
      <c r="C202" s="22"/>
      <c r="D202" s="23">
        <v>0</v>
      </c>
      <c r="E202" s="23">
        <v>0.85</v>
      </c>
      <c r="F202" s="23">
        <v>0</v>
      </c>
      <c r="G202" s="23">
        <v>0</v>
      </c>
      <c r="H202" s="23">
        <v>0</v>
      </c>
      <c r="I202" s="23">
        <v>0</v>
      </c>
      <c r="J202" s="23">
        <v>0.15</v>
      </c>
      <c r="K202" s="23">
        <v>0</v>
      </c>
      <c r="L202" s="23">
        <v>0</v>
      </c>
      <c r="M202" s="23">
        <v>0</v>
      </c>
      <c r="N202" s="23">
        <v>0</v>
      </c>
      <c r="O202" s="23">
        <v>0</v>
      </c>
      <c r="P202" s="23">
        <v>0</v>
      </c>
      <c r="Q202" s="23">
        <f t="shared" si="8"/>
        <v>1</v>
      </c>
    </row>
    <row r="203" spans="2:17" s="8" customFormat="1" outlineLevel="1">
      <c r="B203" s="22" t="str">
        <f>'Program Budget'!D20</f>
        <v>School Feeding Specialist</v>
      </c>
      <c r="C203" s="22"/>
      <c r="D203" s="23">
        <v>0</v>
      </c>
      <c r="E203" s="23">
        <v>0.4</v>
      </c>
      <c r="F203" s="23">
        <v>0</v>
      </c>
      <c r="G203" s="23">
        <v>0</v>
      </c>
      <c r="H203" s="23">
        <v>0</v>
      </c>
      <c r="I203" s="23">
        <v>0</v>
      </c>
      <c r="J203" s="23">
        <v>0.15</v>
      </c>
      <c r="K203" s="23">
        <v>0.25</v>
      </c>
      <c r="L203" s="23">
        <v>0.05</v>
      </c>
      <c r="M203" s="23">
        <v>0.05</v>
      </c>
      <c r="N203" s="23">
        <v>0.05</v>
      </c>
      <c r="O203" s="23">
        <v>0.05</v>
      </c>
      <c r="P203" s="23">
        <v>0</v>
      </c>
      <c r="Q203" s="23">
        <f t="shared" si="8"/>
        <v>1.0000000000000002</v>
      </c>
    </row>
    <row r="204" spans="2:17" s="8" customFormat="1" outlineLevel="1">
      <c r="B204" s="22" t="str">
        <f>'Program Budget'!D21</f>
        <v>Food Aid Monitors - (2 Individuals)</v>
      </c>
      <c r="C204" s="22"/>
      <c r="D204" s="23">
        <v>0</v>
      </c>
      <c r="E204" s="23">
        <v>0.85</v>
      </c>
      <c r="F204" s="23">
        <v>0</v>
      </c>
      <c r="G204" s="23">
        <v>0</v>
      </c>
      <c r="H204" s="23">
        <v>0</v>
      </c>
      <c r="I204" s="23">
        <v>0</v>
      </c>
      <c r="J204" s="23">
        <v>7.0000000000000007E-2</v>
      </c>
      <c r="K204" s="23">
        <v>0.08</v>
      </c>
      <c r="L204" s="23">
        <v>0</v>
      </c>
      <c r="M204" s="23">
        <v>0</v>
      </c>
      <c r="N204" s="23">
        <v>0</v>
      </c>
      <c r="O204" s="23">
        <v>0</v>
      </c>
      <c r="P204" s="23">
        <v>0</v>
      </c>
      <c r="Q204" s="23">
        <f t="shared" si="8"/>
        <v>0.99999999999999989</v>
      </c>
    </row>
    <row r="205" spans="2:17" s="8" customFormat="1" outlineLevel="1">
      <c r="B205" s="22" t="str">
        <f>'Program Budget'!D22</f>
        <v>WASH Officer</v>
      </c>
      <c r="C205" s="22"/>
      <c r="D205" s="23">
        <v>0</v>
      </c>
      <c r="E205" s="23">
        <v>0</v>
      </c>
      <c r="F205" s="23">
        <v>0</v>
      </c>
      <c r="G205" s="23">
        <v>0</v>
      </c>
      <c r="H205" s="23">
        <v>0</v>
      </c>
      <c r="I205" s="23">
        <v>1</v>
      </c>
      <c r="J205" s="23">
        <v>0</v>
      </c>
      <c r="K205" s="23">
        <v>0</v>
      </c>
      <c r="L205" s="23">
        <v>0</v>
      </c>
      <c r="M205" s="23">
        <v>0</v>
      </c>
      <c r="N205" s="23">
        <v>0</v>
      </c>
      <c r="O205" s="23">
        <v>0</v>
      </c>
      <c r="P205" s="23">
        <v>0</v>
      </c>
      <c r="Q205" s="23">
        <f t="shared" si="8"/>
        <v>1</v>
      </c>
    </row>
    <row r="206" spans="2:17" s="8" customFormat="1" outlineLevel="1">
      <c r="B206" s="22" t="str">
        <f>'Program Budget'!D23</f>
        <v>Communications Specialist</v>
      </c>
      <c r="C206" s="22"/>
      <c r="D206" s="23">
        <v>0.5</v>
      </c>
      <c r="E206" s="23">
        <v>0</v>
      </c>
      <c r="F206" s="23">
        <v>0</v>
      </c>
      <c r="G206" s="23">
        <v>0</v>
      </c>
      <c r="H206" s="23">
        <v>0.1</v>
      </c>
      <c r="I206" s="23">
        <v>0</v>
      </c>
      <c r="J206" s="23">
        <v>0.15</v>
      </c>
      <c r="K206" s="23">
        <v>0</v>
      </c>
      <c r="L206" s="23">
        <v>0.1</v>
      </c>
      <c r="M206" s="23">
        <v>0</v>
      </c>
      <c r="N206" s="23">
        <v>0.15</v>
      </c>
      <c r="O206" s="23">
        <v>0</v>
      </c>
      <c r="P206" s="23">
        <v>0</v>
      </c>
      <c r="Q206" s="23">
        <f t="shared" si="8"/>
        <v>1</v>
      </c>
    </row>
    <row r="207" spans="2:17" s="8" customFormat="1" outlineLevel="1">
      <c r="B207" s="22" t="str">
        <f>'Program Budget'!D24</f>
        <v>Communications Officer</v>
      </c>
      <c r="C207" s="22"/>
      <c r="D207" s="23">
        <v>0</v>
      </c>
      <c r="E207" s="23">
        <v>0</v>
      </c>
      <c r="F207" s="23">
        <v>0</v>
      </c>
      <c r="G207" s="23">
        <v>0</v>
      </c>
      <c r="H207" s="23">
        <v>0.6</v>
      </c>
      <c r="I207" s="23">
        <v>0</v>
      </c>
      <c r="J207" s="23">
        <v>0.15</v>
      </c>
      <c r="K207" s="23">
        <v>0</v>
      </c>
      <c r="L207" s="23">
        <v>0.1</v>
      </c>
      <c r="M207" s="23">
        <v>0</v>
      </c>
      <c r="N207" s="23">
        <v>0.15</v>
      </c>
      <c r="O207" s="23">
        <v>0</v>
      </c>
      <c r="P207" s="23">
        <v>0</v>
      </c>
      <c r="Q207" s="23">
        <f t="shared" si="8"/>
        <v>1</v>
      </c>
    </row>
    <row r="208" spans="2:17" s="8" customFormat="1" outlineLevel="1">
      <c r="B208" s="22" t="str">
        <f>'Program Budget'!D25</f>
        <v>Education &amp; Community Engagement Specialist</v>
      </c>
      <c r="C208" s="22"/>
      <c r="D208" s="23">
        <v>0</v>
      </c>
      <c r="E208" s="23">
        <v>0.1</v>
      </c>
      <c r="F208" s="23">
        <v>0.1</v>
      </c>
      <c r="G208" s="23">
        <v>0.1</v>
      </c>
      <c r="H208" s="23">
        <v>0.15</v>
      </c>
      <c r="I208" s="23">
        <v>0.1</v>
      </c>
      <c r="J208" s="23">
        <v>0.1</v>
      </c>
      <c r="K208" s="23">
        <v>0.1</v>
      </c>
      <c r="L208" s="23">
        <v>0.1</v>
      </c>
      <c r="M208" s="23">
        <v>0.05</v>
      </c>
      <c r="N208" s="23">
        <v>0.05</v>
      </c>
      <c r="O208" s="23">
        <v>0.05</v>
      </c>
      <c r="P208" s="23">
        <v>0</v>
      </c>
      <c r="Q208" s="23">
        <f t="shared" si="8"/>
        <v>1</v>
      </c>
    </row>
    <row r="209" spans="2:17" s="8" customFormat="1" outlineLevel="1">
      <c r="B209" s="22" t="str">
        <f>'Program Budget'!D26</f>
        <v>Education &amp; Community Engagement Officer</v>
      </c>
      <c r="C209" s="22"/>
      <c r="D209" s="23">
        <v>0</v>
      </c>
      <c r="E209" s="23">
        <v>0.1</v>
      </c>
      <c r="F209" s="23">
        <v>0.1</v>
      </c>
      <c r="G209" s="23">
        <v>0.1</v>
      </c>
      <c r="H209" s="23">
        <v>0.15</v>
      </c>
      <c r="I209" s="23">
        <v>0.1</v>
      </c>
      <c r="J209" s="23">
        <v>0.1</v>
      </c>
      <c r="K209" s="23">
        <v>0.1</v>
      </c>
      <c r="L209" s="23">
        <v>0.1</v>
      </c>
      <c r="M209" s="23">
        <v>0.05</v>
      </c>
      <c r="N209" s="23">
        <v>0.05</v>
      </c>
      <c r="O209" s="23">
        <v>0.05</v>
      </c>
      <c r="P209" s="23">
        <v>0</v>
      </c>
      <c r="Q209" s="23">
        <f t="shared" si="8"/>
        <v>1</v>
      </c>
    </row>
    <row r="210" spans="2:17" s="8" customFormat="1" outlineLevel="1">
      <c r="B210" s="22" t="str">
        <f>'Program Budget'!D27</f>
        <v>Private Sector Specialist</v>
      </c>
      <c r="C210" s="22"/>
      <c r="D210" s="23">
        <v>0</v>
      </c>
      <c r="E210" s="23">
        <v>0</v>
      </c>
      <c r="F210" s="23">
        <v>0.05</v>
      </c>
      <c r="G210" s="23">
        <v>0</v>
      </c>
      <c r="H210" s="23">
        <v>0</v>
      </c>
      <c r="I210" s="23">
        <v>0.05</v>
      </c>
      <c r="J210" s="23">
        <v>0</v>
      </c>
      <c r="K210" s="23">
        <v>0</v>
      </c>
      <c r="L210" s="23">
        <v>0.1</v>
      </c>
      <c r="M210" s="23">
        <v>0.1</v>
      </c>
      <c r="N210" s="23">
        <v>0.7</v>
      </c>
      <c r="O210" s="23">
        <v>0</v>
      </c>
      <c r="P210" s="23">
        <v>0</v>
      </c>
      <c r="Q210" s="23">
        <f t="shared" si="8"/>
        <v>1</v>
      </c>
    </row>
    <row r="211" spans="2:17" s="8" customFormat="1" outlineLevel="1">
      <c r="B211" s="22" t="str">
        <f>'Program Budget'!D28</f>
        <v xml:space="preserve">Key Personnel: M&amp;E Director </v>
      </c>
      <c r="C211" s="22"/>
      <c r="D211" s="23">
        <v>1</v>
      </c>
      <c r="E211" s="23">
        <v>0</v>
      </c>
      <c r="F211" s="23">
        <v>0</v>
      </c>
      <c r="G211" s="23">
        <v>0</v>
      </c>
      <c r="H211" s="23">
        <v>0</v>
      </c>
      <c r="I211" s="23">
        <v>0</v>
      </c>
      <c r="J211" s="23">
        <v>0</v>
      </c>
      <c r="K211" s="23">
        <v>0</v>
      </c>
      <c r="L211" s="23">
        <v>0</v>
      </c>
      <c r="M211" s="23">
        <v>0</v>
      </c>
      <c r="N211" s="23">
        <v>0</v>
      </c>
      <c r="O211" s="23">
        <v>0</v>
      </c>
      <c r="P211" s="23">
        <v>0</v>
      </c>
      <c r="Q211" s="23">
        <f t="shared" si="8"/>
        <v>1</v>
      </c>
    </row>
    <row r="212" spans="2:17" s="8" customFormat="1" outlineLevel="1">
      <c r="B212" s="22" t="str">
        <f>'Program Budget'!D29</f>
        <v>M&amp;E Specialist</v>
      </c>
      <c r="C212" s="22"/>
      <c r="D212" s="23">
        <v>1</v>
      </c>
      <c r="E212" s="23">
        <v>0</v>
      </c>
      <c r="F212" s="23">
        <v>0</v>
      </c>
      <c r="G212" s="23">
        <v>0</v>
      </c>
      <c r="H212" s="23">
        <v>0</v>
      </c>
      <c r="I212" s="23">
        <v>0</v>
      </c>
      <c r="J212" s="23">
        <v>0</v>
      </c>
      <c r="K212" s="23">
        <v>0</v>
      </c>
      <c r="L212" s="23">
        <v>0</v>
      </c>
      <c r="M212" s="23">
        <v>0</v>
      </c>
      <c r="N212" s="23">
        <v>0</v>
      </c>
      <c r="O212" s="23">
        <v>0</v>
      </c>
      <c r="P212" s="23">
        <v>0</v>
      </c>
      <c r="Q212" s="23">
        <f t="shared" si="8"/>
        <v>1</v>
      </c>
    </row>
    <row r="213" spans="2:17" s="8" customFormat="1" outlineLevel="1">
      <c r="B213" s="22" t="str">
        <f>'Program Budget'!D30</f>
        <v>M&amp;E Officer</v>
      </c>
      <c r="C213" s="22"/>
      <c r="D213" s="23">
        <v>1</v>
      </c>
      <c r="E213" s="23">
        <v>0</v>
      </c>
      <c r="F213" s="23">
        <v>0</v>
      </c>
      <c r="G213" s="23">
        <v>0</v>
      </c>
      <c r="H213" s="23">
        <v>0</v>
      </c>
      <c r="I213" s="23">
        <v>0</v>
      </c>
      <c r="J213" s="23">
        <v>0</v>
      </c>
      <c r="K213" s="23">
        <v>0</v>
      </c>
      <c r="L213" s="23">
        <v>0</v>
      </c>
      <c r="M213" s="23">
        <v>0</v>
      </c>
      <c r="N213" s="23">
        <v>0</v>
      </c>
      <c r="O213" s="23">
        <v>0</v>
      </c>
      <c r="P213" s="23">
        <v>0</v>
      </c>
      <c r="Q213" s="23">
        <f t="shared" si="8"/>
        <v>1</v>
      </c>
    </row>
    <row r="214" spans="2:17" s="8" customFormat="1" outlineLevel="1">
      <c r="B214" s="22" t="str">
        <f>'Program Budget'!D31</f>
        <v>Supply Chain Manager</v>
      </c>
      <c r="C214" s="22"/>
      <c r="D214" s="23">
        <v>0</v>
      </c>
      <c r="E214" s="23">
        <v>0</v>
      </c>
      <c r="F214" s="23">
        <v>0</v>
      </c>
      <c r="G214" s="23">
        <v>0</v>
      </c>
      <c r="H214" s="23">
        <v>0</v>
      </c>
      <c r="I214" s="23">
        <v>0</v>
      </c>
      <c r="J214" s="23">
        <v>0</v>
      </c>
      <c r="K214" s="23">
        <v>0</v>
      </c>
      <c r="L214" s="23">
        <v>0</v>
      </c>
      <c r="M214" s="23">
        <v>0</v>
      </c>
      <c r="N214" s="23">
        <v>0</v>
      </c>
      <c r="O214" s="23">
        <v>0</v>
      </c>
      <c r="P214" s="23">
        <v>1</v>
      </c>
      <c r="Q214" s="23">
        <f t="shared" si="8"/>
        <v>1</v>
      </c>
    </row>
    <row r="215" spans="2:17" s="8" customFormat="1" outlineLevel="1">
      <c r="B215" s="22" t="str">
        <f>'Program Budget'!D32</f>
        <v>In-Country Logistics Specialist</v>
      </c>
      <c r="C215" s="22"/>
      <c r="D215" s="23">
        <v>0</v>
      </c>
      <c r="E215" s="23">
        <v>0</v>
      </c>
      <c r="F215" s="23">
        <v>0</v>
      </c>
      <c r="G215" s="23">
        <v>0</v>
      </c>
      <c r="H215" s="23">
        <v>0</v>
      </c>
      <c r="I215" s="23">
        <v>0</v>
      </c>
      <c r="J215" s="23">
        <v>0</v>
      </c>
      <c r="K215" s="23">
        <v>0</v>
      </c>
      <c r="L215" s="23">
        <v>0</v>
      </c>
      <c r="M215" s="23">
        <v>0</v>
      </c>
      <c r="N215" s="23">
        <v>0</v>
      </c>
      <c r="O215" s="23">
        <v>0</v>
      </c>
      <c r="P215" s="23">
        <v>1</v>
      </c>
      <c r="Q215" s="23">
        <f t="shared" si="8"/>
        <v>1</v>
      </c>
    </row>
    <row r="216" spans="2:17" s="8" customFormat="1" outlineLevel="1">
      <c r="B216" s="22" t="str">
        <f>'Program Budget'!D33</f>
        <v>US Commodity Logistics Specialist</v>
      </c>
      <c r="C216" s="22"/>
      <c r="D216" s="23">
        <v>0</v>
      </c>
      <c r="E216" s="23">
        <v>0</v>
      </c>
      <c r="F216" s="23">
        <v>0</v>
      </c>
      <c r="G216" s="23">
        <v>0</v>
      </c>
      <c r="H216" s="23">
        <v>0</v>
      </c>
      <c r="I216" s="23">
        <v>0</v>
      </c>
      <c r="J216" s="23">
        <v>0</v>
      </c>
      <c r="K216" s="23">
        <v>0</v>
      </c>
      <c r="L216" s="23">
        <v>0</v>
      </c>
      <c r="M216" s="23">
        <v>0</v>
      </c>
      <c r="N216" s="23">
        <v>0</v>
      </c>
      <c r="O216" s="23">
        <v>0.2</v>
      </c>
      <c r="P216" s="23">
        <v>0.8</v>
      </c>
      <c r="Q216" s="23">
        <f t="shared" si="8"/>
        <v>1</v>
      </c>
    </row>
    <row r="217" spans="2:17" s="8" customFormat="1" outlineLevel="1">
      <c r="B217" s="22" t="str">
        <f>'Program Budget'!D34</f>
        <v>Warehouse Manager</v>
      </c>
      <c r="C217" s="22"/>
      <c r="D217" s="23">
        <v>0</v>
      </c>
      <c r="E217" s="23">
        <v>0</v>
      </c>
      <c r="F217" s="23">
        <v>0</v>
      </c>
      <c r="G217" s="23">
        <v>0</v>
      </c>
      <c r="H217" s="23">
        <v>0</v>
      </c>
      <c r="I217" s="23">
        <v>0</v>
      </c>
      <c r="J217" s="23">
        <v>0</v>
      </c>
      <c r="K217" s="23">
        <v>0</v>
      </c>
      <c r="L217" s="23">
        <v>0</v>
      </c>
      <c r="M217" s="23">
        <v>0</v>
      </c>
      <c r="N217" s="23">
        <v>0</v>
      </c>
      <c r="O217" s="23">
        <v>0</v>
      </c>
      <c r="P217" s="23">
        <v>1</v>
      </c>
      <c r="Q217" s="23">
        <f t="shared" si="8"/>
        <v>1</v>
      </c>
    </row>
    <row r="218" spans="2:17" s="8" customFormat="1" outlineLevel="1">
      <c r="B218" s="22" t="str">
        <f>'Program Budget'!D35</f>
        <v>Warehouse Officer - (2 Individuals)</v>
      </c>
      <c r="C218" s="22"/>
      <c r="D218" s="23">
        <v>0</v>
      </c>
      <c r="E218" s="23">
        <v>0</v>
      </c>
      <c r="F218" s="23">
        <v>0</v>
      </c>
      <c r="G218" s="23">
        <v>0</v>
      </c>
      <c r="H218" s="23">
        <v>0</v>
      </c>
      <c r="I218" s="23">
        <v>0</v>
      </c>
      <c r="J218" s="23">
        <v>0</v>
      </c>
      <c r="K218" s="23">
        <v>0</v>
      </c>
      <c r="L218" s="23">
        <v>0</v>
      </c>
      <c r="M218" s="23">
        <v>0</v>
      </c>
      <c r="N218" s="23">
        <v>0</v>
      </c>
      <c r="O218" s="23">
        <v>0</v>
      </c>
      <c r="P218" s="23">
        <v>1</v>
      </c>
      <c r="Q218" s="23">
        <f t="shared" si="8"/>
        <v>1</v>
      </c>
    </row>
    <row r="219" spans="2:17" s="8" customFormat="1" outlineLevel="1">
      <c r="B219" s="22" t="str">
        <f>'Program Budget'!D36</f>
        <v xml:space="preserve">LRP Technical Specialist </v>
      </c>
      <c r="C219" s="22"/>
      <c r="D219" s="23">
        <v>0</v>
      </c>
      <c r="E219" s="23">
        <v>0</v>
      </c>
      <c r="F219" s="23">
        <v>0</v>
      </c>
      <c r="G219" s="23">
        <v>0</v>
      </c>
      <c r="H219" s="23">
        <v>0</v>
      </c>
      <c r="I219" s="23">
        <v>0</v>
      </c>
      <c r="J219" s="23">
        <v>0</v>
      </c>
      <c r="K219" s="23">
        <v>0</v>
      </c>
      <c r="L219" s="23">
        <v>0</v>
      </c>
      <c r="M219" s="23">
        <v>0</v>
      </c>
      <c r="N219" s="23">
        <v>0</v>
      </c>
      <c r="O219" s="23">
        <v>0</v>
      </c>
      <c r="P219" s="23">
        <v>1</v>
      </c>
      <c r="Q219" s="23">
        <f t="shared" si="8"/>
        <v>1</v>
      </c>
    </row>
    <row r="220" spans="2:17" s="8" customFormat="1" outlineLevel="1">
      <c r="B220" s="22" t="str">
        <f>'Program Budget'!D37</f>
        <v>Finance &amp; Administration Director</v>
      </c>
      <c r="C220" s="22"/>
      <c r="D220" s="23">
        <v>1</v>
      </c>
      <c r="E220" s="23">
        <v>0</v>
      </c>
      <c r="F220" s="23">
        <v>0</v>
      </c>
      <c r="G220" s="23">
        <v>0</v>
      </c>
      <c r="H220" s="23">
        <v>0</v>
      </c>
      <c r="I220" s="23">
        <v>0</v>
      </c>
      <c r="J220" s="23">
        <v>0</v>
      </c>
      <c r="K220" s="23">
        <v>0</v>
      </c>
      <c r="L220" s="23">
        <v>0</v>
      </c>
      <c r="M220" s="23">
        <v>0</v>
      </c>
      <c r="N220" s="23">
        <v>0</v>
      </c>
      <c r="O220" s="23">
        <v>0</v>
      </c>
      <c r="P220" s="23">
        <v>0</v>
      </c>
      <c r="Q220" s="23">
        <f t="shared" si="8"/>
        <v>1</v>
      </c>
    </row>
    <row r="221" spans="2:17" s="8" customFormat="1" outlineLevel="1">
      <c r="B221" s="22" t="str">
        <f>'Program Budget'!D38</f>
        <v>Contracts &amp; Compliance Manager</v>
      </c>
      <c r="C221" s="22"/>
      <c r="D221" s="23">
        <v>1</v>
      </c>
      <c r="E221" s="23">
        <v>0</v>
      </c>
      <c r="F221" s="23">
        <v>0</v>
      </c>
      <c r="G221" s="23">
        <v>0</v>
      </c>
      <c r="H221" s="23">
        <v>0</v>
      </c>
      <c r="I221" s="23">
        <v>0</v>
      </c>
      <c r="J221" s="23">
        <v>0</v>
      </c>
      <c r="K221" s="23">
        <v>0</v>
      </c>
      <c r="L221" s="23">
        <v>0</v>
      </c>
      <c r="M221" s="23">
        <v>0</v>
      </c>
      <c r="N221" s="23">
        <v>0</v>
      </c>
      <c r="O221" s="23">
        <v>0</v>
      </c>
      <c r="P221" s="23">
        <v>0</v>
      </c>
      <c r="Q221" s="23">
        <f t="shared" si="8"/>
        <v>1</v>
      </c>
    </row>
    <row r="222" spans="2:17" s="8" customFormat="1" outlineLevel="1">
      <c r="B222" s="22" t="str">
        <f>'Program Budget'!D39</f>
        <v>Grants &amp; Procurement Specialist</v>
      </c>
      <c r="C222" s="22"/>
      <c r="D222" s="23">
        <v>1</v>
      </c>
      <c r="E222" s="23">
        <v>0</v>
      </c>
      <c r="F222" s="23">
        <v>0</v>
      </c>
      <c r="G222" s="23">
        <v>0</v>
      </c>
      <c r="H222" s="23">
        <v>0</v>
      </c>
      <c r="I222" s="23">
        <v>0</v>
      </c>
      <c r="J222" s="23">
        <v>0</v>
      </c>
      <c r="K222" s="23">
        <v>0</v>
      </c>
      <c r="L222" s="23">
        <v>0</v>
      </c>
      <c r="M222" s="23">
        <v>0</v>
      </c>
      <c r="N222" s="23">
        <v>0</v>
      </c>
      <c r="O222" s="23">
        <v>0</v>
      </c>
      <c r="P222" s="23">
        <v>0</v>
      </c>
      <c r="Q222" s="23">
        <f t="shared" si="8"/>
        <v>1</v>
      </c>
    </row>
    <row r="223" spans="2:17" s="8" customFormat="1" outlineLevel="1">
      <c r="B223" s="22" t="str">
        <f>'Program Budget'!D40</f>
        <v>Grants &amp; Procurement Officer</v>
      </c>
      <c r="C223" s="22"/>
      <c r="D223" s="23">
        <v>1</v>
      </c>
      <c r="E223" s="23">
        <v>0</v>
      </c>
      <c r="F223" s="23">
        <v>0</v>
      </c>
      <c r="G223" s="23">
        <v>0</v>
      </c>
      <c r="H223" s="23">
        <v>0</v>
      </c>
      <c r="I223" s="23">
        <v>0</v>
      </c>
      <c r="J223" s="23">
        <v>0</v>
      </c>
      <c r="K223" s="23">
        <v>0</v>
      </c>
      <c r="L223" s="23">
        <v>0</v>
      </c>
      <c r="M223" s="23">
        <v>0</v>
      </c>
      <c r="N223" s="23">
        <v>0</v>
      </c>
      <c r="O223" s="23">
        <v>0</v>
      </c>
      <c r="P223" s="23">
        <v>0</v>
      </c>
      <c r="Q223" s="23">
        <f t="shared" si="8"/>
        <v>1</v>
      </c>
    </row>
    <row r="224" spans="2:17" s="8" customFormat="1" outlineLevel="1">
      <c r="B224" s="22" t="str">
        <f>'Program Budget'!D41</f>
        <v>Finance Officer</v>
      </c>
      <c r="C224" s="22"/>
      <c r="D224" s="23">
        <v>1</v>
      </c>
      <c r="E224" s="23">
        <v>0</v>
      </c>
      <c r="F224" s="23">
        <v>0</v>
      </c>
      <c r="G224" s="23">
        <v>0</v>
      </c>
      <c r="H224" s="23">
        <v>0</v>
      </c>
      <c r="I224" s="23">
        <v>0</v>
      </c>
      <c r="J224" s="23">
        <v>0</v>
      </c>
      <c r="K224" s="23">
        <v>0</v>
      </c>
      <c r="L224" s="23">
        <v>0</v>
      </c>
      <c r="M224" s="23">
        <v>0</v>
      </c>
      <c r="N224" s="23">
        <v>0</v>
      </c>
      <c r="O224" s="23">
        <v>0</v>
      </c>
      <c r="P224" s="23">
        <v>0</v>
      </c>
      <c r="Q224" s="23">
        <f t="shared" si="8"/>
        <v>1</v>
      </c>
    </row>
    <row r="225" spans="2:17" s="8" customFormat="1" outlineLevel="1">
      <c r="B225" s="22" t="str">
        <f>'Program Budget'!D42</f>
        <v>Accountant</v>
      </c>
      <c r="C225" s="22"/>
      <c r="D225" s="23">
        <v>1</v>
      </c>
      <c r="E225" s="23">
        <v>0</v>
      </c>
      <c r="F225" s="23">
        <v>0</v>
      </c>
      <c r="G225" s="23">
        <v>0</v>
      </c>
      <c r="H225" s="23">
        <v>0</v>
      </c>
      <c r="I225" s="23">
        <v>0</v>
      </c>
      <c r="J225" s="23">
        <v>0</v>
      </c>
      <c r="K225" s="23">
        <v>0</v>
      </c>
      <c r="L225" s="23">
        <v>0</v>
      </c>
      <c r="M225" s="23">
        <v>0</v>
      </c>
      <c r="N225" s="23">
        <v>0</v>
      </c>
      <c r="O225" s="23">
        <v>0</v>
      </c>
      <c r="P225" s="23">
        <v>0</v>
      </c>
      <c r="Q225" s="23">
        <f t="shared" si="8"/>
        <v>1</v>
      </c>
    </row>
    <row r="226" spans="2:17" s="8" customFormat="1" outlineLevel="1">
      <c r="B226" s="22" t="str">
        <f>'Program Budget'!D43</f>
        <v>Operation &amp; HR Manager</v>
      </c>
      <c r="C226" s="22"/>
      <c r="D226" s="23">
        <v>1</v>
      </c>
      <c r="E226" s="23">
        <v>0</v>
      </c>
      <c r="F226" s="23">
        <v>0</v>
      </c>
      <c r="G226" s="23">
        <v>0</v>
      </c>
      <c r="H226" s="23">
        <v>0</v>
      </c>
      <c r="I226" s="23">
        <v>0</v>
      </c>
      <c r="J226" s="23">
        <v>0</v>
      </c>
      <c r="K226" s="23">
        <v>0</v>
      </c>
      <c r="L226" s="23">
        <v>0</v>
      </c>
      <c r="M226" s="23">
        <v>0</v>
      </c>
      <c r="N226" s="23">
        <v>0</v>
      </c>
      <c r="O226" s="23">
        <v>0</v>
      </c>
      <c r="P226" s="23">
        <v>0</v>
      </c>
      <c r="Q226" s="23">
        <f t="shared" si="8"/>
        <v>1</v>
      </c>
    </row>
    <row r="227" spans="2:17" s="8" customFormat="1" outlineLevel="1">
      <c r="B227" s="22" t="str">
        <f>'Program Budget'!D44</f>
        <v>Administrative Assistant - (2 Individuals)</v>
      </c>
      <c r="C227" s="22"/>
      <c r="D227" s="23">
        <v>1</v>
      </c>
      <c r="E227" s="23">
        <v>0</v>
      </c>
      <c r="F227" s="23">
        <v>0</v>
      </c>
      <c r="G227" s="23">
        <v>0</v>
      </c>
      <c r="H227" s="23">
        <v>0</v>
      </c>
      <c r="I227" s="23">
        <v>0</v>
      </c>
      <c r="J227" s="23">
        <v>0</v>
      </c>
      <c r="K227" s="23">
        <v>0</v>
      </c>
      <c r="L227" s="23">
        <v>0</v>
      </c>
      <c r="M227" s="23">
        <v>0</v>
      </c>
      <c r="N227" s="23">
        <v>0</v>
      </c>
      <c r="O227" s="23">
        <v>0</v>
      </c>
      <c r="P227" s="23">
        <v>0</v>
      </c>
      <c r="Q227" s="23">
        <f t="shared" si="8"/>
        <v>1</v>
      </c>
    </row>
    <row r="228" spans="2:17" s="8" customFormat="1" outlineLevel="1">
      <c r="B228" s="22" t="str">
        <f>'Program Budget'!D45</f>
        <v>Driver - (2 Individuals)</v>
      </c>
      <c r="C228" s="22"/>
      <c r="D228" s="23">
        <v>1</v>
      </c>
      <c r="E228" s="23">
        <v>0</v>
      </c>
      <c r="F228" s="23">
        <v>0</v>
      </c>
      <c r="G228" s="23">
        <v>0</v>
      </c>
      <c r="H228" s="23">
        <v>0</v>
      </c>
      <c r="I228" s="23">
        <v>0</v>
      </c>
      <c r="J228" s="23">
        <v>0</v>
      </c>
      <c r="K228" s="23">
        <v>0</v>
      </c>
      <c r="L228" s="23">
        <v>0</v>
      </c>
      <c r="M228" s="23">
        <v>0</v>
      </c>
      <c r="N228" s="23">
        <v>0</v>
      </c>
      <c r="O228" s="23">
        <v>0</v>
      </c>
      <c r="P228" s="23">
        <v>0</v>
      </c>
      <c r="Q228" s="23">
        <f t="shared" si="8"/>
        <v>1</v>
      </c>
    </row>
    <row r="229" spans="2:17" s="8" customFormat="1" outlineLevel="1">
      <c r="B229" s="20" t="s">
        <v>651</v>
      </c>
      <c r="C229" s="20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</row>
    <row r="230" spans="2:17" s="8" customFormat="1" outlineLevel="1">
      <c r="B230" s="22" t="str">
        <f>'Program Budget'!D47</f>
        <v>Senior Vice President of Programs</v>
      </c>
      <c r="C230" s="22"/>
      <c r="D230" s="23">
        <v>0.35</v>
      </c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>
        <f>SUM(D230:O230)</f>
        <v>0.35</v>
      </c>
    </row>
    <row r="231" spans="2:17" s="8" customFormat="1" outlineLevel="1">
      <c r="B231" s="22" t="str">
        <f>'Program Budget'!D48</f>
        <v xml:space="preserve">Program Director </v>
      </c>
      <c r="C231" s="22"/>
      <c r="D231" s="23">
        <v>0.9</v>
      </c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>
        <f>SUM(D231:O231)</f>
        <v>0.9</v>
      </c>
    </row>
    <row r="232" spans="2:17" s="8" customFormat="1" outlineLevel="1">
      <c r="B232" s="22" t="str">
        <f>'Program Budget'!D49</f>
        <v>Compliance &amp; Contracts Director</v>
      </c>
      <c r="C232" s="22"/>
      <c r="D232" s="23">
        <v>0.2</v>
      </c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>
        <f>SUM(D232:O232)</f>
        <v>0.2</v>
      </c>
    </row>
    <row r="233" spans="2:17" s="8" customFormat="1" outlineLevel="1">
      <c r="B233" s="22" t="str">
        <f>'Program Budget'!D50</f>
        <v>Associate Director</v>
      </c>
      <c r="C233" s="22"/>
      <c r="D233" s="23">
        <v>1</v>
      </c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>
        <f>SUM(D233:O233)</f>
        <v>1</v>
      </c>
    </row>
    <row r="234" spans="2:17" s="8" customFormat="1" outlineLevel="1">
      <c r="B234" s="22" t="str">
        <f>'Program Budget'!D51</f>
        <v xml:space="preserve">Senior Program Officer </v>
      </c>
      <c r="C234" s="22"/>
      <c r="D234" s="23">
        <v>0.05</v>
      </c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>
        <f>SUM(D234:O234)</f>
        <v>0.05</v>
      </c>
    </row>
    <row r="235" spans="2:17" s="8" customFormat="1" outlineLevel="1">
      <c r="B235" s="27" t="s">
        <v>140</v>
      </c>
      <c r="C235" s="27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</row>
    <row r="237" spans="2:17" s="227" customFormat="1" ht="51" customHeight="1">
      <c r="B237" s="225"/>
      <c r="C237" s="225"/>
      <c r="D237" s="226" t="str">
        <f t="shared" ref="D237:P237" si="9">D53</f>
        <v>Administration</v>
      </c>
      <c r="E237" s="226" t="str">
        <f t="shared" si="9"/>
        <v>Activity 1: Provide School Meals</v>
      </c>
      <c r="F237" s="226" t="str">
        <f t="shared" si="9"/>
        <v>Activity 2: Distribution: School Supplies and Materials</v>
      </c>
      <c r="G237" s="226" t="str">
        <f t="shared" si="9"/>
        <v>Activity 3: Training: Teacher and Administrators</v>
      </c>
      <c r="H237" s="226" t="str">
        <f t="shared" si="9"/>
        <v>Activity 4: Enrollment Campaigns</v>
      </c>
      <c r="I237" s="226" t="str">
        <f t="shared" si="9"/>
        <v>Activity 5: Building/Rehabilitation: Wells and Water Stations/Systems</v>
      </c>
      <c r="J237" s="226" t="str">
        <f t="shared" si="9"/>
        <v>Activity 6: Training: Good Health and Nutrition Practices</v>
      </c>
      <c r="K237" s="226" t="str">
        <f t="shared" si="9"/>
        <v>Activity 7: Training: Commodity Management</v>
      </c>
      <c r="L237" s="226" t="str">
        <f t="shared" si="9"/>
        <v>Activity 8: Capacity Building: Local and Regional Level</v>
      </c>
      <c r="M237" s="226" t="str">
        <f t="shared" si="9"/>
        <v>Activity 9: Capacity Building: National Level</v>
      </c>
      <c r="N237" s="226" t="str">
        <f t="shared" si="9"/>
        <v>Activity 10: Develop Public-Private Partnerships to Support School Feeding Sustainability</v>
      </c>
      <c r="O237" s="226" t="str">
        <f t="shared" si="9"/>
        <v xml:space="preserve">Activity 11: Expand Use of US Commodities in Honduras School Feeding Program </v>
      </c>
      <c r="P237" s="226" t="str">
        <f t="shared" si="9"/>
        <v>Internal Transportation Storage and Handling (ITSH)</v>
      </c>
      <c r="Q237" s="226" t="s">
        <v>662</v>
      </c>
    </row>
    <row r="238" spans="2:17" s="17" customFormat="1" ht="12.3">
      <c r="B238" s="14" t="s">
        <v>663</v>
      </c>
      <c r="C238" s="14"/>
      <c r="D238" s="15" t="s">
        <v>647</v>
      </c>
      <c r="E238" s="15" t="s">
        <v>647</v>
      </c>
      <c r="F238" s="15" t="s">
        <v>648</v>
      </c>
      <c r="G238" s="15" t="s">
        <v>648</v>
      </c>
      <c r="H238" s="15"/>
      <c r="I238" s="15"/>
      <c r="J238" s="15"/>
      <c r="K238" s="15"/>
      <c r="L238" s="15"/>
      <c r="M238" s="15"/>
      <c r="N238" s="15"/>
      <c r="O238" s="15"/>
      <c r="P238" s="15"/>
      <c r="Q238" s="15" t="s">
        <v>648</v>
      </c>
    </row>
    <row r="239" spans="2:17" s="8" customFormat="1">
      <c r="B239" s="18" t="s">
        <v>649</v>
      </c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</row>
    <row r="240" spans="2:17" s="8" customFormat="1" outlineLevel="1">
      <c r="B240" s="20" t="s">
        <v>650</v>
      </c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</row>
    <row r="241" spans="2:17" s="8" customFormat="1" outlineLevel="1">
      <c r="B241" s="22" t="str">
        <f>'Program Budget'!D12</f>
        <v xml:space="preserve">Key Personnel: Chief of Party - Roger Sanchez O’Neill </v>
      </c>
      <c r="C241" s="22"/>
      <c r="D241" s="23">
        <v>1</v>
      </c>
      <c r="E241" s="23">
        <v>0</v>
      </c>
      <c r="F241" s="23">
        <v>0</v>
      </c>
      <c r="G241" s="23">
        <v>0</v>
      </c>
      <c r="H241" s="23">
        <v>0</v>
      </c>
      <c r="I241" s="23">
        <v>0</v>
      </c>
      <c r="J241" s="23">
        <v>0</v>
      </c>
      <c r="K241" s="23">
        <v>0</v>
      </c>
      <c r="L241" s="23">
        <v>0</v>
      </c>
      <c r="M241" s="23">
        <v>0</v>
      </c>
      <c r="N241" s="23">
        <v>0</v>
      </c>
      <c r="O241" s="23">
        <v>0</v>
      </c>
      <c r="P241" s="23">
        <v>0</v>
      </c>
      <c r="Q241" s="23">
        <f t="shared" ref="Q241:Q263" si="10">SUM(D241:P241)</f>
        <v>1</v>
      </c>
    </row>
    <row r="242" spans="2:17" s="8" customFormat="1" outlineLevel="1">
      <c r="B242" s="22" t="str">
        <f>'Program Budget'!D13</f>
        <v>Key Personnel: Deputy Chief of Party - David Medina Mayo</v>
      </c>
      <c r="C242" s="22"/>
      <c r="D242" s="23">
        <v>1</v>
      </c>
      <c r="E242" s="23">
        <v>0</v>
      </c>
      <c r="F242" s="23">
        <v>0</v>
      </c>
      <c r="G242" s="23">
        <v>0</v>
      </c>
      <c r="H242" s="23">
        <v>0</v>
      </c>
      <c r="I242" s="23">
        <v>0</v>
      </c>
      <c r="J242" s="23">
        <v>0</v>
      </c>
      <c r="K242" s="23">
        <v>0</v>
      </c>
      <c r="L242" s="23">
        <v>0</v>
      </c>
      <c r="M242" s="23">
        <v>0</v>
      </c>
      <c r="N242" s="23">
        <v>0</v>
      </c>
      <c r="O242" s="23">
        <v>0</v>
      </c>
      <c r="P242" s="23">
        <v>0</v>
      </c>
      <c r="Q242" s="23">
        <f t="shared" si="10"/>
        <v>1</v>
      </c>
    </row>
    <row r="243" spans="2:17" s="8" customFormat="1" outlineLevel="1">
      <c r="B243" s="22" t="str">
        <f>'Program Budget'!D14</f>
        <v>Policy &amp; Sustainability Specialist</v>
      </c>
      <c r="C243" s="22"/>
      <c r="D243" s="23">
        <v>0</v>
      </c>
      <c r="E243" s="23">
        <v>0</v>
      </c>
      <c r="F243" s="23">
        <v>0</v>
      </c>
      <c r="G243" s="23">
        <v>0</v>
      </c>
      <c r="H243" s="23">
        <v>0</v>
      </c>
      <c r="I243" s="23">
        <v>0</v>
      </c>
      <c r="J243" s="23">
        <v>0</v>
      </c>
      <c r="K243" s="23">
        <v>0.1</v>
      </c>
      <c r="L243" s="23">
        <v>0.2</v>
      </c>
      <c r="M243" s="23">
        <v>0.3</v>
      </c>
      <c r="N243" s="23">
        <v>0.3</v>
      </c>
      <c r="O243" s="23">
        <v>0.1</v>
      </c>
      <c r="P243" s="23">
        <v>0</v>
      </c>
      <c r="Q243" s="23">
        <f t="shared" si="10"/>
        <v>1.0000000000000002</v>
      </c>
    </row>
    <row r="244" spans="2:17" s="8" customFormat="1" outlineLevel="1">
      <c r="B244" s="22" t="str">
        <f>'Program Budget'!D15</f>
        <v xml:space="preserve">Education Director </v>
      </c>
      <c r="C244" s="22"/>
      <c r="D244" s="23">
        <v>0</v>
      </c>
      <c r="E244" s="23">
        <v>0</v>
      </c>
      <c r="F244" s="23">
        <v>0.1</v>
      </c>
      <c r="G244" s="23">
        <v>0.2</v>
      </c>
      <c r="H244" s="23">
        <v>0.2</v>
      </c>
      <c r="I244" s="23">
        <v>0</v>
      </c>
      <c r="J244" s="23">
        <v>0.2</v>
      </c>
      <c r="K244" s="23">
        <v>0</v>
      </c>
      <c r="L244" s="23">
        <v>0.1</v>
      </c>
      <c r="M244" s="23">
        <v>0.1</v>
      </c>
      <c r="N244" s="23">
        <v>0.1</v>
      </c>
      <c r="O244" s="23">
        <v>0</v>
      </c>
      <c r="P244" s="23">
        <v>0</v>
      </c>
      <c r="Q244" s="23">
        <f t="shared" ref="Q244" si="11">SUM(D244:P244)</f>
        <v>0.99999999999999989</v>
      </c>
    </row>
    <row r="245" spans="2:17" s="8" customFormat="1" outlineLevel="1">
      <c r="B245" s="22" t="str">
        <f>'Program Budget'!D16</f>
        <v>Education Specialist</v>
      </c>
      <c r="C245" s="22"/>
      <c r="D245" s="23">
        <v>0</v>
      </c>
      <c r="E245" s="23">
        <v>0</v>
      </c>
      <c r="F245" s="23">
        <v>0.1</v>
      </c>
      <c r="G245" s="23">
        <v>0.2</v>
      </c>
      <c r="H245" s="23">
        <v>0.2</v>
      </c>
      <c r="I245" s="23">
        <v>0</v>
      </c>
      <c r="J245" s="23">
        <v>0.2</v>
      </c>
      <c r="K245" s="23">
        <v>0</v>
      </c>
      <c r="L245" s="23">
        <v>0.1</v>
      </c>
      <c r="M245" s="23">
        <v>0.1</v>
      </c>
      <c r="N245" s="23">
        <v>0.1</v>
      </c>
      <c r="O245" s="23">
        <v>0</v>
      </c>
      <c r="P245" s="23">
        <v>0</v>
      </c>
      <c r="Q245" s="23">
        <f t="shared" si="10"/>
        <v>0.99999999999999989</v>
      </c>
    </row>
    <row r="246" spans="2:17" s="8" customFormat="1" outlineLevel="1">
      <c r="B246" s="22" t="str">
        <f>'Program Budget'!D17</f>
        <v>Education Officer</v>
      </c>
      <c r="C246" s="22"/>
      <c r="D246" s="23">
        <v>0</v>
      </c>
      <c r="E246" s="23">
        <v>0</v>
      </c>
      <c r="F246" s="23">
        <v>0.1</v>
      </c>
      <c r="G246" s="23">
        <v>0.2</v>
      </c>
      <c r="H246" s="23">
        <v>0.2</v>
      </c>
      <c r="I246" s="23">
        <v>0</v>
      </c>
      <c r="J246" s="23">
        <v>0.2</v>
      </c>
      <c r="K246" s="23">
        <v>0</v>
      </c>
      <c r="L246" s="23">
        <v>0.1</v>
      </c>
      <c r="M246" s="23">
        <v>0.1</v>
      </c>
      <c r="N246" s="23">
        <v>0.1</v>
      </c>
      <c r="O246" s="23">
        <v>0</v>
      </c>
      <c r="P246" s="23">
        <v>0</v>
      </c>
      <c r="Q246" s="23">
        <f t="shared" ref="Q246" si="12">SUM(D246:P246)</f>
        <v>0.99999999999999989</v>
      </c>
    </row>
    <row r="247" spans="2:17" s="8" customFormat="1" outlineLevel="1">
      <c r="B247" s="22" t="str">
        <f>'Program Budget'!D18</f>
        <v>Nutrition and Health Specialist</v>
      </c>
      <c r="C247" s="22"/>
      <c r="D247" s="23">
        <v>0</v>
      </c>
      <c r="E247" s="23">
        <v>0.25</v>
      </c>
      <c r="F247" s="23">
        <v>0</v>
      </c>
      <c r="G247" s="23">
        <v>0</v>
      </c>
      <c r="H247" s="23">
        <v>0</v>
      </c>
      <c r="I247" s="23">
        <v>0.25</v>
      </c>
      <c r="J247" s="23">
        <v>0.15</v>
      </c>
      <c r="K247" s="23">
        <v>0.1</v>
      </c>
      <c r="L247" s="23">
        <v>0.05</v>
      </c>
      <c r="M247" s="23">
        <v>0.05</v>
      </c>
      <c r="N247" s="23">
        <v>0.1</v>
      </c>
      <c r="O247" s="23">
        <v>0.05</v>
      </c>
      <c r="P247" s="23">
        <v>0</v>
      </c>
      <c r="Q247" s="23">
        <f t="shared" si="10"/>
        <v>1</v>
      </c>
    </row>
    <row r="248" spans="2:17" s="8" customFormat="1" outlineLevel="1">
      <c r="B248" s="22" t="str">
        <f>'Program Budget'!D19</f>
        <v>Nutrition Officer - (2 Individuals)</v>
      </c>
      <c r="C248" s="22"/>
      <c r="D248" s="23">
        <v>0</v>
      </c>
      <c r="E248" s="23">
        <v>0.85</v>
      </c>
      <c r="F248" s="23">
        <v>0</v>
      </c>
      <c r="G248" s="23">
        <v>0</v>
      </c>
      <c r="H248" s="23">
        <v>0</v>
      </c>
      <c r="I248" s="23">
        <v>0</v>
      </c>
      <c r="J248" s="23">
        <v>0.15</v>
      </c>
      <c r="K248" s="23">
        <v>0</v>
      </c>
      <c r="L248" s="23">
        <v>0</v>
      </c>
      <c r="M248" s="23">
        <v>0</v>
      </c>
      <c r="N248" s="23">
        <v>0</v>
      </c>
      <c r="O248" s="23">
        <v>0</v>
      </c>
      <c r="P248" s="23">
        <v>0</v>
      </c>
      <c r="Q248" s="23">
        <f t="shared" si="10"/>
        <v>1</v>
      </c>
    </row>
    <row r="249" spans="2:17" s="8" customFormat="1" outlineLevel="1">
      <c r="B249" s="22" t="str">
        <f>'Program Budget'!D20</f>
        <v>School Feeding Specialist</v>
      </c>
      <c r="C249" s="22"/>
      <c r="D249" s="23">
        <v>0</v>
      </c>
      <c r="E249" s="23">
        <v>0.4</v>
      </c>
      <c r="F249" s="23">
        <v>0</v>
      </c>
      <c r="G249" s="23">
        <v>0</v>
      </c>
      <c r="H249" s="23">
        <v>0</v>
      </c>
      <c r="I249" s="23">
        <v>0</v>
      </c>
      <c r="J249" s="23">
        <v>0.15</v>
      </c>
      <c r="K249" s="23">
        <v>0.25</v>
      </c>
      <c r="L249" s="23">
        <v>0.05</v>
      </c>
      <c r="M249" s="23">
        <v>0.05</v>
      </c>
      <c r="N249" s="23">
        <v>0.05</v>
      </c>
      <c r="O249" s="23">
        <v>0.05</v>
      </c>
      <c r="P249" s="23">
        <v>0</v>
      </c>
      <c r="Q249" s="23">
        <f t="shared" si="10"/>
        <v>1.0000000000000002</v>
      </c>
    </row>
    <row r="250" spans="2:17" s="8" customFormat="1" outlineLevel="1">
      <c r="B250" s="22" t="str">
        <f>'Program Budget'!D21</f>
        <v>Food Aid Monitors - (2 Individuals)</v>
      </c>
      <c r="C250" s="22"/>
      <c r="D250" s="23">
        <v>0</v>
      </c>
      <c r="E250" s="23">
        <v>0.85</v>
      </c>
      <c r="F250" s="23">
        <v>0</v>
      </c>
      <c r="G250" s="23">
        <v>0</v>
      </c>
      <c r="H250" s="23">
        <v>0</v>
      </c>
      <c r="I250" s="23">
        <v>0</v>
      </c>
      <c r="J250" s="23">
        <v>7.0000000000000007E-2</v>
      </c>
      <c r="K250" s="23">
        <v>0.08</v>
      </c>
      <c r="L250" s="23">
        <v>0</v>
      </c>
      <c r="M250" s="23">
        <v>0</v>
      </c>
      <c r="N250" s="23">
        <v>0</v>
      </c>
      <c r="O250" s="23">
        <v>0</v>
      </c>
      <c r="P250" s="23">
        <v>0</v>
      </c>
      <c r="Q250" s="23">
        <f t="shared" si="10"/>
        <v>0.99999999999999989</v>
      </c>
    </row>
    <row r="251" spans="2:17" s="8" customFormat="1" outlineLevel="1">
      <c r="B251" s="22" t="str">
        <f>'Program Budget'!D22</f>
        <v>WASH Officer</v>
      </c>
      <c r="C251" s="22"/>
      <c r="D251" s="23">
        <v>0</v>
      </c>
      <c r="E251" s="23">
        <v>0</v>
      </c>
      <c r="F251" s="23">
        <v>0</v>
      </c>
      <c r="G251" s="23">
        <v>0</v>
      </c>
      <c r="H251" s="23">
        <v>0</v>
      </c>
      <c r="I251" s="23">
        <v>1</v>
      </c>
      <c r="J251" s="23">
        <v>0</v>
      </c>
      <c r="K251" s="23">
        <v>0</v>
      </c>
      <c r="L251" s="23">
        <v>0</v>
      </c>
      <c r="M251" s="23">
        <v>0</v>
      </c>
      <c r="N251" s="23">
        <v>0</v>
      </c>
      <c r="O251" s="23">
        <v>0</v>
      </c>
      <c r="P251" s="23">
        <v>0</v>
      </c>
      <c r="Q251" s="23">
        <f t="shared" ref="Q251" si="13">SUM(D251:P251)</f>
        <v>1</v>
      </c>
    </row>
    <row r="252" spans="2:17" s="8" customFormat="1" outlineLevel="1">
      <c r="B252" s="22" t="str">
        <f>'Program Budget'!D23</f>
        <v>Communications Specialist</v>
      </c>
      <c r="C252" s="22"/>
      <c r="D252" s="23">
        <v>0.5</v>
      </c>
      <c r="E252" s="23">
        <v>0</v>
      </c>
      <c r="F252" s="23">
        <v>0</v>
      </c>
      <c r="G252" s="23">
        <v>0</v>
      </c>
      <c r="H252" s="23">
        <v>0.1</v>
      </c>
      <c r="I252" s="23">
        <v>0</v>
      </c>
      <c r="J252" s="23">
        <v>0.15</v>
      </c>
      <c r="K252" s="23">
        <v>0</v>
      </c>
      <c r="L252" s="23">
        <v>0.1</v>
      </c>
      <c r="M252" s="23">
        <v>0</v>
      </c>
      <c r="N252" s="23">
        <v>0.15</v>
      </c>
      <c r="O252" s="23">
        <v>0</v>
      </c>
      <c r="P252" s="23">
        <v>0</v>
      </c>
      <c r="Q252" s="23">
        <f t="shared" si="10"/>
        <v>1</v>
      </c>
    </row>
    <row r="253" spans="2:17" s="8" customFormat="1" outlineLevel="1">
      <c r="B253" s="22" t="str">
        <f>'Program Budget'!D24</f>
        <v>Communications Officer</v>
      </c>
      <c r="C253" s="22"/>
      <c r="D253" s="23">
        <v>0</v>
      </c>
      <c r="E253" s="23">
        <v>0</v>
      </c>
      <c r="F253" s="23">
        <v>0</v>
      </c>
      <c r="G253" s="23">
        <v>0</v>
      </c>
      <c r="H253" s="23">
        <v>0.6</v>
      </c>
      <c r="I253" s="23">
        <v>0</v>
      </c>
      <c r="J253" s="23">
        <v>0.15</v>
      </c>
      <c r="K253" s="23">
        <v>0</v>
      </c>
      <c r="L253" s="23">
        <v>0.1</v>
      </c>
      <c r="M253" s="23">
        <v>0</v>
      </c>
      <c r="N253" s="23">
        <v>0.15</v>
      </c>
      <c r="O253" s="23">
        <v>0</v>
      </c>
      <c r="P253" s="23">
        <v>0</v>
      </c>
      <c r="Q253" s="23">
        <f t="shared" ref="Q253" si="14">SUM(D253:P253)</f>
        <v>1</v>
      </c>
    </row>
    <row r="254" spans="2:17" s="8" customFormat="1" outlineLevel="1">
      <c r="B254" s="22" t="str">
        <f>'Program Budget'!D25</f>
        <v>Education &amp; Community Engagement Specialist</v>
      </c>
      <c r="C254" s="22"/>
      <c r="D254" s="23">
        <v>0</v>
      </c>
      <c r="E254" s="23">
        <v>0.1</v>
      </c>
      <c r="F254" s="23">
        <v>0.1</v>
      </c>
      <c r="G254" s="23">
        <v>0.1</v>
      </c>
      <c r="H254" s="23">
        <v>0.15</v>
      </c>
      <c r="I254" s="23">
        <v>0.1</v>
      </c>
      <c r="J254" s="23">
        <v>0.1</v>
      </c>
      <c r="K254" s="23">
        <v>0.1</v>
      </c>
      <c r="L254" s="23">
        <v>0.1</v>
      </c>
      <c r="M254" s="23">
        <v>0.05</v>
      </c>
      <c r="N254" s="23">
        <v>0.05</v>
      </c>
      <c r="O254" s="23">
        <v>0.05</v>
      </c>
      <c r="P254" s="23">
        <v>0</v>
      </c>
      <c r="Q254" s="23">
        <f t="shared" si="10"/>
        <v>1</v>
      </c>
    </row>
    <row r="255" spans="2:17" s="8" customFormat="1" outlineLevel="1">
      <c r="B255" s="22" t="str">
        <f>'Program Budget'!D26</f>
        <v>Education &amp; Community Engagement Officer</v>
      </c>
      <c r="C255" s="22"/>
      <c r="D255" s="23">
        <v>0</v>
      </c>
      <c r="E255" s="23">
        <v>0.1</v>
      </c>
      <c r="F255" s="23">
        <v>0.1</v>
      </c>
      <c r="G255" s="23">
        <v>0.1</v>
      </c>
      <c r="H255" s="23">
        <v>0.15</v>
      </c>
      <c r="I255" s="23">
        <v>0.1</v>
      </c>
      <c r="J255" s="23">
        <v>0.1</v>
      </c>
      <c r="K255" s="23">
        <v>0.1</v>
      </c>
      <c r="L255" s="23">
        <v>0.1</v>
      </c>
      <c r="M255" s="23">
        <v>0.05</v>
      </c>
      <c r="N255" s="23">
        <v>0.05</v>
      </c>
      <c r="O255" s="23">
        <v>0.05</v>
      </c>
      <c r="P255" s="23">
        <v>0</v>
      </c>
      <c r="Q255" s="23">
        <f t="shared" ref="Q255" si="15">SUM(D255:P255)</f>
        <v>1</v>
      </c>
    </row>
    <row r="256" spans="2:17" s="8" customFormat="1" outlineLevel="1">
      <c r="B256" s="22" t="str">
        <f>'Program Budget'!D27</f>
        <v>Private Sector Specialist</v>
      </c>
      <c r="C256" s="22"/>
      <c r="D256" s="23">
        <v>0</v>
      </c>
      <c r="E256" s="23">
        <v>0</v>
      </c>
      <c r="F256" s="23">
        <v>0.05</v>
      </c>
      <c r="G256" s="23">
        <v>0</v>
      </c>
      <c r="H256" s="23">
        <v>0</v>
      </c>
      <c r="I256" s="23">
        <v>0.05</v>
      </c>
      <c r="J256" s="23">
        <v>0</v>
      </c>
      <c r="K256" s="23">
        <v>0</v>
      </c>
      <c r="L256" s="23">
        <v>0.1</v>
      </c>
      <c r="M256" s="23">
        <v>0.1</v>
      </c>
      <c r="N256" s="23">
        <v>0.7</v>
      </c>
      <c r="O256" s="23">
        <v>0</v>
      </c>
      <c r="P256" s="23">
        <v>0</v>
      </c>
      <c r="Q256" s="23">
        <f t="shared" si="10"/>
        <v>1</v>
      </c>
    </row>
    <row r="257" spans="2:17" s="8" customFormat="1" outlineLevel="1">
      <c r="B257" s="22" t="str">
        <f>'Program Budget'!D28</f>
        <v xml:space="preserve">Key Personnel: M&amp;E Director </v>
      </c>
      <c r="C257" s="22"/>
      <c r="D257" s="23">
        <v>1</v>
      </c>
      <c r="E257" s="23">
        <v>0</v>
      </c>
      <c r="F257" s="23">
        <v>0</v>
      </c>
      <c r="G257" s="23">
        <v>0</v>
      </c>
      <c r="H257" s="23">
        <v>0</v>
      </c>
      <c r="I257" s="23">
        <v>0</v>
      </c>
      <c r="J257" s="23">
        <v>0</v>
      </c>
      <c r="K257" s="23">
        <v>0</v>
      </c>
      <c r="L257" s="23">
        <v>0</v>
      </c>
      <c r="M257" s="23">
        <v>0</v>
      </c>
      <c r="N257" s="23">
        <v>0</v>
      </c>
      <c r="O257" s="23">
        <v>0</v>
      </c>
      <c r="P257" s="23">
        <v>0</v>
      </c>
      <c r="Q257" s="23">
        <f t="shared" si="10"/>
        <v>1</v>
      </c>
    </row>
    <row r="258" spans="2:17" s="8" customFormat="1" outlineLevel="1">
      <c r="B258" s="22" t="str">
        <f>'Program Budget'!D29</f>
        <v>M&amp;E Specialist</v>
      </c>
      <c r="C258" s="22"/>
      <c r="D258" s="23">
        <v>1</v>
      </c>
      <c r="E258" s="23">
        <v>0</v>
      </c>
      <c r="F258" s="23">
        <v>0</v>
      </c>
      <c r="G258" s="23">
        <v>0</v>
      </c>
      <c r="H258" s="23">
        <v>0</v>
      </c>
      <c r="I258" s="23">
        <v>0</v>
      </c>
      <c r="J258" s="23">
        <v>0</v>
      </c>
      <c r="K258" s="23">
        <v>0</v>
      </c>
      <c r="L258" s="23">
        <v>0</v>
      </c>
      <c r="M258" s="23">
        <v>0</v>
      </c>
      <c r="N258" s="23">
        <v>0</v>
      </c>
      <c r="O258" s="23">
        <v>0</v>
      </c>
      <c r="P258" s="23">
        <v>0</v>
      </c>
      <c r="Q258" s="23">
        <f t="shared" si="10"/>
        <v>1</v>
      </c>
    </row>
    <row r="259" spans="2:17" s="8" customFormat="1" outlineLevel="1">
      <c r="B259" s="22" t="str">
        <f>'Program Budget'!D30</f>
        <v>M&amp;E Officer</v>
      </c>
      <c r="C259" s="22"/>
      <c r="D259" s="23">
        <v>1</v>
      </c>
      <c r="E259" s="23">
        <v>0</v>
      </c>
      <c r="F259" s="23">
        <v>0</v>
      </c>
      <c r="G259" s="23">
        <v>0</v>
      </c>
      <c r="H259" s="23">
        <v>0</v>
      </c>
      <c r="I259" s="23">
        <v>0</v>
      </c>
      <c r="J259" s="23">
        <v>0</v>
      </c>
      <c r="K259" s="23">
        <v>0</v>
      </c>
      <c r="L259" s="23">
        <v>0</v>
      </c>
      <c r="M259" s="23">
        <v>0</v>
      </c>
      <c r="N259" s="23">
        <v>0</v>
      </c>
      <c r="O259" s="23">
        <v>0</v>
      </c>
      <c r="P259" s="23">
        <v>0</v>
      </c>
      <c r="Q259" s="23">
        <f t="shared" ref="Q259" si="16">SUM(D259:P259)</f>
        <v>1</v>
      </c>
    </row>
    <row r="260" spans="2:17" s="8" customFormat="1" outlineLevel="1">
      <c r="B260" s="22" t="str">
        <f>'Program Budget'!D31</f>
        <v>Supply Chain Manager</v>
      </c>
      <c r="C260" s="22"/>
      <c r="D260" s="23">
        <v>0</v>
      </c>
      <c r="E260" s="23">
        <v>0</v>
      </c>
      <c r="F260" s="23">
        <v>0</v>
      </c>
      <c r="G260" s="23">
        <v>0</v>
      </c>
      <c r="H260" s="23">
        <v>0</v>
      </c>
      <c r="I260" s="23">
        <v>0</v>
      </c>
      <c r="J260" s="23">
        <v>0</v>
      </c>
      <c r="K260" s="23">
        <v>0</v>
      </c>
      <c r="L260" s="23">
        <v>0</v>
      </c>
      <c r="M260" s="23">
        <v>0</v>
      </c>
      <c r="N260" s="23">
        <v>0</v>
      </c>
      <c r="O260" s="23">
        <v>0</v>
      </c>
      <c r="P260" s="23">
        <v>1</v>
      </c>
      <c r="Q260" s="23">
        <f t="shared" si="10"/>
        <v>1</v>
      </c>
    </row>
    <row r="261" spans="2:17" s="8" customFormat="1" outlineLevel="1">
      <c r="B261" s="22" t="str">
        <f>'Program Budget'!D32</f>
        <v>In-Country Logistics Specialist</v>
      </c>
      <c r="C261" s="22"/>
      <c r="D261" s="23">
        <v>0</v>
      </c>
      <c r="E261" s="23">
        <v>0</v>
      </c>
      <c r="F261" s="23">
        <v>0</v>
      </c>
      <c r="G261" s="23">
        <v>0</v>
      </c>
      <c r="H261" s="23">
        <v>0</v>
      </c>
      <c r="I261" s="23">
        <v>0</v>
      </c>
      <c r="J261" s="23">
        <v>0</v>
      </c>
      <c r="K261" s="23">
        <v>0</v>
      </c>
      <c r="L261" s="23">
        <v>0</v>
      </c>
      <c r="M261" s="23">
        <v>0</v>
      </c>
      <c r="N261" s="23">
        <v>0</v>
      </c>
      <c r="O261" s="23">
        <v>0</v>
      </c>
      <c r="P261" s="23">
        <v>1</v>
      </c>
      <c r="Q261" s="23">
        <f t="shared" si="10"/>
        <v>1</v>
      </c>
    </row>
    <row r="262" spans="2:17" s="8" customFormat="1" outlineLevel="1">
      <c r="B262" s="22" t="str">
        <f>'Program Budget'!D33</f>
        <v>US Commodity Logistics Specialist</v>
      </c>
      <c r="C262" s="22"/>
      <c r="D262" s="23">
        <v>0</v>
      </c>
      <c r="E262" s="23">
        <v>0</v>
      </c>
      <c r="F262" s="23">
        <v>0</v>
      </c>
      <c r="G262" s="23">
        <v>0</v>
      </c>
      <c r="H262" s="23">
        <v>0</v>
      </c>
      <c r="I262" s="23">
        <v>0</v>
      </c>
      <c r="J262" s="23">
        <v>0</v>
      </c>
      <c r="K262" s="23">
        <v>0</v>
      </c>
      <c r="L262" s="23">
        <v>0</v>
      </c>
      <c r="M262" s="23">
        <v>0</v>
      </c>
      <c r="N262" s="23">
        <v>0</v>
      </c>
      <c r="O262" s="23">
        <v>0.2</v>
      </c>
      <c r="P262" s="23">
        <v>0.8</v>
      </c>
      <c r="Q262" s="23">
        <f t="shared" ref="Q262" si="17">SUM(D262:P262)</f>
        <v>1</v>
      </c>
    </row>
    <row r="263" spans="2:17" s="8" customFormat="1" outlineLevel="1">
      <c r="B263" s="22" t="str">
        <f>'Program Budget'!D34</f>
        <v>Warehouse Manager</v>
      </c>
      <c r="C263" s="22"/>
      <c r="D263" s="23">
        <v>0</v>
      </c>
      <c r="E263" s="23">
        <v>0</v>
      </c>
      <c r="F263" s="23">
        <v>0</v>
      </c>
      <c r="G263" s="23">
        <v>0</v>
      </c>
      <c r="H263" s="23">
        <v>0</v>
      </c>
      <c r="I263" s="23">
        <v>0</v>
      </c>
      <c r="J263" s="23">
        <v>0</v>
      </c>
      <c r="K263" s="23">
        <v>0</v>
      </c>
      <c r="L263" s="23">
        <v>0</v>
      </c>
      <c r="M263" s="23">
        <v>0</v>
      </c>
      <c r="N263" s="23">
        <v>0</v>
      </c>
      <c r="O263" s="23">
        <v>0</v>
      </c>
      <c r="P263" s="23">
        <v>1</v>
      </c>
      <c r="Q263" s="23">
        <f t="shared" si="10"/>
        <v>1</v>
      </c>
    </row>
    <row r="264" spans="2:17" s="8" customFormat="1" outlineLevel="1">
      <c r="B264" s="22" t="str">
        <f>'Program Budget'!D35</f>
        <v>Warehouse Officer - (2 Individuals)</v>
      </c>
      <c r="C264" s="22"/>
      <c r="D264" s="23">
        <v>0</v>
      </c>
      <c r="E264" s="23">
        <v>0</v>
      </c>
      <c r="F264" s="23">
        <v>0</v>
      </c>
      <c r="G264" s="23">
        <v>0</v>
      </c>
      <c r="H264" s="23">
        <v>0</v>
      </c>
      <c r="I264" s="23">
        <v>0</v>
      </c>
      <c r="J264" s="23">
        <v>0</v>
      </c>
      <c r="K264" s="23">
        <v>0</v>
      </c>
      <c r="L264" s="23">
        <v>0</v>
      </c>
      <c r="M264" s="23">
        <v>0</v>
      </c>
      <c r="N264" s="23">
        <v>0</v>
      </c>
      <c r="O264" s="23">
        <v>0</v>
      </c>
      <c r="P264" s="23">
        <v>1</v>
      </c>
      <c r="Q264" s="23">
        <f t="shared" ref="Q264" si="18">SUM(D264:P264)</f>
        <v>1</v>
      </c>
    </row>
    <row r="265" spans="2:17" s="8" customFormat="1" outlineLevel="1">
      <c r="B265" s="22" t="str">
        <f>'Program Budget'!D36</f>
        <v xml:space="preserve">LRP Technical Specialist </v>
      </c>
      <c r="C265" s="22"/>
      <c r="D265" s="23">
        <v>0</v>
      </c>
      <c r="E265" s="23">
        <v>0</v>
      </c>
      <c r="F265" s="23">
        <v>0</v>
      </c>
      <c r="G265" s="23">
        <v>0</v>
      </c>
      <c r="H265" s="23">
        <v>0</v>
      </c>
      <c r="I265" s="23">
        <v>0</v>
      </c>
      <c r="J265" s="23">
        <v>0</v>
      </c>
      <c r="K265" s="23">
        <v>0</v>
      </c>
      <c r="L265" s="23">
        <v>0</v>
      </c>
      <c r="M265" s="23">
        <v>0</v>
      </c>
      <c r="N265" s="23">
        <v>0</v>
      </c>
      <c r="O265" s="23">
        <v>0</v>
      </c>
      <c r="P265" s="23">
        <v>1</v>
      </c>
      <c r="Q265" s="23">
        <f t="shared" ref="Q265" si="19">SUM(D265:P265)</f>
        <v>1</v>
      </c>
    </row>
    <row r="266" spans="2:17" s="8" customFormat="1" outlineLevel="1">
      <c r="B266" s="22" t="str">
        <f>'Program Budget'!D37</f>
        <v>Finance &amp; Administration Director</v>
      </c>
      <c r="C266" s="22"/>
      <c r="D266" s="23">
        <v>1</v>
      </c>
      <c r="E266" s="23">
        <v>0</v>
      </c>
      <c r="F266" s="23">
        <v>0</v>
      </c>
      <c r="G266" s="23">
        <v>0</v>
      </c>
      <c r="H266" s="23">
        <v>0</v>
      </c>
      <c r="I266" s="23">
        <v>0</v>
      </c>
      <c r="J266" s="23">
        <v>0</v>
      </c>
      <c r="K266" s="23">
        <v>0</v>
      </c>
      <c r="L266" s="23">
        <v>0</v>
      </c>
      <c r="M266" s="23">
        <v>0</v>
      </c>
      <c r="N266" s="23">
        <v>0</v>
      </c>
      <c r="O266" s="23">
        <v>0</v>
      </c>
      <c r="P266" s="23">
        <v>0</v>
      </c>
      <c r="Q266" s="23">
        <f t="shared" ref="Q266:Q274" si="20">SUM(D266:P266)</f>
        <v>1</v>
      </c>
    </row>
    <row r="267" spans="2:17" s="8" customFormat="1" outlineLevel="1">
      <c r="B267" s="22" t="str">
        <f>'Program Budget'!D38</f>
        <v>Contracts &amp; Compliance Manager</v>
      </c>
      <c r="C267" s="22"/>
      <c r="D267" s="23">
        <v>1</v>
      </c>
      <c r="E267" s="23">
        <v>0</v>
      </c>
      <c r="F267" s="23">
        <v>0</v>
      </c>
      <c r="G267" s="23">
        <v>0</v>
      </c>
      <c r="H267" s="23">
        <v>0</v>
      </c>
      <c r="I267" s="23">
        <v>0</v>
      </c>
      <c r="J267" s="23">
        <v>0</v>
      </c>
      <c r="K267" s="23">
        <v>0</v>
      </c>
      <c r="L267" s="23">
        <v>0</v>
      </c>
      <c r="M267" s="23">
        <v>0</v>
      </c>
      <c r="N267" s="23">
        <v>0</v>
      </c>
      <c r="O267" s="23">
        <v>0</v>
      </c>
      <c r="P267" s="23">
        <v>0</v>
      </c>
      <c r="Q267" s="23">
        <f t="shared" si="20"/>
        <v>1</v>
      </c>
    </row>
    <row r="268" spans="2:17" s="8" customFormat="1" outlineLevel="1">
      <c r="B268" s="22" t="str">
        <f>'Program Budget'!D39</f>
        <v>Grants &amp; Procurement Specialist</v>
      </c>
      <c r="C268" s="22"/>
      <c r="D268" s="23">
        <v>1</v>
      </c>
      <c r="E268" s="23">
        <v>0</v>
      </c>
      <c r="F268" s="23">
        <v>0</v>
      </c>
      <c r="G268" s="23">
        <v>0</v>
      </c>
      <c r="H268" s="23">
        <v>0</v>
      </c>
      <c r="I268" s="23">
        <v>0</v>
      </c>
      <c r="J268" s="23">
        <v>0</v>
      </c>
      <c r="K268" s="23">
        <v>0</v>
      </c>
      <c r="L268" s="23">
        <v>0</v>
      </c>
      <c r="M268" s="23">
        <v>0</v>
      </c>
      <c r="N268" s="23">
        <v>0</v>
      </c>
      <c r="O268" s="23">
        <v>0</v>
      </c>
      <c r="P268" s="23">
        <v>0</v>
      </c>
      <c r="Q268" s="23">
        <f t="shared" si="20"/>
        <v>1</v>
      </c>
    </row>
    <row r="269" spans="2:17" s="8" customFormat="1" outlineLevel="1">
      <c r="B269" s="22" t="str">
        <f>'Program Budget'!D40</f>
        <v>Grants &amp; Procurement Officer</v>
      </c>
      <c r="C269" s="22"/>
      <c r="D269" s="23">
        <v>1</v>
      </c>
      <c r="E269" s="23">
        <v>0</v>
      </c>
      <c r="F269" s="23">
        <v>0</v>
      </c>
      <c r="G269" s="23">
        <v>0</v>
      </c>
      <c r="H269" s="23">
        <v>0</v>
      </c>
      <c r="I269" s="23">
        <v>0</v>
      </c>
      <c r="J269" s="23">
        <v>0</v>
      </c>
      <c r="K269" s="23">
        <v>0</v>
      </c>
      <c r="L269" s="23">
        <v>0</v>
      </c>
      <c r="M269" s="23">
        <v>0</v>
      </c>
      <c r="N269" s="23">
        <v>0</v>
      </c>
      <c r="O269" s="23">
        <v>0</v>
      </c>
      <c r="P269" s="23">
        <v>0</v>
      </c>
      <c r="Q269" s="23">
        <f t="shared" si="20"/>
        <v>1</v>
      </c>
    </row>
    <row r="270" spans="2:17" s="8" customFormat="1" outlineLevel="1">
      <c r="B270" s="22" t="str">
        <f>'Program Budget'!D41</f>
        <v>Finance Officer</v>
      </c>
      <c r="C270" s="22"/>
      <c r="D270" s="23">
        <v>1</v>
      </c>
      <c r="E270" s="23">
        <v>0</v>
      </c>
      <c r="F270" s="23">
        <v>0</v>
      </c>
      <c r="G270" s="23">
        <v>0</v>
      </c>
      <c r="H270" s="23">
        <v>0</v>
      </c>
      <c r="I270" s="23">
        <v>0</v>
      </c>
      <c r="J270" s="23">
        <v>0</v>
      </c>
      <c r="K270" s="23">
        <v>0</v>
      </c>
      <c r="L270" s="23">
        <v>0</v>
      </c>
      <c r="M270" s="23">
        <v>0</v>
      </c>
      <c r="N270" s="23">
        <v>0</v>
      </c>
      <c r="O270" s="23">
        <v>0</v>
      </c>
      <c r="P270" s="23">
        <v>0</v>
      </c>
      <c r="Q270" s="23">
        <f t="shared" si="20"/>
        <v>1</v>
      </c>
    </row>
    <row r="271" spans="2:17" s="8" customFormat="1" outlineLevel="1">
      <c r="B271" s="22" t="str">
        <f>'Program Budget'!D42</f>
        <v>Accountant</v>
      </c>
      <c r="C271" s="22"/>
      <c r="D271" s="23">
        <v>1</v>
      </c>
      <c r="E271" s="23">
        <v>0</v>
      </c>
      <c r="F271" s="23">
        <v>0</v>
      </c>
      <c r="G271" s="23">
        <v>0</v>
      </c>
      <c r="H271" s="23">
        <v>0</v>
      </c>
      <c r="I271" s="23">
        <v>0</v>
      </c>
      <c r="J271" s="23">
        <v>0</v>
      </c>
      <c r="K271" s="23">
        <v>0</v>
      </c>
      <c r="L271" s="23">
        <v>0</v>
      </c>
      <c r="M271" s="23">
        <v>0</v>
      </c>
      <c r="N271" s="23">
        <v>0</v>
      </c>
      <c r="O271" s="23">
        <v>0</v>
      </c>
      <c r="P271" s="23">
        <v>0</v>
      </c>
      <c r="Q271" s="23">
        <f t="shared" si="20"/>
        <v>1</v>
      </c>
    </row>
    <row r="272" spans="2:17" s="8" customFormat="1" outlineLevel="1">
      <c r="B272" s="22" t="str">
        <f>'Program Budget'!D43</f>
        <v>Operation &amp; HR Manager</v>
      </c>
      <c r="C272" s="22"/>
      <c r="D272" s="23">
        <v>1</v>
      </c>
      <c r="E272" s="23">
        <v>0</v>
      </c>
      <c r="F272" s="23">
        <v>0</v>
      </c>
      <c r="G272" s="23">
        <v>0</v>
      </c>
      <c r="H272" s="23">
        <v>0</v>
      </c>
      <c r="I272" s="23">
        <v>0</v>
      </c>
      <c r="J272" s="23">
        <v>0</v>
      </c>
      <c r="K272" s="23">
        <v>0</v>
      </c>
      <c r="L272" s="23">
        <v>0</v>
      </c>
      <c r="M272" s="23">
        <v>0</v>
      </c>
      <c r="N272" s="23">
        <v>0</v>
      </c>
      <c r="O272" s="23">
        <v>0</v>
      </c>
      <c r="P272" s="23">
        <v>0</v>
      </c>
      <c r="Q272" s="23">
        <f t="shared" si="20"/>
        <v>1</v>
      </c>
    </row>
    <row r="273" spans="2:17" s="8" customFormat="1" outlineLevel="1">
      <c r="B273" s="22" t="str">
        <f>'Program Budget'!D44</f>
        <v>Administrative Assistant - (2 Individuals)</v>
      </c>
      <c r="C273" s="22"/>
      <c r="D273" s="23">
        <v>1</v>
      </c>
      <c r="E273" s="23">
        <v>0</v>
      </c>
      <c r="F273" s="23">
        <v>0</v>
      </c>
      <c r="G273" s="23">
        <v>0</v>
      </c>
      <c r="H273" s="23">
        <v>0</v>
      </c>
      <c r="I273" s="23">
        <v>0</v>
      </c>
      <c r="J273" s="23">
        <v>0</v>
      </c>
      <c r="K273" s="23">
        <v>0</v>
      </c>
      <c r="L273" s="23">
        <v>0</v>
      </c>
      <c r="M273" s="23">
        <v>0</v>
      </c>
      <c r="N273" s="23">
        <v>0</v>
      </c>
      <c r="O273" s="23">
        <v>0</v>
      </c>
      <c r="P273" s="23">
        <v>0</v>
      </c>
      <c r="Q273" s="23">
        <f t="shared" si="20"/>
        <v>1</v>
      </c>
    </row>
    <row r="274" spans="2:17" s="8" customFormat="1" outlineLevel="1">
      <c r="B274" s="22" t="str">
        <f>'Program Budget'!D45</f>
        <v>Driver - (2 Individuals)</v>
      </c>
      <c r="C274" s="22"/>
      <c r="D274" s="23">
        <v>1</v>
      </c>
      <c r="E274" s="23">
        <v>0</v>
      </c>
      <c r="F274" s="23">
        <v>0</v>
      </c>
      <c r="G274" s="23">
        <v>0</v>
      </c>
      <c r="H274" s="23">
        <v>0</v>
      </c>
      <c r="I274" s="23">
        <v>0</v>
      </c>
      <c r="J274" s="23">
        <v>0</v>
      </c>
      <c r="K274" s="23">
        <v>0</v>
      </c>
      <c r="L274" s="23">
        <v>0</v>
      </c>
      <c r="M274" s="23">
        <v>0</v>
      </c>
      <c r="N274" s="23">
        <v>0</v>
      </c>
      <c r="O274" s="23">
        <v>0</v>
      </c>
      <c r="P274" s="23">
        <v>0</v>
      </c>
      <c r="Q274" s="23">
        <f t="shared" si="20"/>
        <v>1</v>
      </c>
    </row>
    <row r="275" spans="2:17" s="8" customFormat="1" outlineLevel="1">
      <c r="B275" s="20" t="s">
        <v>651</v>
      </c>
      <c r="C275" s="20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</row>
    <row r="276" spans="2:17" s="8" customFormat="1" outlineLevel="1">
      <c r="B276" s="22" t="str">
        <f>'Program Budget'!D47</f>
        <v>Senior Vice President of Programs</v>
      </c>
      <c r="C276" s="22"/>
      <c r="D276" s="23">
        <v>0.35</v>
      </c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>
        <f>SUM(D276:O276)</f>
        <v>0.35</v>
      </c>
    </row>
    <row r="277" spans="2:17" s="8" customFormat="1" outlineLevel="1">
      <c r="B277" s="22" t="str">
        <f>'Program Budget'!D48</f>
        <v xml:space="preserve">Program Director </v>
      </c>
      <c r="C277" s="22"/>
      <c r="D277" s="23">
        <v>0.9</v>
      </c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>
        <f>SUM(D277:O277)</f>
        <v>0.9</v>
      </c>
    </row>
    <row r="278" spans="2:17" s="8" customFormat="1" outlineLevel="1">
      <c r="B278" s="22" t="str">
        <f>'Program Budget'!D49</f>
        <v>Compliance &amp; Contracts Director</v>
      </c>
      <c r="C278" s="22"/>
      <c r="D278" s="23">
        <v>0.2</v>
      </c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>
        <f>SUM(D278:O278)</f>
        <v>0.2</v>
      </c>
    </row>
    <row r="279" spans="2:17" s="8" customFormat="1" outlineLevel="1">
      <c r="B279" s="22" t="str">
        <f>'Program Budget'!D50</f>
        <v>Associate Director</v>
      </c>
      <c r="C279" s="22"/>
      <c r="D279" s="23">
        <v>1</v>
      </c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>
        <f>SUM(D279:O279)</f>
        <v>1</v>
      </c>
    </row>
    <row r="280" spans="2:17" s="8" customFormat="1" outlineLevel="1">
      <c r="B280" s="22" t="str">
        <f>'Program Budget'!D51</f>
        <v xml:space="preserve">Senior Program Officer </v>
      </c>
      <c r="C280" s="22"/>
      <c r="D280" s="23">
        <v>0.2</v>
      </c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>
        <f>SUM(D280:O280)</f>
        <v>0.2</v>
      </c>
    </row>
    <row r="281" spans="2:17" s="8" customFormat="1" outlineLevel="1">
      <c r="B281" s="27" t="s">
        <v>140</v>
      </c>
      <c r="C281" s="27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</row>
  </sheetData>
  <mergeCells count="5">
    <mergeCell ref="B1:Q1"/>
    <mergeCell ref="B2:Q2"/>
    <mergeCell ref="B3:Q3"/>
    <mergeCell ref="B4:Q4"/>
    <mergeCell ref="B5:Q5"/>
  </mergeCells>
  <pageMargins left="0.18" right="0.1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F0CB6-660F-44F2-A222-D4DC3A20B7B0}">
  <sheetPr>
    <pageSetUpPr fitToPage="1"/>
  </sheetPr>
  <dimension ref="A1:K72"/>
  <sheetViews>
    <sheetView zoomScale="85" zoomScaleNormal="85" zoomScaleSheetLayoutView="90" workbookViewId="0">
      <pane ySplit="7" topLeftCell="A43" activePane="bottomLeft" state="frozen"/>
      <selection activeCell="B75" sqref="B75"/>
      <selection pane="bottomLeft" activeCell="K49" sqref="K49"/>
    </sheetView>
  </sheetViews>
  <sheetFormatPr defaultColWidth="11.44140625" defaultRowHeight="12.6"/>
  <cols>
    <col min="1" max="1" width="3.5546875" style="6" customWidth="1"/>
    <col min="2" max="2" width="64.1640625" style="8" bestFit="1" customWidth="1"/>
    <col min="3" max="3" width="10.71875" style="51" bestFit="1" customWidth="1"/>
    <col min="4" max="9" width="10.71875" style="32" bestFit="1" customWidth="1"/>
    <col min="10" max="10" width="11.5546875" style="32" bestFit="1" customWidth="1"/>
    <col min="11" max="11" width="32.27734375" style="6" bestFit="1" customWidth="1"/>
    <col min="12" max="12" width="12.27734375" style="6" bestFit="1" customWidth="1"/>
    <col min="13" max="16384" width="11.44140625" style="6"/>
  </cols>
  <sheetData>
    <row r="1" spans="1:10" ht="13.8">
      <c r="B1" s="632" t="s">
        <v>71</v>
      </c>
      <c r="C1" s="632"/>
      <c r="D1" s="632"/>
      <c r="E1" s="632"/>
      <c r="F1" s="632"/>
      <c r="G1" s="632"/>
      <c r="H1" s="632"/>
      <c r="I1" s="632"/>
      <c r="J1" s="632"/>
    </row>
    <row r="2" spans="1:10" ht="13.8">
      <c r="B2" s="635" t="s">
        <v>72</v>
      </c>
      <c r="C2" s="635"/>
      <c r="D2" s="635"/>
      <c r="E2" s="635"/>
      <c r="F2" s="635"/>
      <c r="G2" s="635"/>
      <c r="H2" s="635"/>
      <c r="I2" s="635"/>
      <c r="J2" s="635"/>
    </row>
    <row r="3" spans="1:10" ht="13.8">
      <c r="B3" s="632" t="s">
        <v>73</v>
      </c>
      <c r="C3" s="632"/>
      <c r="D3" s="632"/>
      <c r="E3" s="632"/>
      <c r="F3" s="632"/>
      <c r="G3" s="632"/>
      <c r="H3" s="632"/>
      <c r="I3" s="632"/>
      <c r="J3" s="632"/>
    </row>
    <row r="4" spans="1:10" ht="13.8">
      <c r="B4" s="632" t="s">
        <v>74</v>
      </c>
      <c r="C4" s="632"/>
      <c r="D4" s="632"/>
      <c r="E4" s="632"/>
      <c r="F4" s="632"/>
      <c r="G4" s="632"/>
      <c r="H4" s="632"/>
      <c r="I4" s="632"/>
      <c r="J4" s="632"/>
    </row>
    <row r="5" spans="1:10" ht="13.8">
      <c r="B5" s="632" t="s">
        <v>664</v>
      </c>
      <c r="C5" s="632"/>
      <c r="D5" s="632"/>
      <c r="E5" s="632"/>
      <c r="F5" s="632"/>
      <c r="G5" s="632"/>
      <c r="H5" s="632"/>
      <c r="I5" s="632"/>
      <c r="J5" s="632"/>
    </row>
    <row r="7" spans="1:10" ht="24.9">
      <c r="B7" s="143" t="s">
        <v>78</v>
      </c>
      <c r="C7" s="144" t="s">
        <v>82</v>
      </c>
      <c r="D7" s="145" t="s">
        <v>83</v>
      </c>
      <c r="E7" s="145" t="s">
        <v>85</v>
      </c>
      <c r="F7" s="145" t="s">
        <v>87</v>
      </c>
      <c r="G7" s="144" t="s">
        <v>89</v>
      </c>
      <c r="H7" s="144" t="s">
        <v>91</v>
      </c>
      <c r="I7" s="144" t="s">
        <v>93</v>
      </c>
      <c r="J7" s="144" t="s">
        <v>94</v>
      </c>
    </row>
    <row r="8" spans="1:10">
      <c r="B8" s="37" t="s">
        <v>665</v>
      </c>
      <c r="C8" s="39"/>
      <c r="D8" s="40"/>
      <c r="E8" s="40"/>
      <c r="F8" s="40"/>
      <c r="G8" s="40"/>
      <c r="H8" s="40"/>
      <c r="I8" s="40"/>
      <c r="J8" s="40"/>
    </row>
    <row r="9" spans="1:10">
      <c r="B9" s="140" t="s">
        <v>140</v>
      </c>
      <c r="C9" s="140"/>
      <c r="D9" s="147">
        <f>'Program Budget'!I53</f>
        <v>683383.33333333337</v>
      </c>
      <c r="E9" s="147">
        <f>'Program Budget'!L53</f>
        <v>843622.5</v>
      </c>
      <c r="F9" s="147">
        <f>'Program Budget'!O53</f>
        <v>885803.625</v>
      </c>
      <c r="G9" s="147">
        <f>'Program Budget'!R53</f>
        <v>930093.80625000002</v>
      </c>
      <c r="H9" s="147">
        <f>'Program Budget'!U53</f>
        <v>976598.4965624999</v>
      </c>
      <c r="I9" s="147">
        <f>'Program Budget'!X53</f>
        <v>966995.99718750012</v>
      </c>
      <c r="J9" s="146">
        <f>SUM(D9:I9)</f>
        <v>5286497.7583333328</v>
      </c>
    </row>
    <row r="10" spans="1:10">
      <c r="B10" s="38" t="s">
        <v>666</v>
      </c>
      <c r="C10" s="39"/>
      <c r="D10" s="40"/>
      <c r="E10" s="40"/>
      <c r="F10" s="40"/>
      <c r="G10" s="40"/>
      <c r="H10" s="40"/>
      <c r="I10" s="40"/>
      <c r="J10" s="40"/>
    </row>
    <row r="11" spans="1:10">
      <c r="B11" s="148" t="s">
        <v>145</v>
      </c>
      <c r="C11" s="149"/>
      <c r="D11" s="147">
        <f>'Program Budget'!I59</f>
        <v>250993.38666666669</v>
      </c>
      <c r="E11" s="147">
        <f>'Program Budget'!L59</f>
        <v>327156.57974999998</v>
      </c>
      <c r="F11" s="147">
        <f>'Program Budget'!O59</f>
        <v>343514.40873750002</v>
      </c>
      <c r="G11" s="147">
        <f>'Program Budget'!R59</f>
        <v>360690.12917437498</v>
      </c>
      <c r="H11" s="147">
        <f>'Program Budget'!U59</f>
        <v>378724.63563309371</v>
      </c>
      <c r="I11" s="147">
        <f>'Program Budget'!X59</f>
        <v>366091.8238713094</v>
      </c>
      <c r="J11" s="146">
        <f>SUM(D11:I11)</f>
        <v>2027170.9638329449</v>
      </c>
    </row>
    <row r="12" spans="1:10">
      <c r="B12" s="38" t="s">
        <v>667</v>
      </c>
      <c r="C12" s="39"/>
      <c r="D12" s="40"/>
      <c r="E12" s="40"/>
      <c r="F12" s="40"/>
      <c r="G12" s="40"/>
      <c r="H12" s="40"/>
      <c r="I12" s="40"/>
      <c r="J12" s="40"/>
    </row>
    <row r="13" spans="1:10">
      <c r="A13" s="85"/>
      <c r="B13" s="140" t="s">
        <v>164</v>
      </c>
      <c r="C13" s="149"/>
      <c r="D13" s="147">
        <f>'Program Budget'!I80</f>
        <v>52551.600000000006</v>
      </c>
      <c r="E13" s="147">
        <f>'Program Budget'!L80</f>
        <v>57447.18</v>
      </c>
      <c r="F13" s="147">
        <f>'Program Budget'!O80</f>
        <v>60319.539000000004</v>
      </c>
      <c r="G13" s="147">
        <f>'Program Budget'!R80</f>
        <v>63335.515950000008</v>
      </c>
      <c r="H13" s="147">
        <f>'Program Budget'!U80</f>
        <v>66502.291747500014</v>
      </c>
      <c r="I13" s="147">
        <f>'Program Budget'!X80</f>
        <v>68602.17603487501</v>
      </c>
      <c r="J13" s="146">
        <f>SUM(D13:I13)</f>
        <v>368758.30273237498</v>
      </c>
    </row>
    <row r="14" spans="1:10">
      <c r="B14" s="38" t="s">
        <v>668</v>
      </c>
      <c r="C14" s="39"/>
      <c r="D14" s="40"/>
      <c r="E14" s="40"/>
      <c r="F14" s="40"/>
      <c r="G14" s="40"/>
      <c r="H14" s="40"/>
      <c r="I14" s="40"/>
      <c r="J14" s="40"/>
    </row>
    <row r="15" spans="1:10">
      <c r="A15" s="85"/>
      <c r="B15" s="140" t="s">
        <v>187</v>
      </c>
      <c r="C15" s="149"/>
      <c r="D15" s="147">
        <f>'Program Budget'!I101</f>
        <v>361800</v>
      </c>
      <c r="E15" s="147">
        <f>'Program Budget'!L101</f>
        <v>46500</v>
      </c>
      <c r="F15" s="147">
        <f>'Program Budget'!O101</f>
        <v>331500</v>
      </c>
      <c r="G15" s="147">
        <f>'Program Budget'!R101</f>
        <v>109000</v>
      </c>
      <c r="H15" s="147">
        <f>'Program Budget'!U101</f>
        <v>46500</v>
      </c>
      <c r="I15" s="147">
        <f>'Program Budget'!X101</f>
        <v>221500</v>
      </c>
      <c r="J15" s="146">
        <f>SUM(D15:I15)</f>
        <v>1116800</v>
      </c>
    </row>
    <row r="16" spans="1:10">
      <c r="B16" s="38" t="s">
        <v>669</v>
      </c>
      <c r="C16" s="39"/>
      <c r="D16" s="40"/>
      <c r="E16" s="40"/>
      <c r="F16" s="40"/>
      <c r="G16" s="40"/>
      <c r="H16" s="40"/>
      <c r="I16" s="40"/>
      <c r="J16" s="40"/>
    </row>
    <row r="17" spans="1:11">
      <c r="B17" s="140" t="s">
        <v>189</v>
      </c>
      <c r="C17" s="140"/>
      <c r="D17" s="142">
        <f>'Program Budget'!I106</f>
        <v>53000</v>
      </c>
      <c r="E17" s="142">
        <f>'Program Budget'!L106</f>
        <v>0</v>
      </c>
      <c r="F17" s="142">
        <f>'Program Budget'!O106</f>
        <v>0</v>
      </c>
      <c r="G17" s="142">
        <f>'Program Budget'!R106</f>
        <v>0</v>
      </c>
      <c r="H17" s="142">
        <f>'Program Budget'!U106</f>
        <v>0</v>
      </c>
      <c r="I17" s="142">
        <f>'Program Budget'!X106</f>
        <v>0</v>
      </c>
      <c r="J17" s="146">
        <f>SUM(D17:I17)</f>
        <v>53000</v>
      </c>
    </row>
    <row r="18" spans="1:11">
      <c r="A18" s="85"/>
      <c r="B18" s="38" t="s">
        <v>670</v>
      </c>
      <c r="C18" s="39"/>
      <c r="D18" s="40"/>
      <c r="E18" s="40"/>
      <c r="F18" s="40"/>
      <c r="G18" s="40"/>
      <c r="H18" s="40"/>
      <c r="I18" s="40"/>
      <c r="J18" s="40"/>
    </row>
    <row r="19" spans="1:11" ht="12.9" thickBot="1">
      <c r="B19" s="54" t="s">
        <v>201</v>
      </c>
      <c r="C19" s="67"/>
      <c r="D19" s="68">
        <f>'Program Budget'!I121</f>
        <v>63198.364999999998</v>
      </c>
      <c r="E19" s="68">
        <f>'Program Budget'!L121</f>
        <v>3780</v>
      </c>
      <c r="F19" s="68">
        <f>'Program Budget'!O121</f>
        <v>3969</v>
      </c>
      <c r="G19" s="68">
        <f>'Program Budget'!R121</f>
        <v>4167.45</v>
      </c>
      <c r="H19" s="68">
        <f>'Program Budget'!U121</f>
        <v>4375.8225000000002</v>
      </c>
      <c r="I19" s="68">
        <f>'Program Budget'!X121</f>
        <v>2700</v>
      </c>
      <c r="J19" s="146">
        <f>SUM(D19:I19)</f>
        <v>82190.637499999983</v>
      </c>
    </row>
    <row r="20" spans="1:11">
      <c r="A20" s="85"/>
      <c r="B20" s="38" t="s">
        <v>671</v>
      </c>
      <c r="C20" s="39"/>
      <c r="D20" s="40"/>
      <c r="E20" s="40"/>
      <c r="F20" s="40"/>
      <c r="G20" s="40"/>
      <c r="H20" s="40"/>
      <c r="I20" s="40"/>
      <c r="J20" s="40"/>
    </row>
    <row r="21" spans="1:11" ht="12.9" thickBot="1">
      <c r="B21" s="54" t="s">
        <v>226</v>
      </c>
      <c r="C21" s="67"/>
      <c r="D21" s="68">
        <f>'Program Budget'!I148</f>
        <v>81154</v>
      </c>
      <c r="E21" s="68">
        <f>'Program Budget'!L148</f>
        <v>107642.1</v>
      </c>
      <c r="F21" s="68">
        <f>'Program Budget'!O148</f>
        <v>112724.205</v>
      </c>
      <c r="G21" s="68">
        <f>'Program Budget'!R148</f>
        <v>118060.41525000003</v>
      </c>
      <c r="H21" s="68">
        <f>'Program Budget'!U148</f>
        <v>123663.43601249999</v>
      </c>
      <c r="I21" s="68">
        <f>'Program Budget'!X148</f>
        <v>103575.353923125</v>
      </c>
      <c r="J21" s="146">
        <f>SUM(D21:I21)</f>
        <v>646819.51018562494</v>
      </c>
    </row>
    <row r="22" spans="1:11" ht="12.9" thickBot="1">
      <c r="B22" s="102" t="s">
        <v>672</v>
      </c>
      <c r="C22" s="103"/>
      <c r="D22" s="104">
        <f t="shared" ref="D22:J22" si="0">SUM(D9:D21)</f>
        <v>1546080.6850000001</v>
      </c>
      <c r="E22" s="104">
        <f t="shared" si="0"/>
        <v>1386148.3597500001</v>
      </c>
      <c r="F22" s="104">
        <f t="shared" si="0"/>
        <v>1737830.7777375001</v>
      </c>
      <c r="G22" s="104">
        <f t="shared" si="0"/>
        <v>1585347.3166243748</v>
      </c>
      <c r="H22" s="104">
        <f t="shared" si="0"/>
        <v>1596364.6824555935</v>
      </c>
      <c r="I22" s="104">
        <f t="shared" ref="I22" si="1">SUM(I9:I21)</f>
        <v>1729465.3510168095</v>
      </c>
      <c r="J22" s="104">
        <f t="shared" si="0"/>
        <v>9581237.1725842766</v>
      </c>
    </row>
    <row r="23" spans="1:11">
      <c r="B23" s="58"/>
      <c r="C23" s="43"/>
      <c r="D23" s="61"/>
      <c r="E23" s="61"/>
      <c r="F23" s="61"/>
      <c r="G23" s="61"/>
      <c r="H23" s="61"/>
      <c r="I23" s="61"/>
      <c r="J23" s="61"/>
    </row>
    <row r="24" spans="1:11">
      <c r="B24" s="58" t="s">
        <v>673</v>
      </c>
      <c r="C24" s="64">
        <v>0.2</v>
      </c>
      <c r="D24" s="61">
        <f t="shared" ref="D24:I24" si="2">D22*$C$24</f>
        <v>309216.13700000005</v>
      </c>
      <c r="E24" s="61">
        <f t="shared" si="2"/>
        <v>277229.67195000005</v>
      </c>
      <c r="F24" s="61">
        <f t="shared" si="2"/>
        <v>347566.15554750006</v>
      </c>
      <c r="G24" s="61">
        <f t="shared" si="2"/>
        <v>317069.46332487499</v>
      </c>
      <c r="H24" s="61">
        <f t="shared" si="2"/>
        <v>319272.93649111874</v>
      </c>
      <c r="I24" s="61">
        <f t="shared" si="2"/>
        <v>345893.07020336192</v>
      </c>
      <c r="J24" s="61">
        <f>SUM(D24:I24)</f>
        <v>1916247.434516856</v>
      </c>
      <c r="K24" s="138"/>
    </row>
    <row r="25" spans="1:11">
      <c r="B25" s="105"/>
      <c r="C25" s="42"/>
      <c r="D25" s="107"/>
      <c r="E25" s="107"/>
      <c r="F25" s="107"/>
      <c r="G25" s="107"/>
      <c r="H25" s="107"/>
      <c r="I25" s="107"/>
      <c r="J25" s="107"/>
    </row>
    <row r="26" spans="1:11" ht="12.9" thickBot="1">
      <c r="B26" s="108" t="s">
        <v>674</v>
      </c>
      <c r="C26" s="109"/>
      <c r="D26" s="110">
        <f>D24</f>
        <v>309216.13700000005</v>
      </c>
      <c r="E26" s="110">
        <f t="shared" ref="E26:H26" si="3">E24</f>
        <v>277229.67195000005</v>
      </c>
      <c r="F26" s="110">
        <f t="shared" si="3"/>
        <v>347566.15554750006</v>
      </c>
      <c r="G26" s="110">
        <f t="shared" si="3"/>
        <v>317069.46332487499</v>
      </c>
      <c r="H26" s="110">
        <f t="shared" si="3"/>
        <v>319272.93649111874</v>
      </c>
      <c r="I26" s="110">
        <f t="shared" ref="I26" si="4">I24</f>
        <v>345893.07020336192</v>
      </c>
      <c r="J26" s="110">
        <f>J24</f>
        <v>1916247.434516856</v>
      </c>
    </row>
    <row r="27" spans="1:11" ht="12.9" thickTop="1">
      <c r="B27" s="140"/>
      <c r="C27" s="141"/>
      <c r="D27" s="142"/>
      <c r="E27" s="142"/>
      <c r="F27" s="142"/>
      <c r="G27" s="142"/>
      <c r="H27" s="142"/>
      <c r="I27" s="142"/>
      <c r="J27" s="142"/>
    </row>
    <row r="28" spans="1:11">
      <c r="B28" s="94" t="str">
        <f>'USDA Budget Summary'!A27</f>
        <v>Activity 1: Provide School Meals</v>
      </c>
      <c r="C28" s="39"/>
      <c r="D28" s="95"/>
      <c r="E28" s="95"/>
      <c r="F28" s="95"/>
      <c r="G28" s="95"/>
      <c r="H28" s="95"/>
      <c r="I28" s="95"/>
      <c r="J28" s="95"/>
    </row>
    <row r="29" spans="1:11">
      <c r="B29" s="140" t="s">
        <v>248</v>
      </c>
      <c r="C29" s="47"/>
      <c r="D29" s="146">
        <f>'Program Budget'!I210</f>
        <v>52126.455000000002</v>
      </c>
      <c r="E29" s="146">
        <f>'Program Budget'!L210</f>
        <v>129858.265</v>
      </c>
      <c r="F29" s="146">
        <f>'Program Budget'!O210</f>
        <v>134351.17825</v>
      </c>
      <c r="G29" s="146">
        <f>'Program Budget'!R210</f>
        <v>139068.73716250001</v>
      </c>
      <c r="H29" s="146">
        <f>'Program Budget'!U210</f>
        <v>137534.57958212501</v>
      </c>
      <c r="I29" s="146">
        <f>'Program Budget'!X210</f>
        <v>66036.892631909388</v>
      </c>
      <c r="J29" s="146">
        <f>SUM(D29:I29)</f>
        <v>658976.1076265343</v>
      </c>
      <c r="K29" s="150">
        <f>J29*20%</f>
        <v>131795.22152530687</v>
      </c>
    </row>
    <row r="30" spans="1:11">
      <c r="B30" s="94" t="str">
        <f>'USDA Budget Summary'!A28</f>
        <v>Activity 2: Distribution: School Supplies and Materials</v>
      </c>
      <c r="C30" s="39"/>
      <c r="D30" s="95"/>
      <c r="E30" s="95"/>
      <c r="F30" s="95"/>
      <c r="G30" s="95"/>
      <c r="H30" s="95"/>
      <c r="I30" s="95"/>
      <c r="J30" s="95"/>
      <c r="K30" s="150">
        <f t="shared" ref="K30:K49" si="5">J30*20%</f>
        <v>0</v>
      </c>
    </row>
    <row r="31" spans="1:11">
      <c r="B31" s="140" t="s">
        <v>266</v>
      </c>
      <c r="C31" s="47"/>
      <c r="D31" s="146">
        <f>'Program Budget'!I269</f>
        <v>62399.945</v>
      </c>
      <c r="E31" s="146">
        <f>'Program Budget'!L269</f>
        <v>141822.04699999999</v>
      </c>
      <c r="F31" s="146">
        <f>'Program Budget'!O269</f>
        <v>80257.649349999992</v>
      </c>
      <c r="G31" s="146">
        <f>'Program Budget'!R269</f>
        <v>81485.731817499996</v>
      </c>
      <c r="H31" s="146">
        <f>'Program Budget'!U269</f>
        <v>27079.218408375003</v>
      </c>
      <c r="I31" s="146">
        <f>'Program Budget'!X269</f>
        <v>14098.584671128127</v>
      </c>
      <c r="J31" s="146">
        <f>SUM(D31:I31)</f>
        <v>407143.17624700314</v>
      </c>
      <c r="K31" s="150">
        <f t="shared" si="5"/>
        <v>81428.635249400628</v>
      </c>
    </row>
    <row r="32" spans="1:11">
      <c r="B32" s="94" t="str">
        <f>'USDA Budget Summary'!A29</f>
        <v>Activity 3: Training: Teacher and Administrators</v>
      </c>
      <c r="C32" s="39"/>
      <c r="D32" s="95"/>
      <c r="E32" s="95"/>
      <c r="F32" s="95"/>
      <c r="G32" s="95"/>
      <c r="H32" s="95"/>
      <c r="I32" s="95"/>
      <c r="J32" s="95"/>
      <c r="K32" s="150">
        <f t="shared" si="5"/>
        <v>0</v>
      </c>
    </row>
    <row r="33" spans="2:11">
      <c r="B33" s="140" t="s">
        <v>292</v>
      </c>
      <c r="C33" s="47"/>
      <c r="D33" s="146">
        <f>'Program Budget'!I338</f>
        <v>157489.59822036725</v>
      </c>
      <c r="E33" s="146">
        <f>'Program Budget'!L338</f>
        <v>648382.76940779586</v>
      </c>
      <c r="F33" s="146">
        <f>'Program Budget'!O338</f>
        <v>679006.60787818569</v>
      </c>
      <c r="G33" s="146">
        <f>'Program Budget'!R338</f>
        <v>711161.63827209501</v>
      </c>
      <c r="H33" s="146">
        <f>'Program Budget'!U338</f>
        <v>149464.666477358</v>
      </c>
      <c r="I33" s="146">
        <f>'Program Budget'!X338</f>
        <v>55209.903364993748</v>
      </c>
      <c r="J33" s="146">
        <f>SUM(D33:I33)</f>
        <v>2400715.1836207956</v>
      </c>
      <c r="K33" s="150">
        <f t="shared" si="5"/>
        <v>480143.03672415914</v>
      </c>
    </row>
    <row r="34" spans="2:11">
      <c r="B34" s="94" t="str">
        <f>'USDA Budget Summary'!A30</f>
        <v>Activity 4: Enrollment Campaigns</v>
      </c>
      <c r="C34" s="39"/>
      <c r="D34" s="95"/>
      <c r="E34" s="95"/>
      <c r="F34" s="95"/>
      <c r="G34" s="95"/>
      <c r="H34" s="95"/>
      <c r="I34" s="95"/>
      <c r="J34" s="95"/>
      <c r="K34" s="150">
        <f t="shared" si="5"/>
        <v>0</v>
      </c>
    </row>
    <row r="35" spans="2:11">
      <c r="B35" s="140" t="s">
        <v>313</v>
      </c>
      <c r="C35" s="47"/>
      <c r="D35" s="146">
        <f>'Program Budget'!I405</f>
        <v>44451.42975380212</v>
      </c>
      <c r="E35" s="146">
        <f>'Program Budget'!L405</f>
        <v>148743.75839064294</v>
      </c>
      <c r="F35" s="146">
        <f>'Program Budget'!O405</f>
        <v>150920.94631017512</v>
      </c>
      <c r="G35" s="146">
        <f>'Program Budget'!R405</f>
        <v>147806.99362568386</v>
      </c>
      <c r="H35" s="146">
        <f>'Program Budget'!U405</f>
        <v>89297.014836154063</v>
      </c>
      <c r="I35" s="146">
        <f>'Program Budget'!X405</f>
        <v>48374.343006143754</v>
      </c>
      <c r="J35" s="146">
        <f>SUM(D35:I35)</f>
        <v>629594.48592260177</v>
      </c>
      <c r="K35" s="150">
        <f t="shared" si="5"/>
        <v>125918.89718452036</v>
      </c>
    </row>
    <row r="36" spans="2:11">
      <c r="B36" s="94" t="str">
        <f>'USDA Budget Summary'!A31</f>
        <v>Activity 5: Building/Rehabilitation: Wells and Water Stations/Systems</v>
      </c>
      <c r="C36" s="39"/>
      <c r="D36" s="95"/>
      <c r="E36" s="95"/>
      <c r="F36" s="95"/>
      <c r="G36" s="95"/>
      <c r="H36" s="95"/>
      <c r="I36" s="95"/>
      <c r="J36" s="95"/>
      <c r="K36" s="150">
        <f t="shared" si="5"/>
        <v>0</v>
      </c>
    </row>
    <row r="37" spans="2:11">
      <c r="B37" s="140" t="s">
        <v>342</v>
      </c>
      <c r="C37" s="47"/>
      <c r="D37" s="146">
        <f>'Program Budget'!I477</f>
        <v>41348.834999999999</v>
      </c>
      <c r="E37" s="146">
        <f>'Program Budget'!L477</f>
        <v>138033.31099999999</v>
      </c>
      <c r="F37" s="146">
        <f>'Program Budget'!O477</f>
        <v>139826.17655</v>
      </c>
      <c r="G37" s="146">
        <f>'Program Budget'!R477</f>
        <v>91608.685377500005</v>
      </c>
      <c r="H37" s="146">
        <f>'Program Budget'!U477</f>
        <v>93585.319646375006</v>
      </c>
      <c r="I37" s="146">
        <f>'Program Budget'!X477</f>
        <v>16313.852104790629</v>
      </c>
      <c r="J37" s="146">
        <f>SUM(D37:I37)</f>
        <v>520716.17967866565</v>
      </c>
      <c r="K37" s="150">
        <f t="shared" si="5"/>
        <v>104143.23593573313</v>
      </c>
    </row>
    <row r="38" spans="2:11">
      <c r="B38" s="94" t="str">
        <f>'USDA Budget Summary'!A32</f>
        <v>Activity 6: Training: Good Health and Nutrition Practices</v>
      </c>
      <c r="C38" s="39"/>
      <c r="D38" s="95"/>
      <c r="E38" s="95"/>
      <c r="F38" s="95"/>
      <c r="G38" s="95"/>
      <c r="H38" s="95"/>
      <c r="I38" s="95"/>
      <c r="J38" s="95"/>
      <c r="K38" s="150">
        <f t="shared" si="5"/>
        <v>0</v>
      </c>
    </row>
    <row r="39" spans="2:11">
      <c r="B39" s="140" t="s">
        <v>371</v>
      </c>
      <c r="C39" s="47"/>
      <c r="D39" s="146">
        <f>'Program Budget'!I552</f>
        <v>109129.62652583062</v>
      </c>
      <c r="E39" s="146">
        <f>'Program Budget'!L552</f>
        <v>270235.55460156116</v>
      </c>
      <c r="F39" s="146">
        <f>'Program Budget'!O552</f>
        <v>269108.93233163923</v>
      </c>
      <c r="G39" s="146">
        <f>'Program Budget'!R552</f>
        <v>254597.99894822115</v>
      </c>
      <c r="H39" s="146">
        <f>'Program Budget'!U552</f>
        <v>107967.61682706919</v>
      </c>
      <c r="I39" s="146">
        <f>'Program Budget'!X552</f>
        <v>45827.38452275125</v>
      </c>
      <c r="J39" s="146">
        <f>SUM(D39:I39)</f>
        <v>1056867.1137570727</v>
      </c>
      <c r="K39" s="150">
        <f t="shared" si="5"/>
        <v>211373.42275141456</v>
      </c>
    </row>
    <row r="40" spans="2:11">
      <c r="B40" s="94" t="str">
        <f>'USDA Budget Summary'!A33</f>
        <v>Activity 7: Training: Commodity Management</v>
      </c>
      <c r="C40" s="39"/>
      <c r="D40" s="95"/>
      <c r="E40" s="95"/>
      <c r="F40" s="95"/>
      <c r="G40" s="95"/>
      <c r="H40" s="95"/>
      <c r="I40" s="95"/>
      <c r="J40" s="95"/>
      <c r="K40" s="150">
        <f t="shared" si="5"/>
        <v>0</v>
      </c>
    </row>
    <row r="41" spans="2:11">
      <c r="B41" s="140" t="s">
        <v>383</v>
      </c>
      <c r="C41" s="47"/>
      <c r="D41" s="146">
        <f>'Program Budget'!I607</f>
        <v>72676.053</v>
      </c>
      <c r="E41" s="146">
        <f>'Program Budget'!L607</f>
        <v>81153.010599999994</v>
      </c>
      <c r="F41" s="146">
        <f>'Program Budget'!O607</f>
        <v>83801.955954999998</v>
      </c>
      <c r="G41" s="146">
        <f>'Program Budget'!R607</f>
        <v>86154.274871499991</v>
      </c>
      <c r="H41" s="146">
        <f>'Program Budget'!U607</f>
        <v>20782.242091012504</v>
      </c>
      <c r="I41" s="146">
        <f>'Program Budget'!X607</f>
        <v>13001.411357983126</v>
      </c>
      <c r="J41" s="146">
        <f>SUM(D41:I41)</f>
        <v>357568.94787549559</v>
      </c>
      <c r="K41" s="150">
        <f t="shared" si="5"/>
        <v>71513.789575099116</v>
      </c>
    </row>
    <row r="42" spans="2:11">
      <c r="B42" s="94" t="str">
        <f>'USDA Budget Summary'!A34</f>
        <v>Activity 8: Capacity Building: Local and Regional Level</v>
      </c>
      <c r="C42" s="39"/>
      <c r="D42" s="95"/>
      <c r="E42" s="95"/>
      <c r="F42" s="95"/>
      <c r="G42" s="95"/>
      <c r="H42" s="95"/>
      <c r="I42" s="95"/>
      <c r="J42" s="95"/>
      <c r="K42" s="150">
        <f t="shared" si="5"/>
        <v>0</v>
      </c>
    </row>
    <row r="43" spans="2:11">
      <c r="B43" s="140" t="s">
        <v>410</v>
      </c>
      <c r="C43" s="47"/>
      <c r="D43" s="146">
        <f>'Program Budget'!I681</f>
        <v>39028.915000000001</v>
      </c>
      <c r="E43" s="146">
        <f>'Program Budget'!L681</f>
        <v>129877.177</v>
      </c>
      <c r="F43" s="146">
        <f>'Program Budget'!O681</f>
        <v>63833.413</v>
      </c>
      <c r="G43" s="146">
        <f>'Program Budget'!R681</f>
        <v>53315.0258875</v>
      </c>
      <c r="H43" s="146">
        <f>'Program Budget'!U681</f>
        <v>54635.327877062518</v>
      </c>
      <c r="I43" s="146">
        <f>'Program Budget'!X681</f>
        <v>25180.055432596877</v>
      </c>
      <c r="J43" s="146">
        <f>SUM(D43:I43)</f>
        <v>365869.91419715941</v>
      </c>
      <c r="K43" s="150">
        <f t="shared" si="5"/>
        <v>73173.98283943189</v>
      </c>
    </row>
    <row r="44" spans="2:11">
      <c r="B44" s="94" t="str">
        <f>'USDA Budget Summary'!A35</f>
        <v>Activity 9: Capacity Building: National Level</v>
      </c>
      <c r="C44" s="39"/>
      <c r="D44" s="95"/>
      <c r="E44" s="95"/>
      <c r="F44" s="95"/>
      <c r="G44" s="95"/>
      <c r="H44" s="95"/>
      <c r="I44" s="95"/>
      <c r="J44" s="95"/>
      <c r="K44" s="150">
        <f t="shared" si="5"/>
        <v>0</v>
      </c>
    </row>
    <row r="45" spans="2:11">
      <c r="B45" s="140" t="s">
        <v>441</v>
      </c>
      <c r="C45" s="47"/>
      <c r="D45" s="146">
        <f>'Program Budget'!I755</f>
        <v>61457.735000000001</v>
      </c>
      <c r="E45" s="146">
        <f>'Program Budget'!L755</f>
        <v>72186.141999999993</v>
      </c>
      <c r="F45" s="146">
        <f>'Program Budget'!O755</f>
        <v>96599.333574999997</v>
      </c>
      <c r="G45" s="146">
        <f>'Program Budget'!R755</f>
        <v>71745.963610000006</v>
      </c>
      <c r="H45" s="146">
        <f>'Program Budget'!U755</f>
        <v>68592.312485687507</v>
      </c>
      <c r="I45" s="146">
        <f>'Program Budget'!X755</f>
        <v>55273.413083115636</v>
      </c>
      <c r="J45" s="146">
        <f>SUM(D45:I45)</f>
        <v>425854.89975380315</v>
      </c>
      <c r="K45" s="150">
        <f t="shared" si="5"/>
        <v>85170.979950760637</v>
      </c>
    </row>
    <row r="46" spans="2:11">
      <c r="B46" s="94" t="str">
        <f>'USDA Budget Summary'!A36</f>
        <v>Activity 10: Develop Public-Private Partnerships to Support School Feeding Sustainability</v>
      </c>
      <c r="C46" s="39"/>
      <c r="D46" s="95"/>
      <c r="E46" s="95"/>
      <c r="F46" s="95"/>
      <c r="G46" s="95"/>
      <c r="H46" s="95"/>
      <c r="I46" s="95"/>
      <c r="J46" s="95"/>
      <c r="K46" s="150">
        <f t="shared" si="5"/>
        <v>0</v>
      </c>
    </row>
    <row r="47" spans="2:11">
      <c r="B47" s="140" t="s">
        <v>468</v>
      </c>
      <c r="C47" s="47"/>
      <c r="D47" s="146">
        <f>'Program Budget'!I827</f>
        <v>58721.75</v>
      </c>
      <c r="E47" s="146">
        <f>'Program Budget'!L827</f>
        <v>72737.396000000008</v>
      </c>
      <c r="F47" s="146">
        <f>'Program Budget'!O827</f>
        <v>93384.125274999999</v>
      </c>
      <c r="G47" s="146">
        <f>'Program Budget'!R827</f>
        <v>98028.601144999993</v>
      </c>
      <c r="H47" s="146">
        <f>'Program Budget'!U827</f>
        <v>100774.08189743751</v>
      </c>
      <c r="I47" s="146">
        <f>'Program Budget'!X827</f>
        <v>39289.962310481264</v>
      </c>
      <c r="J47" s="146">
        <f>SUM(D47:I47)</f>
        <v>462935.91662791884</v>
      </c>
      <c r="K47" s="150">
        <f t="shared" si="5"/>
        <v>92587.18332558377</v>
      </c>
    </row>
    <row r="48" spans="2:11">
      <c r="B48" s="94" t="str">
        <f>'USDA Budget Summary'!A37</f>
        <v xml:space="preserve">Activity 11: Expand Use of US Commodities in Honduras School Feeding Program </v>
      </c>
      <c r="C48" s="39"/>
      <c r="D48" s="95"/>
      <c r="E48" s="95"/>
      <c r="F48" s="95"/>
      <c r="G48" s="95"/>
      <c r="H48" s="95"/>
      <c r="I48" s="95"/>
      <c r="J48" s="95"/>
      <c r="K48" s="150">
        <f t="shared" si="5"/>
        <v>0</v>
      </c>
    </row>
    <row r="49" spans="2:11">
      <c r="B49" s="140" t="s">
        <v>482</v>
      </c>
      <c r="C49" s="47"/>
      <c r="D49" s="146">
        <f>'Program Budget'!I886</f>
        <v>8878.43</v>
      </c>
      <c r="E49" s="146">
        <f>'Program Budget'!L886</f>
        <v>13670.012999999999</v>
      </c>
      <c r="F49" s="146">
        <f>'Program Budget'!O886</f>
        <v>17349.808474999998</v>
      </c>
      <c r="G49" s="146">
        <f>'Program Budget'!R886</f>
        <v>18160.520017499999</v>
      </c>
      <c r="H49" s="146">
        <f>'Program Budget'!U886</f>
        <v>18257.5967135625</v>
      </c>
      <c r="I49" s="146">
        <f>'Program Budget'!X886</f>
        <v>13012.294840175</v>
      </c>
      <c r="J49" s="146">
        <f>SUM(D49:I49)</f>
        <v>89328.663046237503</v>
      </c>
      <c r="K49" s="150">
        <f t="shared" si="5"/>
        <v>17865.732609247501</v>
      </c>
    </row>
    <row r="50" spans="2:11" ht="12.9" thickBot="1">
      <c r="B50" s="102" t="s">
        <v>675</v>
      </c>
      <c r="C50" s="103"/>
      <c r="D50" s="104">
        <f t="shared" ref="D50:H50" si="6">SUM(D29:D49)</f>
        <v>707708.77250000008</v>
      </c>
      <c r="E50" s="104">
        <f t="shared" si="6"/>
        <v>1846699.4439999997</v>
      </c>
      <c r="F50" s="104">
        <f t="shared" si="6"/>
        <v>1808440.1269500002</v>
      </c>
      <c r="G50" s="104">
        <f t="shared" si="6"/>
        <v>1753134.1707349999</v>
      </c>
      <c r="H50" s="104">
        <f t="shared" si="6"/>
        <v>867969.97684221878</v>
      </c>
      <c r="I50" s="104">
        <f t="shared" ref="I50" si="7">SUM(I29:I49)</f>
        <v>391618.09732606885</v>
      </c>
      <c r="J50" s="104">
        <f>SUM(J29:J49)</f>
        <v>7375570.5883532874</v>
      </c>
      <c r="K50" s="150"/>
    </row>
    <row r="51" spans="2:11">
      <c r="B51" s="58"/>
      <c r="C51" s="43"/>
      <c r="D51" s="61"/>
      <c r="E51" s="61"/>
      <c r="F51" s="61"/>
      <c r="G51" s="61"/>
      <c r="H51" s="61"/>
      <c r="I51" s="61"/>
      <c r="J51" s="61"/>
    </row>
    <row r="52" spans="2:11">
      <c r="B52" s="58" t="s">
        <v>676</v>
      </c>
      <c r="C52" s="64">
        <v>0.2</v>
      </c>
      <c r="D52" s="61">
        <f>D50*$C$52</f>
        <v>141541.75450000001</v>
      </c>
      <c r="E52" s="61">
        <f>(E50)*$C$52</f>
        <v>369339.88879999996</v>
      </c>
      <c r="F52" s="61">
        <f>F50*$C$52</f>
        <v>361688.02539000008</v>
      </c>
      <c r="G52" s="61">
        <f>G50*$C$52</f>
        <v>350626.83414699999</v>
      </c>
      <c r="H52" s="61">
        <f>H50*$C$52</f>
        <v>173593.99536844378</v>
      </c>
      <c r="I52" s="61">
        <f>I50*$C$52</f>
        <v>78323.619465213778</v>
      </c>
      <c r="J52" s="61">
        <f>SUM(D52:I52)</f>
        <v>1475114.1176706576</v>
      </c>
      <c r="K52" s="138"/>
    </row>
    <row r="53" spans="2:11">
      <c r="B53" s="105"/>
      <c r="C53" s="42"/>
      <c r="D53" s="107"/>
      <c r="E53" s="107"/>
      <c r="F53" s="107"/>
      <c r="G53" s="107"/>
      <c r="H53" s="107"/>
      <c r="I53" s="107"/>
      <c r="J53" s="107"/>
    </row>
    <row r="54" spans="2:11" ht="12.9" thickBot="1">
      <c r="B54" s="108" t="s">
        <v>677</v>
      </c>
      <c r="C54" s="109"/>
      <c r="D54" s="110">
        <f>D52</f>
        <v>141541.75450000001</v>
      </c>
      <c r="E54" s="110">
        <f t="shared" ref="E54:J54" si="8">E52</f>
        <v>369339.88879999996</v>
      </c>
      <c r="F54" s="110">
        <f t="shared" si="8"/>
        <v>361688.02539000008</v>
      </c>
      <c r="G54" s="110">
        <f>G52</f>
        <v>350626.83414699999</v>
      </c>
      <c r="H54" s="110">
        <f t="shared" si="8"/>
        <v>173593.99536844378</v>
      </c>
      <c r="I54" s="110">
        <f t="shared" ref="I54" si="9">I52</f>
        <v>78323.619465213778</v>
      </c>
      <c r="J54" s="110">
        <f t="shared" si="8"/>
        <v>1475114.1176706576</v>
      </c>
    </row>
    <row r="55" spans="2:11" ht="12.9" thickTop="1">
      <c r="B55" s="58"/>
      <c r="C55" s="43"/>
      <c r="D55" s="61"/>
      <c r="E55" s="61"/>
      <c r="F55" s="61"/>
      <c r="G55" s="61"/>
      <c r="H55" s="61"/>
      <c r="I55" s="61"/>
      <c r="J55" s="61"/>
    </row>
    <row r="56" spans="2:11">
      <c r="B56" s="140" t="s">
        <v>520</v>
      </c>
      <c r="C56" s="47"/>
      <c r="D56" s="146">
        <f>'Program Budget'!I969</f>
        <v>442612.24</v>
      </c>
      <c r="E56" s="146">
        <f>'Program Budget'!L969</f>
        <v>466641.14600000001</v>
      </c>
      <c r="F56" s="146">
        <f>'Program Budget'!O969</f>
        <v>473444.45329999999</v>
      </c>
      <c r="G56" s="146">
        <f>'Program Budget'!R969</f>
        <v>486887.92596499994</v>
      </c>
      <c r="H56" s="146">
        <f>'Program Budget'!U969</f>
        <v>501003.57226324995</v>
      </c>
      <c r="I56" s="146">
        <f>'Program Budget'!X969</f>
        <v>332043.12892115006</v>
      </c>
      <c r="J56" s="146">
        <f>SUM(D56:H56)</f>
        <v>2370589.3375282497</v>
      </c>
      <c r="K56" s="150"/>
    </row>
    <row r="57" spans="2:11">
      <c r="B57" s="58"/>
      <c r="C57" s="43"/>
      <c r="D57" s="61"/>
      <c r="E57" s="61"/>
      <c r="F57" s="61"/>
      <c r="G57" s="61"/>
      <c r="H57" s="61"/>
      <c r="I57" s="61"/>
      <c r="J57" s="61"/>
    </row>
    <row r="58" spans="2:11">
      <c r="B58" s="58" t="s">
        <v>678</v>
      </c>
      <c r="C58" s="64">
        <v>0.2</v>
      </c>
      <c r="D58" s="61">
        <f t="shared" ref="D58:I58" si="10">D56*$C$58</f>
        <v>88522.448000000004</v>
      </c>
      <c r="E58" s="61">
        <f t="shared" si="10"/>
        <v>93328.229200000002</v>
      </c>
      <c r="F58" s="61">
        <f t="shared" si="10"/>
        <v>94688.890660000005</v>
      </c>
      <c r="G58" s="61">
        <f t="shared" si="10"/>
        <v>97377.585192999992</v>
      </c>
      <c r="H58" s="61">
        <f t="shared" si="10"/>
        <v>100200.71445264999</v>
      </c>
      <c r="I58" s="61">
        <f t="shared" si="10"/>
        <v>66408.625784230011</v>
      </c>
      <c r="J58" s="61">
        <f>SUM(D58:I58)</f>
        <v>540526.49328987999</v>
      </c>
      <c r="K58" s="138"/>
    </row>
    <row r="59" spans="2:11">
      <c r="B59" s="105"/>
      <c r="C59" s="42"/>
      <c r="D59" s="107"/>
      <c r="E59" s="107"/>
      <c r="F59" s="107"/>
      <c r="G59" s="107"/>
      <c r="H59" s="107"/>
      <c r="I59" s="107"/>
      <c r="J59" s="107"/>
    </row>
    <row r="60" spans="2:11" ht="12.9" thickBot="1">
      <c r="B60" s="108" t="s">
        <v>679</v>
      </c>
      <c r="C60" s="109"/>
      <c r="D60" s="110">
        <f>D58</f>
        <v>88522.448000000004</v>
      </c>
      <c r="E60" s="110">
        <f t="shared" ref="E60:F60" si="11">E58</f>
        <v>93328.229200000002</v>
      </c>
      <c r="F60" s="110">
        <f t="shared" si="11"/>
        <v>94688.890660000005</v>
      </c>
      <c r="G60" s="110">
        <f>G58</f>
        <v>97377.585192999992</v>
      </c>
      <c r="H60" s="110">
        <f t="shared" ref="H60:J60" si="12">H58</f>
        <v>100200.71445264999</v>
      </c>
      <c r="I60" s="110">
        <f t="shared" ref="I60" si="13">I58</f>
        <v>66408.625784230011</v>
      </c>
      <c r="J60" s="110">
        <f t="shared" si="12"/>
        <v>540526.49328987999</v>
      </c>
    </row>
    <row r="61" spans="2:11" ht="12.9" thickTop="1"/>
    <row r="62" spans="2:11">
      <c r="B62" s="140" t="s">
        <v>54</v>
      </c>
      <c r="C62" s="47"/>
      <c r="D62" s="146">
        <f>'Program Budget'!I978</f>
        <v>484933.33333333331</v>
      </c>
      <c r="E62" s="146">
        <f>'Program Budget'!L978</f>
        <v>509180</v>
      </c>
      <c r="F62" s="146">
        <f>'Program Budget'!O978</f>
        <v>534639</v>
      </c>
      <c r="G62" s="146">
        <f>'Program Budget'!R978</f>
        <v>561370.94999999995</v>
      </c>
      <c r="H62" s="146">
        <f>'Program Budget'!U978</f>
        <v>589439.49750000006</v>
      </c>
      <c r="I62" s="146">
        <f>'Program Budget'!X978</f>
        <v>602830.32468750014</v>
      </c>
      <c r="J62" s="146">
        <f>SUM(D62:H62)</f>
        <v>2679562.7808333333</v>
      </c>
      <c r="K62" s="150"/>
    </row>
    <row r="63" spans="2:11">
      <c r="B63" s="58"/>
      <c r="C63" s="43"/>
      <c r="D63" s="61"/>
      <c r="E63" s="61"/>
      <c r="F63" s="61"/>
      <c r="G63" s="61"/>
      <c r="H63" s="61"/>
      <c r="I63" s="61"/>
      <c r="J63" s="61"/>
    </row>
    <row r="64" spans="2:11">
      <c r="B64" s="58" t="s">
        <v>680</v>
      </c>
      <c r="C64" s="64">
        <v>0.2</v>
      </c>
      <c r="D64" s="61">
        <f t="shared" ref="D64:I64" si="14">D62*$C$58</f>
        <v>96986.666666666672</v>
      </c>
      <c r="E64" s="61">
        <f t="shared" si="14"/>
        <v>101836</v>
      </c>
      <c r="F64" s="61">
        <f t="shared" si="14"/>
        <v>106927.8</v>
      </c>
      <c r="G64" s="61">
        <f t="shared" si="14"/>
        <v>112274.19</v>
      </c>
      <c r="H64" s="61">
        <f t="shared" si="14"/>
        <v>117887.89950000001</v>
      </c>
      <c r="I64" s="61">
        <f t="shared" si="14"/>
        <v>120566.06493750004</v>
      </c>
      <c r="J64" s="61">
        <f>SUM(D64:I64)</f>
        <v>656478.62110416673</v>
      </c>
      <c r="K64" s="138"/>
    </row>
    <row r="65" spans="2:10">
      <c r="B65" s="105"/>
      <c r="C65" s="42"/>
      <c r="D65" s="107"/>
      <c r="E65" s="107"/>
      <c r="F65" s="107"/>
      <c r="G65" s="107"/>
      <c r="H65" s="107"/>
      <c r="I65" s="107"/>
      <c r="J65" s="107"/>
    </row>
    <row r="66" spans="2:10" ht="12.9" thickBot="1">
      <c r="B66" s="108" t="s">
        <v>681</v>
      </c>
      <c r="C66" s="109"/>
      <c r="D66" s="110">
        <f>D64</f>
        <v>96986.666666666672</v>
      </c>
      <c r="E66" s="110">
        <f t="shared" ref="E66:F66" si="15">E64</f>
        <v>101836</v>
      </c>
      <c r="F66" s="110">
        <f t="shared" si="15"/>
        <v>106927.8</v>
      </c>
      <c r="G66" s="110">
        <f>G64</f>
        <v>112274.19</v>
      </c>
      <c r="H66" s="110">
        <f t="shared" ref="H66:J66" si="16">H64</f>
        <v>117887.89950000001</v>
      </c>
      <c r="I66" s="110">
        <f>I64</f>
        <v>120566.06493750004</v>
      </c>
      <c r="J66" s="110">
        <f t="shared" si="16"/>
        <v>656478.62110416673</v>
      </c>
    </row>
    <row r="67" spans="2:10" ht="12.9" thickTop="1">
      <c r="B67" s="58"/>
      <c r="C67" s="43"/>
      <c r="D67" s="61"/>
      <c r="E67" s="61"/>
      <c r="F67" s="61"/>
      <c r="G67" s="61"/>
      <c r="H67" s="61"/>
      <c r="I67" s="61"/>
      <c r="J67" s="61"/>
    </row>
    <row r="68" spans="2:10" ht="12.9" thickBot="1">
      <c r="B68" s="108" t="s">
        <v>682</v>
      </c>
      <c r="C68" s="109"/>
      <c r="D68" s="110">
        <f t="shared" ref="D68:H68" si="17">D54+D26+D60+D66</f>
        <v>636267.00616666663</v>
      </c>
      <c r="E68" s="110">
        <f t="shared" si="17"/>
        <v>841733.78994999989</v>
      </c>
      <c r="F68" s="110">
        <f t="shared" si="17"/>
        <v>910870.87159750029</v>
      </c>
      <c r="G68" s="110">
        <f t="shared" si="17"/>
        <v>877348.07266487507</v>
      </c>
      <c r="H68" s="110">
        <f t="shared" si="17"/>
        <v>710955.54581221263</v>
      </c>
      <c r="I68" s="110">
        <f t="shared" ref="I68" si="18">I54+I26+I60+I66</f>
        <v>611191.38039030577</v>
      </c>
      <c r="J68" s="110">
        <f>J54+J26+J60+J66</f>
        <v>4588366.6665815599</v>
      </c>
    </row>
    <row r="69" spans="2:10" ht="12.9" thickTop="1">
      <c r="J69" s="52"/>
    </row>
    <row r="71" spans="2:10">
      <c r="B71" s="111"/>
    </row>
    <row r="72" spans="2:10">
      <c r="B72" s="111"/>
    </row>
  </sheetData>
  <mergeCells count="5">
    <mergeCell ref="B1:J1"/>
    <mergeCell ref="B2:J2"/>
    <mergeCell ref="B3:J3"/>
    <mergeCell ref="B5:J5"/>
    <mergeCell ref="B4:J4"/>
  </mergeCells>
  <pageMargins left="0.7" right="0.7" top="0.75" bottom="0.75" header="0.3" footer="0.3"/>
  <pageSetup scale="89" orientation="landscape" r:id="rId1"/>
  <headerFooter alignWithMargins="0"/>
  <rowBreaks count="1" manualBreakCount="1">
    <brk id="27" min="1" max="1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0A1D3-AC2E-451B-8543-FFA958F128D1}">
  <dimension ref="A1:X43"/>
  <sheetViews>
    <sheetView topLeftCell="B1" zoomScale="85" zoomScaleNormal="85" workbookViewId="0">
      <selection activeCell="S30" sqref="S30"/>
    </sheetView>
  </sheetViews>
  <sheetFormatPr defaultColWidth="9.1640625" defaultRowHeight="15" customHeight="1"/>
  <cols>
    <col min="1" max="1" width="5.44140625" style="244" customWidth="1"/>
    <col min="2" max="2" width="7.5546875" style="244" customWidth="1"/>
    <col min="3" max="3" width="39.1640625" style="244" customWidth="1"/>
    <col min="4" max="4" width="19.5546875" style="244" customWidth="1"/>
    <col min="5" max="5" width="14.27734375" style="244" customWidth="1"/>
    <col min="6" max="6" width="14" style="244" customWidth="1"/>
    <col min="7" max="7" width="21.27734375" style="244" customWidth="1"/>
    <col min="8" max="8" width="16.71875" style="244" customWidth="1"/>
    <col min="9" max="9" width="12.27734375" style="244" customWidth="1"/>
    <col min="10" max="14" width="16.1640625" style="244" customWidth="1"/>
    <col min="15" max="15" width="17.44140625" style="244" customWidth="1"/>
    <col min="16" max="16" width="9.1640625" style="244"/>
    <col min="17" max="18" width="21.1640625" style="244" customWidth="1"/>
    <col min="19" max="19" width="19" style="244" customWidth="1"/>
    <col min="20" max="23" width="9.1640625" style="244"/>
    <col min="24" max="24" width="16.44140625" style="244" bestFit="1" customWidth="1"/>
    <col min="25" max="16384" width="9.1640625" style="244"/>
  </cols>
  <sheetData>
    <row r="1" spans="1:19" ht="18" thickBot="1">
      <c r="A1" s="245" t="s">
        <v>683</v>
      </c>
      <c r="B1" s="246"/>
      <c r="C1" s="246"/>
      <c r="D1" s="247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8"/>
    </row>
    <row r="2" spans="1:19">
      <c r="A2" s="249"/>
      <c r="B2" s="250"/>
      <c r="C2" s="251" t="s">
        <v>684</v>
      </c>
      <c r="D2" s="252"/>
      <c r="E2" s="251" t="s">
        <v>685</v>
      </c>
      <c r="F2" s="252"/>
      <c r="G2" s="251" t="s">
        <v>686</v>
      </c>
      <c r="H2" s="251"/>
      <c r="I2" s="252"/>
      <c r="J2" s="253"/>
      <c r="K2" s="253"/>
      <c r="L2" s="253"/>
      <c r="M2" s="253"/>
      <c r="N2" s="253"/>
      <c r="O2" s="254" t="s">
        <v>687</v>
      </c>
      <c r="P2" s="250"/>
      <c r="Q2" s="254" t="s">
        <v>688</v>
      </c>
      <c r="R2" s="254"/>
      <c r="S2" s="255"/>
    </row>
    <row r="3" spans="1:19" ht="17.7">
      <c r="A3" s="256"/>
      <c r="B3" s="253"/>
      <c r="C3" s="257" t="s">
        <v>5</v>
      </c>
      <c r="D3" s="258"/>
      <c r="E3" s="259"/>
      <c r="F3" s="260"/>
      <c r="G3" s="659"/>
      <c r="H3" s="660"/>
      <c r="I3" s="253"/>
      <c r="J3" s="261"/>
      <c r="K3" s="261"/>
      <c r="L3" s="261"/>
      <c r="M3" s="261"/>
      <c r="N3" s="261"/>
      <c r="O3" s="262">
        <v>2025</v>
      </c>
      <c r="P3" s="263"/>
      <c r="Q3" s="264">
        <v>150</v>
      </c>
      <c r="R3" s="265"/>
      <c r="S3" s="266"/>
    </row>
    <row r="4" spans="1:19" ht="17.7">
      <c r="A4" s="256"/>
      <c r="B4" s="253"/>
      <c r="C4" s="267"/>
      <c r="D4" s="267"/>
      <c r="E4" s="267"/>
      <c r="F4" s="267"/>
      <c r="G4" s="267"/>
      <c r="H4" s="267"/>
      <c r="I4" s="253"/>
      <c r="J4" s="253"/>
      <c r="K4" s="253"/>
      <c r="L4" s="253"/>
      <c r="M4" s="253"/>
      <c r="N4" s="253"/>
      <c r="O4" s="268"/>
      <c r="P4" s="253"/>
      <c r="Q4" s="268"/>
      <c r="R4" s="253"/>
      <c r="S4" s="269"/>
    </row>
    <row r="5" spans="1:19">
      <c r="A5" s="270"/>
      <c r="B5" s="271"/>
      <c r="C5" s="661" t="s">
        <v>689</v>
      </c>
      <c r="D5" s="662"/>
      <c r="E5" s="272"/>
      <c r="F5" s="272"/>
      <c r="G5" s="663" t="s">
        <v>690</v>
      </c>
      <c r="H5" s="662"/>
      <c r="I5" s="660"/>
      <c r="J5" s="273"/>
      <c r="K5" s="272"/>
      <c r="L5" s="272"/>
      <c r="M5" s="272"/>
      <c r="N5" s="272"/>
      <c r="O5" s="661" t="s">
        <v>691</v>
      </c>
      <c r="P5" s="664"/>
      <c r="Q5" s="665"/>
      <c r="R5" s="274"/>
      <c r="S5" s="266"/>
    </row>
    <row r="6" spans="1:19">
      <c r="A6" s="275"/>
      <c r="B6" s="276"/>
      <c r="C6" s="277">
        <f>SUM(D13:D20)</f>
        <v>8780</v>
      </c>
      <c r="D6" s="278" t="s">
        <v>692</v>
      </c>
      <c r="E6" s="258"/>
      <c r="F6" s="258"/>
      <c r="G6" s="654">
        <f>SUM(S13:S22)</f>
        <v>11198784</v>
      </c>
      <c r="H6" s="656" t="s">
        <v>693</v>
      </c>
      <c r="I6" s="657"/>
      <c r="J6" s="276"/>
      <c r="K6" s="276"/>
      <c r="L6" s="276"/>
      <c r="M6" s="276"/>
      <c r="N6" s="276"/>
      <c r="O6" s="279">
        <f>G10</f>
        <v>11198784</v>
      </c>
      <c r="P6" s="668" t="s">
        <v>694</v>
      </c>
      <c r="Q6" s="669"/>
      <c r="R6" s="274"/>
      <c r="S6" s="266"/>
    </row>
    <row r="7" spans="1:19">
      <c r="A7" s="280"/>
      <c r="B7" s="272"/>
      <c r="C7" s="281">
        <f>C6/C10</f>
        <v>1</v>
      </c>
      <c r="D7" s="278" t="s">
        <v>695</v>
      </c>
      <c r="E7" s="258"/>
      <c r="F7" s="258"/>
      <c r="G7" s="655"/>
      <c r="H7" s="658"/>
      <c r="I7" s="655"/>
      <c r="J7" s="282"/>
      <c r="K7" s="282"/>
      <c r="L7" s="282"/>
      <c r="M7" s="282"/>
      <c r="N7" s="282"/>
      <c r="O7" s="279"/>
      <c r="P7" s="668" t="s">
        <v>696</v>
      </c>
      <c r="Q7" s="669"/>
      <c r="R7" s="274"/>
      <c r="S7" s="266"/>
    </row>
    <row r="8" spans="1:19">
      <c r="A8" s="280"/>
      <c r="B8" s="272"/>
      <c r="C8" s="277">
        <f>SUM(D23:D28)</f>
        <v>0</v>
      </c>
      <c r="D8" s="278" t="s">
        <v>697</v>
      </c>
      <c r="E8" s="258"/>
      <c r="F8" s="258"/>
      <c r="G8" s="654">
        <f>SUM(S23:S29)</f>
        <v>0</v>
      </c>
      <c r="H8" s="656" t="s">
        <v>698</v>
      </c>
      <c r="I8" s="657"/>
      <c r="J8" s="282"/>
      <c r="K8" s="282"/>
      <c r="L8" s="282"/>
      <c r="M8" s="282"/>
      <c r="N8" s="282"/>
      <c r="O8" s="283">
        <f>O7/O10</f>
        <v>0</v>
      </c>
      <c r="P8" s="668" t="s">
        <v>699</v>
      </c>
      <c r="Q8" s="669"/>
      <c r="R8" s="274"/>
      <c r="S8" s="266"/>
    </row>
    <row r="9" spans="1:19">
      <c r="A9" s="280"/>
      <c r="B9" s="272"/>
      <c r="C9" s="281">
        <f>C8/C10</f>
        <v>0</v>
      </c>
      <c r="D9" s="278" t="s">
        <v>700</v>
      </c>
      <c r="E9" s="258"/>
      <c r="F9" s="258"/>
      <c r="G9" s="655"/>
      <c r="H9" s="658"/>
      <c r="I9" s="655"/>
      <c r="J9" s="282"/>
      <c r="K9" s="282"/>
      <c r="L9" s="282"/>
      <c r="M9" s="282"/>
      <c r="N9" s="282"/>
      <c r="O9" s="279"/>
      <c r="P9" s="668" t="s">
        <v>701</v>
      </c>
      <c r="Q9" s="669"/>
      <c r="R9" s="274"/>
      <c r="S9" s="266"/>
    </row>
    <row r="10" spans="1:19">
      <c r="A10" s="280"/>
      <c r="B10" s="272"/>
      <c r="C10" s="284">
        <f>C6+C8</f>
        <v>8780</v>
      </c>
      <c r="D10" s="285" t="s">
        <v>702</v>
      </c>
      <c r="E10" s="258"/>
      <c r="F10" s="258"/>
      <c r="G10" s="286">
        <f>SUM(S13:S29)</f>
        <v>11198784</v>
      </c>
      <c r="H10" s="285" t="s">
        <v>703</v>
      </c>
      <c r="I10" s="287"/>
      <c r="J10" s="282"/>
      <c r="K10" s="282"/>
      <c r="L10" s="282"/>
      <c r="M10" s="282"/>
      <c r="N10" s="282"/>
      <c r="O10" s="279">
        <f>O6+O7+O9</f>
        <v>11198784</v>
      </c>
      <c r="P10" s="666" t="s">
        <v>704</v>
      </c>
      <c r="Q10" s="667"/>
      <c r="R10" s="274"/>
      <c r="S10" s="288"/>
    </row>
    <row r="11" spans="1:19">
      <c r="A11" s="280"/>
      <c r="B11" s="289"/>
      <c r="C11" s="272"/>
      <c r="D11" s="258"/>
      <c r="E11" s="258"/>
      <c r="F11" s="290"/>
      <c r="G11" s="291"/>
      <c r="H11" s="291"/>
      <c r="I11" s="292"/>
      <c r="J11" s="292"/>
      <c r="K11" s="292"/>
      <c r="L11" s="292"/>
      <c r="M11" s="292"/>
      <c r="N11" s="292"/>
      <c r="O11" s="293"/>
      <c r="P11" s="291"/>
      <c r="Q11" s="291"/>
      <c r="R11" s="291"/>
      <c r="S11" s="266"/>
    </row>
    <row r="12" spans="1:19" ht="60.3" thickBot="1">
      <c r="A12" s="294"/>
      <c r="B12" s="295" t="s">
        <v>705</v>
      </c>
      <c r="C12" s="296" t="s">
        <v>706</v>
      </c>
      <c r="D12" s="297" t="s">
        <v>707</v>
      </c>
      <c r="E12" s="297" t="s">
        <v>708</v>
      </c>
      <c r="F12" s="296" t="s">
        <v>709</v>
      </c>
      <c r="G12" s="296" t="s">
        <v>710</v>
      </c>
      <c r="H12" s="298" t="s">
        <v>711</v>
      </c>
      <c r="I12" s="298" t="s">
        <v>712</v>
      </c>
      <c r="J12" s="299" t="s">
        <v>713</v>
      </c>
      <c r="K12" s="542" t="s">
        <v>714</v>
      </c>
      <c r="L12" s="543" t="s">
        <v>715</v>
      </c>
      <c r="M12" s="542" t="s">
        <v>716</v>
      </c>
      <c r="N12" s="543" t="s">
        <v>717</v>
      </c>
      <c r="O12" s="299" t="s">
        <v>718</v>
      </c>
      <c r="P12" s="299" t="s">
        <v>719</v>
      </c>
      <c r="Q12" s="299" t="s">
        <v>720</v>
      </c>
      <c r="R12" s="300" t="s">
        <v>721</v>
      </c>
      <c r="S12" s="301" t="s">
        <v>722</v>
      </c>
    </row>
    <row r="13" spans="1:19" ht="17.25" customHeight="1">
      <c r="A13" s="539" t="s">
        <v>723</v>
      </c>
      <c r="B13" s="302">
        <v>1</v>
      </c>
      <c r="C13" s="303" t="s">
        <v>724</v>
      </c>
      <c r="D13" s="363">
        <v>1500</v>
      </c>
      <c r="E13" s="304" t="s">
        <v>725</v>
      </c>
      <c r="F13" s="305">
        <f t="shared" ref="F13:F29" si="0">IF(C13&lt;&gt;0,$O$3,0)</f>
        <v>2025</v>
      </c>
      <c r="G13" s="306">
        <v>65</v>
      </c>
      <c r="H13" s="307">
        <f>(D13*G13)</f>
        <v>97500</v>
      </c>
      <c r="I13" s="308">
        <v>190</v>
      </c>
      <c r="J13" s="309">
        <f>(I13*D13)</f>
        <v>285000</v>
      </c>
      <c r="K13" s="362">
        <v>25</v>
      </c>
      <c r="L13" s="544">
        <f>K13*D13</f>
        <v>37500</v>
      </c>
      <c r="M13" s="362">
        <v>6</v>
      </c>
      <c r="N13" s="544">
        <f>M13*D13</f>
        <v>9000</v>
      </c>
      <c r="O13" s="309">
        <f>H13+J13+L13+N13</f>
        <v>429000</v>
      </c>
      <c r="P13" s="310">
        <v>675</v>
      </c>
      <c r="Q13" s="311">
        <f>(D13*P13)</f>
        <v>1012500</v>
      </c>
      <c r="R13" s="312">
        <f>SUM((((D13*950)/50)*0.2)*11)</f>
        <v>62700</v>
      </c>
      <c r="S13" s="313">
        <f>H13+J13+Q13+R13+L13+N13</f>
        <v>1504200</v>
      </c>
    </row>
    <row r="14" spans="1:19" ht="14.4">
      <c r="A14" s="540"/>
      <c r="B14" s="314">
        <v>2</v>
      </c>
      <c r="C14" s="315" t="s">
        <v>726</v>
      </c>
      <c r="D14" s="361">
        <v>390</v>
      </c>
      <c r="E14" s="317" t="s">
        <v>727</v>
      </c>
      <c r="F14" s="318">
        <f t="shared" si="0"/>
        <v>2025</v>
      </c>
      <c r="G14" s="306">
        <v>65</v>
      </c>
      <c r="H14" s="319">
        <f>(D14*G14)</f>
        <v>25350</v>
      </c>
      <c r="I14" s="308">
        <v>190</v>
      </c>
      <c r="J14" s="310">
        <f>(I14*D14)</f>
        <v>74100</v>
      </c>
      <c r="K14" s="362">
        <v>25</v>
      </c>
      <c r="L14" s="544">
        <f t="shared" ref="L14:L17" si="1">K14*D14</f>
        <v>9750</v>
      </c>
      <c r="M14" s="362">
        <v>6</v>
      </c>
      <c r="N14" s="544">
        <f t="shared" ref="N14:N17" si="2">M14*D14</f>
        <v>2340</v>
      </c>
      <c r="O14" s="309">
        <f t="shared" ref="O14:O28" si="3">H14+J14+L14+N14</f>
        <v>111540</v>
      </c>
      <c r="P14" s="310">
        <v>2100</v>
      </c>
      <c r="Q14" s="320">
        <f t="shared" ref="Q14:Q17" si="4">(D14*P14)</f>
        <v>819000</v>
      </c>
      <c r="R14" s="312">
        <f>SUM((((D14*950)/50)*0.2)*11)</f>
        <v>16302</v>
      </c>
      <c r="S14" s="313">
        <f t="shared" ref="S14:S17" si="5">H14+J14+Q14+R14+L14+N14</f>
        <v>946842</v>
      </c>
    </row>
    <row r="15" spans="1:19" ht="14.4">
      <c r="A15" s="540"/>
      <c r="B15" s="302">
        <v>3</v>
      </c>
      <c r="C15" s="315" t="s">
        <v>728</v>
      </c>
      <c r="D15" s="361">
        <v>1710</v>
      </c>
      <c r="E15" s="317" t="s">
        <v>725</v>
      </c>
      <c r="F15" s="318">
        <f t="shared" si="0"/>
        <v>2025</v>
      </c>
      <c r="G15" s="306">
        <v>65</v>
      </c>
      <c r="H15" s="319">
        <f>(D15*G15)</f>
        <v>111150</v>
      </c>
      <c r="I15" s="308">
        <v>190</v>
      </c>
      <c r="J15" s="310">
        <f t="shared" ref="J15:J17" si="6">(I15*D15)</f>
        <v>324900</v>
      </c>
      <c r="K15" s="362">
        <v>25</v>
      </c>
      <c r="L15" s="544">
        <f t="shared" si="1"/>
        <v>42750</v>
      </c>
      <c r="M15" s="362">
        <v>6</v>
      </c>
      <c r="N15" s="544">
        <f t="shared" si="2"/>
        <v>10260</v>
      </c>
      <c r="O15" s="309">
        <f t="shared" si="3"/>
        <v>489060</v>
      </c>
      <c r="P15" s="310">
        <v>1320</v>
      </c>
      <c r="Q15" s="320">
        <f t="shared" si="4"/>
        <v>2257200</v>
      </c>
      <c r="R15" s="312">
        <f>SUM((((D15*950)/50)*0.2)*11)</f>
        <v>71478</v>
      </c>
      <c r="S15" s="313">
        <f t="shared" si="5"/>
        <v>2817738</v>
      </c>
    </row>
    <row r="16" spans="1:19" ht="14.4">
      <c r="A16" s="540"/>
      <c r="B16" s="314">
        <v>4</v>
      </c>
      <c r="C16" s="315" t="s">
        <v>729</v>
      </c>
      <c r="D16" s="361">
        <v>1080</v>
      </c>
      <c r="E16" s="317" t="s">
        <v>725</v>
      </c>
      <c r="F16" s="318">
        <f t="shared" si="0"/>
        <v>2025</v>
      </c>
      <c r="G16" s="306">
        <v>65</v>
      </c>
      <c r="H16" s="319">
        <f>(D16*G16)</f>
        <v>70200</v>
      </c>
      <c r="I16" s="308">
        <v>190</v>
      </c>
      <c r="J16" s="310">
        <f t="shared" si="6"/>
        <v>205200</v>
      </c>
      <c r="K16" s="362">
        <v>25</v>
      </c>
      <c r="L16" s="544">
        <f t="shared" si="1"/>
        <v>27000</v>
      </c>
      <c r="M16" s="362">
        <v>6</v>
      </c>
      <c r="N16" s="544">
        <f t="shared" si="2"/>
        <v>6480</v>
      </c>
      <c r="O16" s="309">
        <f t="shared" si="3"/>
        <v>308880</v>
      </c>
      <c r="P16" s="310">
        <v>350</v>
      </c>
      <c r="Q16" s="320">
        <f t="shared" si="4"/>
        <v>378000</v>
      </c>
      <c r="R16" s="312">
        <f>SUM((((D16*950)/50)*0.2)*11)</f>
        <v>45144</v>
      </c>
      <c r="S16" s="313">
        <f t="shared" si="5"/>
        <v>732024</v>
      </c>
    </row>
    <row r="17" spans="1:24" ht="14.4">
      <c r="A17" s="540"/>
      <c r="B17" s="314">
        <v>5</v>
      </c>
      <c r="C17" s="315" t="s">
        <v>730</v>
      </c>
      <c r="D17" s="361">
        <v>4100</v>
      </c>
      <c r="E17" s="317" t="s">
        <v>727</v>
      </c>
      <c r="F17" s="318">
        <f t="shared" si="0"/>
        <v>2025</v>
      </c>
      <c r="G17" s="306">
        <v>65</v>
      </c>
      <c r="H17" s="319">
        <f>(D17*G17)</f>
        <v>266500</v>
      </c>
      <c r="I17" s="308">
        <v>190</v>
      </c>
      <c r="J17" s="310">
        <f t="shared" si="6"/>
        <v>779000</v>
      </c>
      <c r="K17" s="362">
        <v>25</v>
      </c>
      <c r="L17" s="544">
        <f t="shared" si="1"/>
        <v>102500</v>
      </c>
      <c r="M17" s="362">
        <v>6</v>
      </c>
      <c r="N17" s="544">
        <f t="shared" si="2"/>
        <v>24600</v>
      </c>
      <c r="O17" s="309">
        <f t="shared" si="3"/>
        <v>1172600</v>
      </c>
      <c r="P17" s="310">
        <v>940</v>
      </c>
      <c r="Q17" s="320">
        <f t="shared" si="4"/>
        <v>3854000</v>
      </c>
      <c r="R17" s="312">
        <f>SUM((((D17*950)/50)*0.2)*11)</f>
        <v>171380</v>
      </c>
      <c r="S17" s="313">
        <f t="shared" si="5"/>
        <v>5197980</v>
      </c>
    </row>
    <row r="18" spans="1:24" ht="14.4">
      <c r="A18" s="540"/>
      <c r="B18" s="302">
        <v>6</v>
      </c>
      <c r="C18" s="339" t="s">
        <v>731</v>
      </c>
      <c r="D18" s="361">
        <f>'Program Budget'!G978+'Program Budget'!K978+'Program Budget'!N978+'Program Budget'!Q978+'Program Budget'!T978+'Program Budget'!W978</f>
        <v>0</v>
      </c>
      <c r="E18" s="317" t="s">
        <v>727</v>
      </c>
      <c r="F18" s="318">
        <f t="shared" ref="F18:F20" si="7">IF(C18&lt;&gt;0,$O$3,0)</f>
        <v>2025</v>
      </c>
      <c r="G18" s="306">
        <v>0</v>
      </c>
      <c r="H18" s="319">
        <f>(D18*G18)/1000</f>
        <v>0</v>
      </c>
      <c r="I18" s="308">
        <v>0</v>
      </c>
      <c r="J18" s="310">
        <f t="shared" ref="J18:J20" si="8">(I18*D18)</f>
        <v>0</v>
      </c>
      <c r="K18" s="362">
        <v>0</v>
      </c>
      <c r="L18" s="544">
        <f t="shared" ref="L18:L20" si="9">K18*D18</f>
        <v>0</v>
      </c>
      <c r="M18" s="362">
        <v>0</v>
      </c>
      <c r="N18" s="544">
        <f t="shared" ref="N18:N20" si="10">M18*D18</f>
        <v>0</v>
      </c>
      <c r="O18" s="309">
        <f t="shared" ref="O18:O20" si="11">H18+J18+L18+N18</f>
        <v>0</v>
      </c>
      <c r="P18" s="310">
        <v>1760</v>
      </c>
      <c r="Q18" s="320">
        <f t="shared" ref="Q18:Q20" si="12">(D18*P18)</f>
        <v>0</v>
      </c>
      <c r="R18" s="312">
        <v>0</v>
      </c>
      <c r="S18" s="313">
        <f t="shared" ref="S18:S20" si="13">H18+J18+Q18+R18+L18+N18</f>
        <v>0</v>
      </c>
    </row>
    <row r="19" spans="1:24" ht="14.4">
      <c r="A19" s="540"/>
      <c r="B19" s="302">
        <v>7</v>
      </c>
      <c r="C19" s="323" t="s">
        <v>523</v>
      </c>
      <c r="D19" s="361">
        <f>'Program Budget'!G979+'Program Budget'!K979+'Program Budget'!N979+'Program Budget'!Q979+'Program Budget'!T979+'Program Budget'!W979</f>
        <v>0</v>
      </c>
      <c r="E19" s="317" t="s">
        <v>727</v>
      </c>
      <c r="F19" s="318">
        <f t="shared" si="7"/>
        <v>2025</v>
      </c>
      <c r="G19" s="306">
        <v>0</v>
      </c>
      <c r="H19" s="319">
        <f>(D19*G19)/1000</f>
        <v>0</v>
      </c>
      <c r="I19" s="308">
        <v>0</v>
      </c>
      <c r="J19" s="310">
        <f t="shared" si="8"/>
        <v>0</v>
      </c>
      <c r="K19" s="362">
        <v>0</v>
      </c>
      <c r="L19" s="544">
        <f t="shared" si="9"/>
        <v>0</v>
      </c>
      <c r="M19" s="362">
        <v>0</v>
      </c>
      <c r="N19" s="544">
        <f t="shared" si="10"/>
        <v>0</v>
      </c>
      <c r="O19" s="309">
        <f t="shared" si="11"/>
        <v>0</v>
      </c>
      <c r="P19" s="310">
        <v>630</v>
      </c>
      <c r="Q19" s="320">
        <f t="shared" si="12"/>
        <v>0</v>
      </c>
      <c r="R19" s="312">
        <v>0</v>
      </c>
      <c r="S19" s="313">
        <f t="shared" si="13"/>
        <v>0</v>
      </c>
    </row>
    <row r="20" spans="1:24" ht="14.4">
      <c r="A20" s="540"/>
      <c r="B20" s="302">
        <v>8</v>
      </c>
      <c r="C20" s="323" t="s">
        <v>732</v>
      </c>
      <c r="D20" s="361">
        <f>'Program Budget'!G980+'Program Budget'!K980+'Program Budget'!N980+'Program Budget'!Q980+'Program Budget'!T980+'Program Budget'!W980</f>
        <v>0</v>
      </c>
      <c r="E20" s="317" t="s">
        <v>727</v>
      </c>
      <c r="F20" s="318">
        <f t="shared" si="7"/>
        <v>2025</v>
      </c>
      <c r="G20" s="306">
        <v>0</v>
      </c>
      <c r="H20" s="319">
        <f>(D20*G20)/1000</f>
        <v>0</v>
      </c>
      <c r="I20" s="308">
        <v>0</v>
      </c>
      <c r="J20" s="310">
        <f t="shared" si="8"/>
        <v>0</v>
      </c>
      <c r="K20" s="362">
        <v>0</v>
      </c>
      <c r="L20" s="544">
        <f t="shared" si="9"/>
        <v>0</v>
      </c>
      <c r="M20" s="362">
        <v>0</v>
      </c>
      <c r="N20" s="544">
        <f t="shared" si="10"/>
        <v>0</v>
      </c>
      <c r="O20" s="309">
        <f t="shared" si="11"/>
        <v>0</v>
      </c>
      <c r="P20" s="310">
        <v>630</v>
      </c>
      <c r="Q20" s="320">
        <f t="shared" si="12"/>
        <v>0</v>
      </c>
      <c r="R20" s="312">
        <v>0</v>
      </c>
      <c r="S20" s="313">
        <f t="shared" si="13"/>
        <v>0</v>
      </c>
    </row>
    <row r="21" spans="1:24" ht="14.7" thickBot="1">
      <c r="A21" s="549"/>
      <c r="B21" s="322">
        <v>9</v>
      </c>
      <c r="C21" s="323"/>
      <c r="D21" s="324"/>
      <c r="E21" s="325">
        <v>0</v>
      </c>
      <c r="F21" s="326">
        <f>IF(C21&lt;&gt;0,$O$3,0)</f>
        <v>0</v>
      </c>
      <c r="G21" s="327"/>
      <c r="H21" s="328"/>
      <c r="I21" s="329"/>
      <c r="J21" s="330"/>
      <c r="K21" s="545"/>
      <c r="L21" s="544"/>
      <c r="M21" s="545"/>
      <c r="N21" s="544"/>
      <c r="O21" s="309"/>
      <c r="P21" s="331"/>
      <c r="Q21" s="332"/>
      <c r="R21" s="333"/>
      <c r="S21" s="334"/>
    </row>
    <row r="22" spans="1:24" ht="14.7" thickBot="1">
      <c r="A22" s="541"/>
      <c r="B22" s="322">
        <v>10</v>
      </c>
      <c r="C22" s="323" t="s">
        <v>733</v>
      </c>
      <c r="D22" s="324"/>
      <c r="E22" s="325">
        <v>0</v>
      </c>
      <c r="F22" s="326">
        <f t="shared" si="0"/>
        <v>2025</v>
      </c>
      <c r="G22" s="327"/>
      <c r="H22" s="328"/>
      <c r="I22" s="329"/>
      <c r="J22" s="330"/>
      <c r="K22" s="545"/>
      <c r="L22" s="544"/>
      <c r="M22" s="545"/>
      <c r="N22" s="544"/>
      <c r="O22" s="309"/>
      <c r="P22" s="331"/>
      <c r="Q22" s="332"/>
      <c r="R22" s="333"/>
      <c r="S22" s="334"/>
    </row>
    <row r="23" spans="1:24" ht="14.4">
      <c r="A23" s="650"/>
      <c r="B23" s="335">
        <v>11</v>
      </c>
      <c r="C23" s="315"/>
      <c r="D23" s="316"/>
      <c r="E23" s="317">
        <v>0</v>
      </c>
      <c r="F23" s="318">
        <f t="shared" si="0"/>
        <v>0</v>
      </c>
      <c r="G23" s="321">
        <f t="shared" ref="G23:G28" si="14">IF(D23&lt;&gt;0,$Q$3,0)</f>
        <v>0</v>
      </c>
      <c r="H23" s="319">
        <f t="shared" ref="H23:H28" si="15">(D23*G23)/1000</f>
        <v>0</v>
      </c>
      <c r="I23" s="308">
        <v>0</v>
      </c>
      <c r="J23" s="310">
        <f t="shared" ref="J23:J28" si="16">(I23*D23)/1000</f>
        <v>0</v>
      </c>
      <c r="K23" s="362">
        <f t="array" ref="K23">IF(F23&lt;&gt;0,INDEX('[49]Ocean Freight Rates'!$C$3:$E$188,MATCH($C$3,'[49]Ocean Freight Rates'!$B$3:$B$188),MATCH(X23,'[49]Ocean Freight Rates'!$C$2:$E$2,)),0)</f>
        <v>0</v>
      </c>
      <c r="L23" s="544">
        <f t="shared" ref="L23:L24" si="17">K23*D23</f>
        <v>0</v>
      </c>
      <c r="M23" s="362">
        <f t="array" ref="M23">IF(H23&lt;&gt;0,INDEX('[49]Ocean Freight Rates'!$C$3:$E$188,MATCH($C$3,'[49]Ocean Freight Rates'!$B$3:$B$188),MATCH(Z23,'[49]Ocean Freight Rates'!$C$2:$E$2,)),0)</f>
        <v>0</v>
      </c>
      <c r="N23" s="544">
        <f t="shared" ref="N23:N24" si="18">M23*D23</f>
        <v>0</v>
      </c>
      <c r="O23" s="309">
        <f t="shared" si="3"/>
        <v>0</v>
      </c>
      <c r="P23" s="310">
        <v>0</v>
      </c>
      <c r="Q23" s="320">
        <f t="shared" ref="Q23:Q29" si="19">(D23*P23)/1000</f>
        <v>0</v>
      </c>
      <c r="R23" s="320"/>
      <c r="S23" s="336">
        <f t="shared" ref="S23:S28" si="20">H23+J23+Q23</f>
        <v>0</v>
      </c>
    </row>
    <row r="24" spans="1:24" ht="14.4">
      <c r="A24" s="650"/>
      <c r="B24" s="335">
        <v>12</v>
      </c>
      <c r="C24" s="315"/>
      <c r="D24" s="316"/>
      <c r="E24" s="317">
        <v>0</v>
      </c>
      <c r="F24" s="318">
        <f t="shared" si="0"/>
        <v>0</v>
      </c>
      <c r="G24" s="321">
        <f t="shared" si="14"/>
        <v>0</v>
      </c>
      <c r="H24" s="319">
        <f t="shared" si="15"/>
        <v>0</v>
      </c>
      <c r="I24" s="308">
        <v>0</v>
      </c>
      <c r="J24" s="310">
        <f t="shared" si="16"/>
        <v>0</v>
      </c>
      <c r="K24" s="362">
        <f t="array" ref="K24">IF(F24&lt;&gt;0,INDEX('[49]Ocean Freight Rates'!$C$3:$E$188,MATCH($C$3,'[49]Ocean Freight Rates'!$B$3:$B$188),MATCH(X24,'[49]Ocean Freight Rates'!$C$2:$E$2,)),0)</f>
        <v>0</v>
      </c>
      <c r="L24" s="544">
        <f t="shared" si="17"/>
        <v>0</v>
      </c>
      <c r="M24" s="362">
        <f t="array" ref="M24">IF(H24&lt;&gt;0,INDEX('[49]Ocean Freight Rates'!$C$3:$E$188,MATCH($C$3,'[49]Ocean Freight Rates'!$B$3:$B$188),MATCH(Z24,'[49]Ocean Freight Rates'!$C$2:$E$2,)),0)</f>
        <v>0</v>
      </c>
      <c r="N24" s="544">
        <f t="shared" si="18"/>
        <v>0</v>
      </c>
      <c r="O24" s="309">
        <f t="shared" si="3"/>
        <v>0</v>
      </c>
      <c r="P24" s="310">
        <v>0</v>
      </c>
      <c r="Q24" s="320">
        <f t="shared" si="19"/>
        <v>0</v>
      </c>
      <c r="R24" s="320"/>
      <c r="S24" s="336">
        <f t="shared" si="20"/>
        <v>0</v>
      </c>
    </row>
    <row r="25" spans="1:24" ht="14.4">
      <c r="A25" s="650"/>
      <c r="B25" s="335">
        <v>13</v>
      </c>
      <c r="C25" s="315"/>
      <c r="D25" s="316"/>
      <c r="E25" s="317">
        <v>0</v>
      </c>
      <c r="F25" s="318">
        <f t="shared" si="0"/>
        <v>0</v>
      </c>
      <c r="G25" s="321">
        <f t="shared" si="14"/>
        <v>0</v>
      </c>
      <c r="H25" s="319">
        <f t="shared" si="15"/>
        <v>0</v>
      </c>
      <c r="I25" s="308">
        <v>0</v>
      </c>
      <c r="J25" s="310">
        <f t="shared" si="16"/>
        <v>0</v>
      </c>
      <c r="K25" s="362">
        <f t="array" ref="K25">IF(F25&lt;&gt;0,INDEX('[49]Ocean Freight Rates'!$C$3:$E$188,MATCH($C$3,'[49]Ocean Freight Rates'!$B$3:$B$188),MATCH(X25,'[49]Ocean Freight Rates'!$C$2:$E$2,)),0)</f>
        <v>0</v>
      </c>
      <c r="L25" s="544">
        <f t="shared" ref="L25:L28" si="21">K25*D25</f>
        <v>0</v>
      </c>
      <c r="M25" s="362">
        <f t="array" ref="M25">IF(H25&lt;&gt;0,INDEX('[49]Ocean Freight Rates'!$C$3:$E$188,MATCH($C$3,'[49]Ocean Freight Rates'!$B$3:$B$188),MATCH(Z25,'[49]Ocean Freight Rates'!$C$2:$E$2,)),0)</f>
        <v>0</v>
      </c>
      <c r="N25" s="544">
        <f t="shared" ref="N25:N28" si="22">M25*D25</f>
        <v>0</v>
      </c>
      <c r="O25" s="309">
        <f t="shared" si="3"/>
        <v>0</v>
      </c>
      <c r="P25" s="310">
        <v>0</v>
      </c>
      <c r="Q25" s="320">
        <f t="shared" si="19"/>
        <v>0</v>
      </c>
      <c r="R25" s="320"/>
      <c r="S25" s="336">
        <f t="shared" si="20"/>
        <v>0</v>
      </c>
    </row>
    <row r="26" spans="1:24" ht="14.4">
      <c r="A26" s="650"/>
      <c r="B26" s="335">
        <v>14</v>
      </c>
      <c r="C26" s="315"/>
      <c r="D26" s="316"/>
      <c r="E26" s="317">
        <v>0</v>
      </c>
      <c r="F26" s="318">
        <f t="shared" si="0"/>
        <v>0</v>
      </c>
      <c r="G26" s="321">
        <f t="shared" si="14"/>
        <v>0</v>
      </c>
      <c r="H26" s="319">
        <f t="shared" si="15"/>
        <v>0</v>
      </c>
      <c r="I26" s="308">
        <v>0</v>
      </c>
      <c r="J26" s="310">
        <f t="shared" si="16"/>
        <v>0</v>
      </c>
      <c r="K26" s="362">
        <f t="array" ref="K26">IF(F26&lt;&gt;0,INDEX('[49]Ocean Freight Rates'!$C$3:$E$188,MATCH($C$3,'[49]Ocean Freight Rates'!$B$3:$B$188),MATCH(X26,'[49]Ocean Freight Rates'!$C$2:$E$2,)),0)</f>
        <v>0</v>
      </c>
      <c r="L26" s="544">
        <f t="shared" si="21"/>
        <v>0</v>
      </c>
      <c r="M26" s="362">
        <f t="array" ref="M26">IF(H26&lt;&gt;0,INDEX('[49]Ocean Freight Rates'!$C$3:$E$188,MATCH($C$3,'[49]Ocean Freight Rates'!$B$3:$B$188),MATCH(Z26,'[49]Ocean Freight Rates'!$C$2:$E$2,)),0)</f>
        <v>0</v>
      </c>
      <c r="N26" s="544">
        <f t="shared" si="22"/>
        <v>0</v>
      </c>
      <c r="O26" s="309">
        <f t="shared" si="3"/>
        <v>0</v>
      </c>
      <c r="P26" s="310">
        <v>0</v>
      </c>
      <c r="Q26" s="320">
        <f t="shared" si="19"/>
        <v>0</v>
      </c>
      <c r="R26" s="320"/>
      <c r="S26" s="336">
        <f t="shared" si="20"/>
        <v>0</v>
      </c>
    </row>
    <row r="27" spans="1:24" ht="14.4">
      <c r="A27" s="650"/>
      <c r="B27" s="335">
        <v>15</v>
      </c>
      <c r="C27" s="315"/>
      <c r="D27" s="316"/>
      <c r="E27" s="317">
        <v>0</v>
      </c>
      <c r="F27" s="318">
        <f t="shared" si="0"/>
        <v>0</v>
      </c>
      <c r="G27" s="321">
        <f t="shared" si="14"/>
        <v>0</v>
      </c>
      <c r="H27" s="319">
        <f t="shared" si="15"/>
        <v>0</v>
      </c>
      <c r="I27" s="308">
        <v>0</v>
      </c>
      <c r="J27" s="310">
        <f t="shared" si="16"/>
        <v>0</v>
      </c>
      <c r="K27" s="362">
        <f t="array" ref="K27">IF(F27&lt;&gt;0,INDEX('[49]Ocean Freight Rates'!$C$3:$E$188,MATCH($C$3,'[49]Ocean Freight Rates'!$B$3:$B$188),MATCH(X27,'[49]Ocean Freight Rates'!$C$2:$E$2,)),0)</f>
        <v>0</v>
      </c>
      <c r="L27" s="544">
        <f t="shared" si="21"/>
        <v>0</v>
      </c>
      <c r="M27" s="362">
        <f t="array" ref="M27">IF(H27&lt;&gt;0,INDEX('[49]Ocean Freight Rates'!$C$3:$E$188,MATCH($C$3,'[49]Ocean Freight Rates'!$B$3:$B$188),MATCH(Z27,'[49]Ocean Freight Rates'!$C$2:$E$2,)),0)</f>
        <v>0</v>
      </c>
      <c r="N27" s="544">
        <f t="shared" si="22"/>
        <v>0</v>
      </c>
      <c r="O27" s="309">
        <f t="shared" si="3"/>
        <v>0</v>
      </c>
      <c r="P27" s="310">
        <v>0</v>
      </c>
      <c r="Q27" s="320">
        <f t="shared" si="19"/>
        <v>0</v>
      </c>
      <c r="R27" s="320"/>
      <c r="S27" s="336">
        <f t="shared" si="20"/>
        <v>0</v>
      </c>
    </row>
    <row r="28" spans="1:24" ht="14.4">
      <c r="A28" s="650"/>
      <c r="B28" s="335">
        <v>16</v>
      </c>
      <c r="C28" s="315"/>
      <c r="D28" s="337"/>
      <c r="E28" s="317">
        <v>0</v>
      </c>
      <c r="F28" s="318">
        <f t="shared" si="0"/>
        <v>0</v>
      </c>
      <c r="G28" s="321">
        <f t="shared" si="14"/>
        <v>0</v>
      </c>
      <c r="H28" s="319">
        <f t="shared" si="15"/>
        <v>0</v>
      </c>
      <c r="I28" s="308">
        <v>0</v>
      </c>
      <c r="J28" s="310">
        <f t="shared" si="16"/>
        <v>0</v>
      </c>
      <c r="K28" s="362">
        <f t="array" ref="K28">IF(F28&lt;&gt;0,INDEX('[49]Ocean Freight Rates'!$C$3:$E$188,MATCH($C$3,'[49]Ocean Freight Rates'!$B$3:$B$188),MATCH(X28,'[49]Ocean Freight Rates'!$C$2:$E$2,)),0)</f>
        <v>0</v>
      </c>
      <c r="L28" s="544">
        <f t="shared" si="21"/>
        <v>0</v>
      </c>
      <c r="M28" s="362">
        <f t="array" ref="M28">IF(H28&lt;&gt;0,INDEX('[49]Ocean Freight Rates'!$C$3:$E$188,MATCH($C$3,'[49]Ocean Freight Rates'!$B$3:$B$188),MATCH(Z28,'[49]Ocean Freight Rates'!$C$2:$E$2,)),0)</f>
        <v>0</v>
      </c>
      <c r="N28" s="544">
        <f t="shared" si="22"/>
        <v>0</v>
      </c>
      <c r="O28" s="309">
        <f t="shared" si="3"/>
        <v>0</v>
      </c>
      <c r="P28" s="310">
        <v>0</v>
      </c>
      <c r="Q28" s="320">
        <f t="shared" si="19"/>
        <v>0</v>
      </c>
      <c r="R28" s="320"/>
      <c r="S28" s="336">
        <f t="shared" si="20"/>
        <v>0</v>
      </c>
    </row>
    <row r="29" spans="1:24" ht="14.7" thickBot="1">
      <c r="A29" s="651"/>
      <c r="B29" s="338">
        <v>17</v>
      </c>
      <c r="C29" s="339" t="s">
        <v>733</v>
      </c>
      <c r="D29" s="340"/>
      <c r="E29" s="341"/>
      <c r="F29" s="342">
        <f t="shared" si="0"/>
        <v>2025</v>
      </c>
      <c r="G29" s="343" t="s">
        <v>734</v>
      </c>
      <c r="H29" s="344" t="s">
        <v>734</v>
      </c>
      <c r="I29" s="345" t="s">
        <v>734</v>
      </c>
      <c r="J29" s="346" t="s">
        <v>734</v>
      </c>
      <c r="K29" s="346"/>
      <c r="L29" s="346"/>
      <c r="M29" s="346"/>
      <c r="N29" s="346"/>
      <c r="O29" s="346" t="s">
        <v>734</v>
      </c>
      <c r="P29" s="310">
        <v>0</v>
      </c>
      <c r="Q29" s="347">
        <f t="shared" si="19"/>
        <v>0</v>
      </c>
      <c r="R29" s="347"/>
      <c r="S29" s="348">
        <f>Q29</f>
        <v>0</v>
      </c>
    </row>
    <row r="30" spans="1:24" ht="15.3" thickBot="1">
      <c r="A30" s="652" t="s">
        <v>540</v>
      </c>
      <c r="B30" s="653"/>
      <c r="C30" s="349"/>
      <c r="D30" s="350">
        <f>SUM(D13:D20,D23:D28)</f>
        <v>8780</v>
      </c>
      <c r="E30" s="350"/>
      <c r="F30" s="351"/>
      <c r="G30" s="351"/>
      <c r="H30" s="352">
        <f>SUM(H13:H29)</f>
        <v>570700</v>
      </c>
      <c r="I30" s="352"/>
      <c r="J30" s="353">
        <f>SUM(J13:J29)</f>
        <v>1668200</v>
      </c>
      <c r="K30" s="353"/>
      <c r="L30" s="353">
        <f>SUM(L13:L29)</f>
        <v>219500</v>
      </c>
      <c r="M30" s="353"/>
      <c r="N30" s="353">
        <f>SUM(N13:N29)</f>
        <v>52680</v>
      </c>
      <c r="O30" s="353">
        <f>SUM(O13:O29)</f>
        <v>2511080</v>
      </c>
      <c r="P30" s="354"/>
      <c r="Q30" s="355">
        <f>SUM(Q13:Q29)</f>
        <v>8320700</v>
      </c>
      <c r="R30" s="355">
        <f>SUM(R13:R29)</f>
        <v>367004</v>
      </c>
      <c r="S30" s="356">
        <f>SUM(S13:S29)</f>
        <v>11198784</v>
      </c>
    </row>
    <row r="31" spans="1:24" s="357" customFormat="1" ht="15" customHeight="1">
      <c r="D31" s="546"/>
      <c r="Q31" s="546"/>
      <c r="R31" s="547"/>
    </row>
    <row r="32" spans="1:24" s="357" customFormat="1" ht="14.4">
      <c r="A32" s="358"/>
      <c r="B32" s="358"/>
      <c r="C32" s="358"/>
      <c r="D32" s="358"/>
      <c r="E32" s="358"/>
      <c r="F32" s="358"/>
      <c r="G32" s="358"/>
      <c r="H32" s="358"/>
      <c r="I32" s="358"/>
      <c r="J32" s="358"/>
      <c r="K32" s="358"/>
      <c r="L32" s="358"/>
      <c r="M32" s="358"/>
      <c r="N32" s="358"/>
      <c r="O32" s="358"/>
      <c r="P32" s="358"/>
      <c r="Q32" s="359"/>
      <c r="R32" s="360"/>
      <c r="S32" s="358"/>
      <c r="X32" s="357" t="s">
        <v>724</v>
      </c>
    </row>
    <row r="33" spans="1:24" s="357" customFormat="1" ht="14.4">
      <c r="A33" s="358"/>
      <c r="B33" s="358"/>
      <c r="C33" s="358"/>
      <c r="D33" s="358"/>
      <c r="E33" s="358"/>
      <c r="F33" s="358"/>
      <c r="G33" s="358"/>
      <c r="H33" s="360"/>
      <c r="I33" s="358"/>
      <c r="J33" s="358"/>
      <c r="K33" s="358"/>
      <c r="L33" s="358"/>
      <c r="M33" s="358"/>
      <c r="N33" s="358"/>
      <c r="O33" s="358"/>
      <c r="P33" s="358"/>
      <c r="Q33" s="358"/>
      <c r="R33" s="358"/>
      <c r="S33" s="358"/>
      <c r="X33" s="357" t="s">
        <v>726</v>
      </c>
    </row>
    <row r="34" spans="1:24" s="357" customFormat="1" ht="14.4">
      <c r="A34" s="358"/>
      <c r="B34" s="358"/>
      <c r="C34" s="358"/>
      <c r="D34" s="358"/>
      <c r="E34" s="358"/>
      <c r="F34" s="358"/>
      <c r="G34" s="358"/>
      <c r="H34" s="358"/>
      <c r="I34" s="358"/>
      <c r="J34" s="358"/>
      <c r="K34" s="358"/>
      <c r="L34" s="358"/>
      <c r="M34" s="358"/>
      <c r="N34" s="358"/>
      <c r="O34" s="358"/>
      <c r="P34" s="358"/>
      <c r="Q34" s="358"/>
      <c r="R34" s="358"/>
      <c r="S34" s="358"/>
      <c r="X34" s="357" t="s">
        <v>728</v>
      </c>
    </row>
    <row r="35" spans="1:24" s="357" customFormat="1" ht="14.4">
      <c r="A35" s="358"/>
      <c r="B35" s="358"/>
      <c r="C35" s="358"/>
      <c r="D35" s="358"/>
      <c r="E35" s="358"/>
      <c r="F35" s="358"/>
      <c r="G35" s="358"/>
      <c r="H35" s="358"/>
      <c r="I35" s="358"/>
      <c r="J35" s="358"/>
      <c r="K35" s="358"/>
      <c r="L35" s="358"/>
      <c r="M35" s="358"/>
      <c r="N35" s="358"/>
      <c r="O35" s="358"/>
      <c r="P35" s="358"/>
      <c r="Q35" s="358"/>
      <c r="R35" s="358"/>
      <c r="S35" s="358"/>
      <c r="X35" s="357" t="s">
        <v>735</v>
      </c>
    </row>
    <row r="36" spans="1:24" s="357" customFormat="1" ht="14.4">
      <c r="A36" s="358"/>
      <c r="B36" s="358"/>
      <c r="C36" s="358"/>
      <c r="D36" s="358"/>
      <c r="E36" s="358"/>
      <c r="F36" s="358"/>
      <c r="G36" s="358"/>
      <c r="H36" s="358"/>
      <c r="I36" s="358"/>
      <c r="J36" s="358"/>
      <c r="K36" s="358"/>
      <c r="L36" s="358"/>
      <c r="M36" s="358"/>
      <c r="N36" s="358"/>
      <c r="O36" s="358"/>
      <c r="P36" s="358"/>
      <c r="Q36" s="358"/>
      <c r="R36" s="358"/>
      <c r="S36" s="358"/>
      <c r="X36" s="357" t="s">
        <v>736</v>
      </c>
    </row>
    <row r="37" spans="1:24" s="357" customFormat="1" ht="14.4">
      <c r="A37" s="358"/>
      <c r="B37" s="358"/>
      <c r="C37" s="358"/>
      <c r="D37" s="358"/>
      <c r="E37" s="358"/>
      <c r="F37" s="358"/>
      <c r="G37" s="358"/>
      <c r="H37" s="358"/>
      <c r="I37" s="358"/>
      <c r="J37" s="358"/>
      <c r="K37" s="358"/>
      <c r="L37" s="358"/>
      <c r="M37" s="358"/>
      <c r="N37" s="358"/>
      <c r="O37" s="358"/>
      <c r="P37" s="358"/>
      <c r="Q37" s="358"/>
      <c r="R37" s="358"/>
      <c r="S37" s="358"/>
      <c r="X37" s="357" t="s">
        <v>737</v>
      </c>
    </row>
    <row r="38" spans="1:24" s="357" customFormat="1" ht="14.4">
      <c r="A38" s="358"/>
      <c r="B38" s="358"/>
      <c r="C38" s="358"/>
      <c r="D38" s="358"/>
      <c r="E38" s="358"/>
      <c r="F38" s="358"/>
      <c r="G38" s="358"/>
      <c r="H38" s="358"/>
      <c r="I38" s="358"/>
      <c r="J38" s="358"/>
      <c r="K38" s="358"/>
      <c r="L38" s="358"/>
      <c r="M38" s="358"/>
      <c r="N38" s="358"/>
      <c r="O38" s="358"/>
      <c r="P38" s="358"/>
      <c r="Q38" s="358"/>
      <c r="R38" s="358"/>
      <c r="S38" s="358"/>
      <c r="X38" s="357" t="s">
        <v>730</v>
      </c>
    </row>
    <row r="39" spans="1:24" s="357" customFormat="1" ht="15" customHeight="1">
      <c r="A39" s="358"/>
      <c r="B39" s="358"/>
      <c r="C39" s="358"/>
      <c r="D39" s="358"/>
      <c r="E39" s="358"/>
      <c r="F39" s="358"/>
      <c r="G39" s="358"/>
      <c r="H39" s="358"/>
      <c r="I39" s="358"/>
      <c r="J39" s="358"/>
      <c r="K39" s="358"/>
      <c r="L39" s="358"/>
      <c r="M39" s="358"/>
      <c r="N39" s="358"/>
      <c r="O39" s="358"/>
      <c r="P39" s="358"/>
      <c r="Q39" s="358"/>
      <c r="R39" s="358"/>
      <c r="S39" s="358"/>
      <c r="X39" s="357" t="s">
        <v>738</v>
      </c>
    </row>
    <row r="40" spans="1:24" s="357" customFormat="1" ht="15" customHeight="1">
      <c r="A40" s="358"/>
      <c r="B40" s="358"/>
      <c r="C40" s="358"/>
      <c r="D40" s="358"/>
      <c r="E40" s="358"/>
      <c r="F40" s="358"/>
      <c r="G40" s="358"/>
      <c r="H40" s="358"/>
      <c r="I40" s="358"/>
      <c r="J40" s="358"/>
      <c r="K40" s="358"/>
      <c r="L40" s="358"/>
      <c r="M40" s="358"/>
      <c r="N40" s="358"/>
      <c r="O40" s="358"/>
      <c r="P40" s="358"/>
      <c r="Q40" s="358"/>
      <c r="R40" s="358"/>
      <c r="S40" s="358"/>
      <c r="X40" s="357" t="s">
        <v>739</v>
      </c>
    </row>
    <row r="41" spans="1:24" s="357" customFormat="1" ht="15" customHeight="1">
      <c r="A41" s="358"/>
      <c r="B41" s="358"/>
      <c r="C41" s="358"/>
      <c r="D41" s="358"/>
      <c r="E41" s="358"/>
      <c r="F41" s="358"/>
      <c r="G41" s="358"/>
      <c r="H41" s="358"/>
      <c r="I41" s="358"/>
      <c r="J41" s="358"/>
      <c r="K41" s="358"/>
      <c r="L41" s="358"/>
      <c r="M41" s="358"/>
      <c r="N41" s="358"/>
      <c r="O41" s="358"/>
      <c r="P41" s="358"/>
      <c r="Q41" s="358"/>
      <c r="R41" s="358"/>
      <c r="S41" s="358"/>
      <c r="X41" s="357" t="s">
        <v>740</v>
      </c>
    </row>
    <row r="42" spans="1:24" s="357" customFormat="1" ht="15" customHeight="1">
      <c r="A42" s="358"/>
      <c r="B42" s="358"/>
      <c r="C42" s="358"/>
      <c r="D42" s="358"/>
      <c r="E42" s="358"/>
      <c r="F42" s="358"/>
      <c r="G42" s="358"/>
      <c r="H42" s="358"/>
      <c r="I42" s="358"/>
      <c r="J42" s="358"/>
      <c r="K42" s="358"/>
      <c r="L42" s="358"/>
      <c r="M42" s="358"/>
      <c r="N42" s="358"/>
      <c r="O42" s="358"/>
      <c r="P42" s="358"/>
      <c r="Q42" s="358"/>
      <c r="R42" s="358"/>
      <c r="S42" s="358"/>
    </row>
    <row r="43" spans="1:24" ht="15" customHeight="1">
      <c r="A43" s="358"/>
      <c r="B43" s="358"/>
      <c r="C43" s="358"/>
      <c r="D43" s="358"/>
      <c r="E43" s="358"/>
      <c r="F43" s="358"/>
      <c r="G43" s="358"/>
      <c r="H43" s="358"/>
      <c r="I43" s="358"/>
      <c r="J43" s="358"/>
      <c r="K43" s="358"/>
      <c r="L43" s="358"/>
      <c r="M43" s="358"/>
      <c r="N43" s="358"/>
      <c r="O43" s="358"/>
      <c r="P43" s="358"/>
      <c r="Q43" s="358"/>
      <c r="R43" s="358"/>
      <c r="S43" s="358"/>
    </row>
  </sheetData>
  <mergeCells count="15">
    <mergeCell ref="O5:Q5"/>
    <mergeCell ref="P10:Q10"/>
    <mergeCell ref="P9:Q9"/>
    <mergeCell ref="P8:Q8"/>
    <mergeCell ref="P7:Q7"/>
    <mergeCell ref="P6:Q6"/>
    <mergeCell ref="A23:A29"/>
    <mergeCell ref="A30:B30"/>
    <mergeCell ref="G8:G9"/>
    <mergeCell ref="H8:I9"/>
    <mergeCell ref="G3:H3"/>
    <mergeCell ref="C5:D5"/>
    <mergeCell ref="G5:I5"/>
    <mergeCell ref="G6:G7"/>
    <mergeCell ref="H6:I7"/>
  </mergeCells>
  <dataValidations count="3">
    <dataValidation type="list" allowBlank="1" showErrorMessage="1" sqref="C3" xr:uid="{C6190485-69A5-49E8-8963-D911016B09D1}">
      <formula1>$J$32:$J$218</formula1>
    </dataValidation>
    <dataValidation type="list" allowBlank="1" showErrorMessage="1" sqref="C23:C28 C13:C18" xr:uid="{65A05C45-6198-4CC7-8D80-E76B2070B6DC}">
      <formula1>$X$32:$X$102</formula1>
    </dataValidation>
    <dataValidation type="list" allowBlank="1" showErrorMessage="1" sqref="H4" xr:uid="{AB74C05F-CD92-4E8E-B3BA-60A5ECE8D4B4}">
      <formula1>$B$99:$B$106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c808d36-874f-4b27-aec2-2fd649817929">
      <UserInfo>
        <DisplayName/>
        <AccountId xsi:nil="true"/>
        <AccountType/>
      </UserInfo>
    </SharedWithUsers>
    <TaxCatchAll xmlns="dc808d36-874f-4b27-aec2-2fd649817929" xsi:nil="true"/>
    <MediaLengthInSeconds xmlns="f2466082-b6bf-4153-98c3-3c41e85fda18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9" ma:contentTypeDescription="Create a new document." ma:contentTypeScope="" ma:versionID="a5577d833b9f28dcc6be37a04859b9a8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ae50cb7862d574a2d96b6910b4abdc85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E7B32A-376E-41F5-8BAD-5BA7D75DB916}">
  <ds:schemaRefs>
    <ds:schemaRef ds:uri="http://schemas.microsoft.com/office/2006/metadata/properties"/>
    <ds:schemaRef ds:uri="http://schemas.microsoft.com/office/infopath/2007/PartnerControls"/>
    <ds:schemaRef ds:uri="dc808d36-874f-4b27-aec2-2fd649817929"/>
    <ds:schemaRef ds:uri="1a9bbbe1-7cae-48c1-93ed-4785e360835f"/>
    <ds:schemaRef ds:uri="f2466082-b6bf-4153-98c3-3c41e85fda18"/>
  </ds:schemaRefs>
</ds:datastoreItem>
</file>

<file path=customXml/itemProps2.xml><?xml version="1.0" encoding="utf-8"?>
<ds:datastoreItem xmlns:ds="http://schemas.openxmlformats.org/officeDocument/2006/customXml" ds:itemID="{4CAF440B-8261-42F6-8AD3-FF039F8D09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466082-b6bf-4153-98c3-3c41e85fda18"/>
    <ds:schemaRef ds:uri="dc808d36-874f-4b27-aec2-2fd6498179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16A195-F478-4256-96CF-892E1E481714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E694317B-D0E0-4282-8BFC-94619C138F2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d5b36e7-01ee-4ebc-867e-e03cfa0d4697}" enabled="0" method="" siteId="{ed5b36e7-01ee-4ebc-867e-e03cfa0d46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USDA Budget Summary</vt:lpstr>
      <vt:lpstr>Program Budget</vt:lpstr>
      <vt:lpstr>FEREMA Sub Budget</vt:lpstr>
      <vt:lpstr>Personnel &amp; LOE Summary</vt:lpstr>
      <vt:lpstr>LRP Budget Summary</vt:lpstr>
      <vt:lpstr>LOE Breakdown by Year</vt:lpstr>
      <vt:lpstr>Indirect Calculations</vt:lpstr>
      <vt:lpstr>Commodity Calculator</vt:lpstr>
      <vt:lpstr>'FEREMA Sub Budget'!Print_Area</vt:lpstr>
      <vt:lpstr>'Indirect Calculations'!Print_Area</vt:lpstr>
      <vt:lpstr>'Program Budget'!Print_Area</vt:lpstr>
      <vt:lpstr>'USDA Budget Summary'!Print_Area</vt:lpstr>
      <vt:lpstr>'FEREMA Sub Budget'!Print_Titles</vt:lpstr>
      <vt:lpstr>'FEREMA Sub Budget'!testt</vt:lpstr>
    </vt:vector>
  </TitlesOfParts>
  <Manager/>
  <Company>Compañeros de las Americas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Danielle Martin</dc:creator>
  <cp:keywords>Food For Development</cp:keywords>
  <dc:description/>
  <cp:lastModifiedBy>Danielle Martin</cp:lastModifiedBy>
  <cp:revision/>
  <dcterms:created xsi:type="dcterms:W3CDTF">2007-06-26T13:33:20Z</dcterms:created>
  <dcterms:modified xsi:type="dcterms:W3CDTF">2026-05-28T20:16:50Z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7412600</vt:r8>
  </property>
  <property fmtid="{D5CDD505-2E9C-101B-9397-08002B2CF9AE}" pid="3" name="ContentTypeId">
    <vt:lpwstr>0x0101003206C8355D678A459F2EF8957171B231</vt:lpwstr>
  </property>
  <property fmtid="{D5CDD505-2E9C-101B-9397-08002B2CF9AE}" pid="4" name="WorkbookGuid">
    <vt:lpwstr>f9165d3f-2e95-4cb0-b0d6-1503465abe40</vt:lpwstr>
  </property>
  <property fmtid="{D5CDD505-2E9C-101B-9397-08002B2CF9AE}" pid="5" name="TaxKeyword">
    <vt:lpwstr>81;#Food For Development|98747836-2529-4530-bb6a-d74dee1d6b61</vt:lpwstr>
  </property>
  <property fmtid="{D5CDD505-2E9C-101B-9397-08002B2CF9AE}" pid="6" name="Tags">
    <vt:lpwstr/>
  </property>
  <property fmtid="{D5CDD505-2E9C-101B-9397-08002B2CF9AE}" pid="7" name="MediaServiceImageTags">
    <vt:lpwstr/>
  </property>
  <property fmtid="{D5CDD505-2E9C-101B-9397-08002B2CF9AE}" pid="8" name="xd_Signature">
    <vt:bool>false</vt:bool>
  </property>
  <property fmtid="{D5CDD505-2E9C-101B-9397-08002B2CF9AE}" pid="9" name="xd_ProgID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</Properties>
</file>