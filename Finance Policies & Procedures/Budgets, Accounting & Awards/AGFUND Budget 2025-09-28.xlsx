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AGFUND100/F&amp;A/Budgets/"/>
    </mc:Choice>
  </mc:AlternateContent>
  <xr:revisionPtr revIDLastSave="64" documentId="8_{1EBC58C9-99AC-4A49-88B7-51EB065DE1E4}" xr6:coauthVersionLast="47" xr6:coauthVersionMax="47" xr10:uidLastSave="{FB59AB3C-B74C-405D-94E1-8215F9A67106}"/>
  <bookViews>
    <workbookView xWindow="-96" yWindow="-96" windowWidth="23232" windowHeight="12552" tabRatio="792" activeTab="1" xr2:uid="{00000000-000D-0000-FFFF-FFFF00000000}"/>
  </bookViews>
  <sheets>
    <sheet name="2. Summary Budget" sheetId="3" r:id="rId1"/>
    <sheet name="3. Detailed Budget" sheetId="9" r:id="rId2"/>
  </sheets>
  <definedNames>
    <definedName name="_xlnm.Print_Area" localSheetId="0">'2. Summary Budget'!$A$1:$D$18</definedName>
    <definedName name="_xlnm.Print_Area" localSheetId="1">'3. Detailed Budget'!$C$1:$J$43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8" i="9" l="1"/>
  <c r="J18" i="9"/>
  <c r="J28" i="9"/>
  <c r="J29" i="9"/>
  <c r="H39" i="9"/>
  <c r="J30" i="9"/>
  <c r="J32" i="9" s="1"/>
  <c r="D13" i="3" s="1"/>
  <c r="J20" i="9"/>
  <c r="D14" i="3"/>
  <c r="D11" i="3"/>
  <c r="F17" i="9"/>
  <c r="F16" i="9"/>
  <c r="J16" i="9" s="1"/>
  <c r="F15" i="9"/>
  <c r="H15" i="9"/>
  <c r="J15" i="9" s="1"/>
  <c r="J31" i="9"/>
  <c r="J24" i="9"/>
  <c r="H8" i="9"/>
  <c r="J8" i="9" s="1"/>
  <c r="J9" i="9" s="1"/>
  <c r="J37" i="9"/>
  <c r="J35" i="9"/>
  <c r="J39" i="9"/>
  <c r="J36" i="9"/>
  <c r="J25" i="9"/>
  <c r="D12" i="3" s="1"/>
  <c r="G17" i="9"/>
  <c r="J17" i="9" s="1"/>
  <c r="J11" i="9" l="1"/>
  <c r="J12" i="9" s="1"/>
  <c r="D9" i="3" s="1"/>
  <c r="D8" i="3"/>
  <c r="J40" i="9"/>
  <c r="D15" i="3" s="1"/>
  <c r="J21" i="9"/>
  <c r="D10" i="3" l="1"/>
  <c r="D16" i="3" s="1"/>
  <c r="J41" i="9"/>
  <c r="J42" i="9" l="1"/>
  <c r="D17" i="3" s="1"/>
  <c r="D18" i="3" s="1"/>
  <c r="J43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tc={55FC4D95-B60F-4B2C-A237-09F83952C5B8}</author>
  </authors>
  <commentList>
    <comment ref="F15" authorId="0" shapeId="0" xr:uid="{55FC4D95-B60F-4B2C-A237-09F83952C5B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driver and Mounaya - 4 trips</t>
      </text>
    </comment>
  </commentList>
</comments>
</file>

<file path=xl/sharedStrings.xml><?xml version="1.0" encoding="utf-8"?>
<sst xmlns="http://schemas.openxmlformats.org/spreadsheetml/2006/main" count="160" uniqueCount="121">
  <si>
    <t>Partners of the Americas</t>
  </si>
  <si>
    <t xml:space="preserve">        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</si>
  <si>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</si>
  <si>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</si>
  <si>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</si>
  <si>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</si>
  <si>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</si>
  <si>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</si>
  <si>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</si>
  <si>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</si>
  <si>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</si>
  <si>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</si>
  <si>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</si>
  <si>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</si>
  <si>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</si>
  <si>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</si>
  <si>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</si>
  <si>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</si>
  <si>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</si>
  <si>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</si>
  <si>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</si>
  <si>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</si>
  <si>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</si>
  <si>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</si>
  <si>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Project Title</t>
  </si>
  <si>
    <t>Project duration</t>
  </si>
  <si>
    <t>Unit Cost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</si>
  <si>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</si>
  <si>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</si>
  <si>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</si>
  <si>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</si>
  <si>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</si>
  <si>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</si>
  <si>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</t>
    </r>
    <r>
      <rPr>
        <b/>
        <sz val="8"/>
        <rFont val="Times New Roman"/>
        <family val="1"/>
      </rPr>
      <t>Personnel</t>
    </r>
    <r>
      <rPr>
        <sz val="8"/>
        <rFont val="Times New Roman"/>
        <family val="1"/>
      </rPr>
      <t xml:space="preserve"> ONLY</t>
    </r>
  </si>
  <si>
    <t>A.1</t>
  </si>
  <si>
    <t>US-Based personnel</t>
  </si>
  <si>
    <t>A.1.1</t>
  </si>
  <si>
    <t>months</t>
  </si>
  <si>
    <t>Subtotal Personnel</t>
  </si>
  <si>
    <t>B.1</t>
  </si>
  <si>
    <t>US-Based Personnel Fringe Benefits</t>
  </si>
  <si>
    <t>Subtotal Fringe Benefits</t>
  </si>
  <si>
    <t># trips/or days</t>
  </si>
  <si>
    <t>unit Cost</t>
  </si>
  <si>
    <t>C.1</t>
  </si>
  <si>
    <t>Staff Travel</t>
  </si>
  <si>
    <t>C.1.1</t>
  </si>
  <si>
    <t>C.1.2</t>
  </si>
  <si>
    <t>C.1.3</t>
  </si>
  <si>
    <t>Domestic M&amp;IE</t>
  </si>
  <si>
    <t>Domestic Lodging</t>
  </si>
  <si>
    <t>Subtotal Travel</t>
  </si>
  <si>
    <t>unit</t>
  </si>
  <si>
    <t># units</t>
  </si>
  <si>
    <t>unit cost</t>
  </si>
  <si>
    <t>E.1</t>
  </si>
  <si>
    <t>Subtotal Supplies</t>
  </si>
  <si>
    <t>F.1</t>
  </si>
  <si>
    <t>F.1.1</t>
  </si>
  <si>
    <t>Consultants and Contracts</t>
  </si>
  <si>
    <t>Subtotal Contractual</t>
  </si>
  <si>
    <t>H.1</t>
  </si>
  <si>
    <t>H.4</t>
  </si>
  <si>
    <t>Platform Subscriptions</t>
  </si>
  <si>
    <t>Subtotal Other Direct Costs</t>
  </si>
  <si>
    <t>Total Direct Costs</t>
  </si>
  <si>
    <t>F.1.2</t>
  </si>
  <si>
    <t>Senior Director</t>
  </si>
  <si>
    <t>Summary Cost Amendment Budget</t>
  </si>
  <si>
    <t>AGFUND100</t>
  </si>
  <si>
    <t xml:space="preserve">4 Months (October 1, 2025 - January 31, 2026) </t>
  </si>
  <si>
    <r>
      <t xml:space="preserve">Equipment  </t>
    </r>
    <r>
      <rPr>
        <b/>
        <sz val="8"/>
        <rFont val="Times New Roman"/>
        <family val="1"/>
      </rPr>
      <t>(&gt; $5,000 per unit )</t>
    </r>
  </si>
  <si>
    <r>
      <t xml:space="preserve">Supplies </t>
    </r>
    <r>
      <rPr>
        <b/>
        <sz val="8"/>
        <rFont val="Times New Roman"/>
        <family val="1"/>
      </rPr>
      <t xml:space="preserve"> (&lt; $5,000 per unit)</t>
    </r>
  </si>
  <si>
    <r>
      <t xml:space="preserve">Contractual </t>
    </r>
    <r>
      <rPr>
        <b/>
        <sz val="8"/>
        <rFont val="Times New Roman"/>
        <family val="1"/>
      </rPr>
      <t>(Subrecipients, Subcontracts, and Consultant fees)</t>
    </r>
  </si>
  <si>
    <r>
      <t>Indirect Costs</t>
    </r>
    <r>
      <rPr>
        <b/>
        <sz val="8"/>
        <rFont val="Times New Roman"/>
        <family val="1"/>
      </rPr>
      <t xml:space="preserve"> </t>
    </r>
  </si>
  <si>
    <t xml:space="preserve">None </t>
  </si>
  <si>
    <t>contract</t>
  </si>
  <si>
    <t>F.1.3</t>
  </si>
  <si>
    <t>CAWTAR Contract</t>
  </si>
  <si>
    <t># trips</t>
  </si>
  <si>
    <t>Domestic Local Transportation (Fuel/Maintenance)</t>
  </si>
  <si>
    <t>H.2</t>
  </si>
  <si>
    <t>H.3</t>
  </si>
  <si>
    <t>Budget</t>
  </si>
  <si>
    <t>Bank Fees</t>
  </si>
  <si>
    <t>Meals and Transportation for Trainings</t>
  </si>
  <si>
    <t>C.2</t>
  </si>
  <si>
    <t>Travel for Crop Insurance Expert</t>
  </si>
  <si>
    <t>C.2.1</t>
  </si>
  <si>
    <t>Flight for Crop Insurance Expert (Rwanda to NKC)</t>
  </si>
  <si>
    <t xml:space="preserve">Project Director - Rym </t>
  </si>
  <si>
    <t>F.1.4</t>
  </si>
  <si>
    <t>Driver - Bah</t>
  </si>
  <si>
    <t>E-Commerce Platform</t>
  </si>
  <si>
    <t xml:space="preserve">Program Coordinator - Mounaya </t>
  </si>
  <si>
    <t>C.1.4</t>
  </si>
  <si>
    <t>Rental Car for Trips</t>
  </si>
  <si>
    <t>H.5</t>
  </si>
  <si>
    <t>Visual/Printing Materials</t>
  </si>
  <si>
    <t>Grant: AGFUND100</t>
  </si>
  <si>
    <t>IDC</t>
  </si>
  <si>
    <t>86000 (Transport)/ 87000 (Training)</t>
  </si>
  <si>
    <t>TRAIN</t>
  </si>
  <si>
    <t>BANK FEE</t>
  </si>
  <si>
    <t>90900</t>
  </si>
  <si>
    <t>82420 (Program Supplies)/ 85300 (Printing)</t>
  </si>
  <si>
    <t>SUBSCRIPT</t>
  </si>
  <si>
    <t>MATL</t>
  </si>
  <si>
    <t>PLATFORM</t>
  </si>
  <si>
    <t>CAWTAR</t>
  </si>
  <si>
    <t>CONSULT</t>
  </si>
  <si>
    <t>DRIVER</t>
  </si>
  <si>
    <t>PROGCOORD</t>
  </si>
  <si>
    <t>86000</t>
  </si>
  <si>
    <t>86050</t>
  </si>
  <si>
    <t>86030</t>
  </si>
  <si>
    <t>86040</t>
  </si>
  <si>
    <t>STFTRAVEL</t>
  </si>
  <si>
    <t>STFTRVCTS</t>
  </si>
  <si>
    <t>LOCAL TRVL</t>
  </si>
  <si>
    <t>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</si>
</sst>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Times New Roman"/>
      <family val="1"/>
    </font>
    <font>
      <i/>
      <sz val="11"/>
      <name val="Calibri"/>
      <family val="2"/>
      <scheme val="minor"/>
    </font>
    <font>
      <b/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7" borderId="0" applyNumberFormat="0" applyBorder="0" applyAlignment="0" applyProtection="0"/>
    <xf numFmtId="43" fontId="11" fillId="0" borderId="0" applyFont="0" applyFill="0" applyBorder="0" applyAlignment="0" applyProtection="0"/>
  </cellStyleXfs>
  <cellXfs count="153">
    <xf numFmtId="0" fontId="0" fillId="0" borderId="0" xfId="0"/>
    <xf numFmtId="49" fontId="4" fillId="0" borderId="0" xfId="0" applyNumberFormat="1" applyFont="1"/>
    <xf numFmtId="0" fontId="5" fillId="4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9" fontId="1" fillId="4" borderId="10" xfId="0" applyNumberFormat="1" applyFont="1" applyFill="1" applyBorder="1" applyAlignment="1">
      <alignment vertical="center"/>
    </xf>
    <xf numFmtId="0" fontId="5" fillId="4" borderId="1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49" fontId="1" fillId="4" borderId="12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vertical="center"/>
    </xf>
    <xf numFmtId="49" fontId="1" fillId="4" borderId="11" xfId="0" applyNumberFormat="1" applyFont="1" applyFill="1" applyBorder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4" borderId="6" xfId="0" applyNumberFormat="1" applyFont="1" applyFill="1" applyBorder="1" applyAlignment="1">
      <alignment vertical="center"/>
    </xf>
    <xf numFmtId="0" fontId="2" fillId="5" borderId="6" xfId="0" applyFont="1" applyFill="1" applyBorder="1" applyAlignment="1">
      <alignment vertical="center" wrapText="1"/>
    </xf>
    <xf numFmtId="0" fontId="1" fillId="0" borderId="0" xfId="0" applyFont="1"/>
    <xf numFmtId="49" fontId="6" fillId="5" borderId="2" xfId="0" applyNumberFormat="1" applyFont="1" applyFill="1" applyBorder="1" applyAlignment="1">
      <alignment vertical="center"/>
    </xf>
    <xf numFmtId="49" fontId="6" fillId="5" borderId="6" xfId="0" applyNumberFormat="1" applyFont="1" applyFill="1" applyBorder="1" applyAlignment="1">
      <alignment vertical="center"/>
    </xf>
    <xf numFmtId="0" fontId="8" fillId="0" borderId="0" xfId="0" applyFont="1"/>
    <xf numFmtId="0" fontId="5" fillId="4" borderId="3" xfId="0" applyFont="1" applyFill="1" applyBorder="1" applyAlignment="1">
      <alignment vertical="center" wrapText="1"/>
    </xf>
    <xf numFmtId="0" fontId="10" fillId="0" borderId="0" xfId="0" applyFont="1"/>
    <xf numFmtId="0" fontId="12" fillId="0" borderId="0" xfId="0" applyFont="1"/>
    <xf numFmtId="3" fontId="2" fillId="5" borderId="3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49" fontId="3" fillId="0" borderId="0" xfId="0" applyNumberFormat="1" applyFont="1"/>
    <xf numFmtId="0" fontId="0" fillId="0" borderId="0" xfId="0" applyAlignment="1">
      <alignment horizontal="right"/>
    </xf>
    <xf numFmtId="0" fontId="18" fillId="4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6" fontId="0" fillId="0" borderId="0" xfId="0" applyNumberFormat="1"/>
    <xf numFmtId="4" fontId="0" fillId="0" borderId="0" xfId="0" applyNumberFormat="1"/>
    <xf numFmtId="44" fontId="12" fillId="0" borderId="0" xfId="0" applyNumberFormat="1" applyFont="1"/>
    <xf numFmtId="44" fontId="17" fillId="0" borderId="0" xfId="0" applyNumberFormat="1" applyFont="1" applyAlignment="1">
      <alignment horizontal="left" wrapText="1"/>
    </xf>
    <xf numFmtId="44" fontId="22" fillId="0" borderId="0" xfId="0" applyNumberFormat="1" applyFont="1" applyAlignment="1">
      <alignment horizontal="left" wrapText="1"/>
    </xf>
    <xf numFmtId="4" fontId="24" fillId="4" borderId="1" xfId="0" applyNumberFormat="1" applyFont="1" applyFill="1" applyBorder="1" applyAlignment="1">
      <alignment wrapText="1"/>
    </xf>
    <xf numFmtId="0" fontId="20" fillId="0" borderId="0" xfId="0" applyFont="1"/>
    <xf numFmtId="4" fontId="13" fillId="3" borderId="1" xfId="0" applyNumberFormat="1" applyFont="1" applyFill="1" applyBorder="1" applyAlignment="1">
      <alignment horizontal="right" wrapText="1"/>
    </xf>
    <xf numFmtId="4" fontId="24" fillId="3" borderId="1" xfId="0" applyNumberFormat="1" applyFont="1" applyFill="1" applyBorder="1" applyAlignment="1">
      <alignment wrapText="1"/>
    </xf>
    <xf numFmtId="0" fontId="13" fillId="0" borderId="6" xfId="0" applyFont="1" applyBorder="1" applyAlignment="1">
      <alignment vertical="center" wrapText="1"/>
    </xf>
    <xf numFmtId="49" fontId="13" fillId="0" borderId="2" xfId="0" applyNumberFormat="1" applyFont="1" applyBorder="1"/>
    <xf numFmtId="49" fontId="15" fillId="0" borderId="6" xfId="0" applyNumberFormat="1" applyFont="1" applyBorder="1"/>
    <xf numFmtId="0" fontId="13" fillId="0" borderId="3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49" fontId="28" fillId="0" borderId="0" xfId="0" applyNumberFormat="1" applyFont="1" applyAlignment="1">
      <alignment horizontal="center"/>
    </xf>
    <xf numFmtId="0" fontId="24" fillId="4" borderId="1" xfId="0" applyFont="1" applyFill="1" applyBorder="1" applyAlignment="1">
      <alignment horizontal="center" vertical="center" wrapText="1"/>
    </xf>
    <xf numFmtId="4" fontId="24" fillId="3" borderId="4" xfId="0" applyNumberFormat="1" applyFont="1" applyFill="1" applyBorder="1" applyAlignment="1">
      <alignment wrapText="1"/>
    </xf>
    <xf numFmtId="4" fontId="18" fillId="4" borderId="6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/>
    </xf>
    <xf numFmtId="3" fontId="20" fillId="0" borderId="0" xfId="0" applyNumberFormat="1" applyFont="1"/>
    <xf numFmtId="3" fontId="24" fillId="3" borderId="5" xfId="0" applyNumberFormat="1" applyFont="1" applyFill="1" applyBorder="1" applyAlignment="1">
      <alignment horizontal="right" wrapText="1"/>
    </xf>
    <xf numFmtId="3" fontId="24" fillId="4" borderId="1" xfId="0" applyNumberFormat="1" applyFont="1" applyFill="1" applyBorder="1" applyAlignment="1">
      <alignment wrapText="1"/>
    </xf>
    <xf numFmtId="3" fontId="24" fillId="3" borderId="1" xfId="0" applyNumberFormat="1" applyFont="1" applyFill="1" applyBorder="1" applyAlignment="1">
      <alignment horizontal="right" wrapText="1"/>
    </xf>
    <xf numFmtId="164" fontId="24" fillId="3" borderId="1" xfId="4" applyNumberFormat="1" applyFont="1" applyFill="1" applyBorder="1" applyAlignment="1">
      <alignment horizontal="right" wrapText="1"/>
    </xf>
    <xf numFmtId="164" fontId="13" fillId="0" borderId="4" xfId="4" applyNumberFormat="1" applyFont="1" applyFill="1" applyBorder="1" applyAlignment="1">
      <alignment horizontal="center"/>
    </xf>
    <xf numFmtId="164" fontId="13" fillId="0" borderId="1" xfId="4" applyNumberFormat="1" applyFont="1" applyFill="1" applyBorder="1" applyAlignment="1">
      <alignment horizontal="center"/>
    </xf>
    <xf numFmtId="164" fontId="24" fillId="3" borderId="1" xfId="4" applyNumberFormat="1" applyFont="1" applyFill="1" applyBorder="1" applyAlignment="1">
      <alignment wrapText="1"/>
    </xf>
    <xf numFmtId="164" fontId="13" fillId="0" borderId="4" xfId="4" applyNumberFormat="1" applyFont="1" applyFill="1" applyBorder="1"/>
    <xf numFmtId="164" fontId="13" fillId="0" borderId="1" xfId="4" applyNumberFormat="1" applyFont="1" applyFill="1" applyBorder="1" applyAlignment="1">
      <alignment horizontal="center" vertical="center"/>
    </xf>
    <xf numFmtId="164" fontId="24" fillId="4" borderId="3" xfId="4" applyNumberFormat="1" applyFont="1" applyFill="1" applyBorder="1" applyAlignment="1">
      <alignment horizontal="right" vertical="center" wrapText="1"/>
    </xf>
    <xf numFmtId="164" fontId="24" fillId="4" borderId="1" xfId="4" applyNumberFormat="1" applyFont="1" applyFill="1" applyBorder="1" applyAlignment="1">
      <alignment vertical="center" wrapText="1"/>
    </xf>
    <xf numFmtId="164" fontId="29" fillId="5" borderId="3" xfId="4" applyNumberFormat="1" applyFont="1" applyFill="1" applyBorder="1" applyAlignment="1">
      <alignment horizontal="right" vertical="center" wrapText="1"/>
    </xf>
    <xf numFmtId="3" fontId="9" fillId="6" borderId="1" xfId="0" applyNumberFormat="1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right" wrapText="1"/>
    </xf>
    <xf numFmtId="49" fontId="30" fillId="0" borderId="0" xfId="0" applyNumberFormat="1" applyFont="1" applyAlignment="1">
      <alignment horizontal="center"/>
    </xf>
    <xf numFmtId="0" fontId="19" fillId="5" borderId="4" xfId="0" applyFont="1" applyFill="1" applyBorder="1" applyAlignment="1">
      <alignment horizontal="center" vertical="center" wrapText="1"/>
    </xf>
    <xf numFmtId="49" fontId="29" fillId="4" borderId="2" xfId="0" applyNumberFormat="1" applyFont="1" applyFill="1" applyBorder="1" applyAlignment="1">
      <alignment vertical="center"/>
    </xf>
    <xf numFmtId="49" fontId="20" fillId="4" borderId="6" xfId="0" applyNumberFormat="1" applyFont="1" applyFill="1" applyBorder="1" applyAlignment="1">
      <alignment vertical="center"/>
    </xf>
    <xf numFmtId="0" fontId="29" fillId="4" borderId="6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24" fillId="3" borderId="11" xfId="0" applyFont="1" applyFill="1" applyBorder="1" applyAlignment="1">
      <alignment wrapText="1"/>
    </xf>
    <xf numFmtId="0" fontId="24" fillId="3" borderId="11" xfId="0" applyFont="1" applyFill="1" applyBorder="1" applyAlignment="1">
      <alignment horizontal="right" wrapText="1"/>
    </xf>
    <xf numFmtId="4" fontId="24" fillId="3" borderId="11" xfId="0" applyNumberFormat="1" applyFont="1" applyFill="1" applyBorder="1" applyAlignment="1">
      <alignment wrapText="1"/>
    </xf>
    <xf numFmtId="0" fontId="24" fillId="0" borderId="5" xfId="0" applyFont="1" applyBorder="1" applyAlignment="1">
      <alignment wrapText="1"/>
    </xf>
    <xf numFmtId="0" fontId="24" fillId="0" borderId="5" xfId="0" applyFont="1" applyBorder="1" applyAlignment="1">
      <alignment horizontal="right" wrapText="1"/>
    </xf>
    <xf numFmtId="4" fontId="24" fillId="0" borderId="5" xfId="0" applyNumberFormat="1" applyFont="1" applyBorder="1" applyAlignment="1">
      <alignment wrapText="1"/>
    </xf>
    <xf numFmtId="10" fontId="13" fillId="0" borderId="5" xfId="2" applyNumberFormat="1" applyFont="1" applyFill="1" applyBorder="1" applyAlignment="1">
      <alignment horizontal="right" wrapText="1"/>
    </xf>
    <xf numFmtId="0" fontId="24" fillId="3" borderId="6" xfId="0" applyFont="1" applyFill="1" applyBorder="1" applyAlignment="1">
      <alignment wrapText="1"/>
    </xf>
    <xf numFmtId="0" fontId="24" fillId="3" borderId="6" xfId="0" applyFont="1" applyFill="1" applyBorder="1" applyAlignment="1">
      <alignment horizontal="right" wrapText="1"/>
    </xf>
    <xf numFmtId="4" fontId="24" fillId="3" borderId="6" xfId="0" applyNumberFormat="1" applyFont="1" applyFill="1" applyBorder="1" applyAlignment="1">
      <alignment wrapText="1"/>
    </xf>
    <xf numFmtId="164" fontId="13" fillId="0" borderId="5" xfId="4" applyNumberFormat="1" applyFont="1" applyFill="1" applyBorder="1" applyAlignment="1">
      <alignment wrapText="1"/>
    </xf>
    <xf numFmtId="49" fontId="13" fillId="0" borderId="2" xfId="0" applyNumberFormat="1" applyFont="1" applyBorder="1" applyAlignment="1">
      <alignment vertical="center"/>
    </xf>
    <xf numFmtId="49" fontId="15" fillId="0" borderId="6" xfId="0" applyNumberFormat="1" applyFont="1" applyBorder="1" applyAlignment="1">
      <alignment vertical="center"/>
    </xf>
    <xf numFmtId="0" fontId="24" fillId="3" borderId="6" xfId="0" applyFont="1" applyFill="1" applyBorder="1"/>
    <xf numFmtId="164" fontId="24" fillId="3" borderId="6" xfId="4" applyNumberFormat="1" applyFont="1" applyFill="1" applyBorder="1"/>
    <xf numFmtId="49" fontId="29" fillId="4" borderId="12" xfId="0" applyNumberFormat="1" applyFont="1" applyFill="1" applyBorder="1" applyAlignment="1">
      <alignment vertical="center"/>
    </xf>
    <xf numFmtId="49" fontId="26" fillId="4" borderId="0" xfId="0" applyNumberFormat="1" applyFont="1" applyFill="1" applyAlignment="1">
      <alignment vertical="center"/>
    </xf>
    <xf numFmtId="0" fontId="29" fillId="4" borderId="0" xfId="0" applyFont="1" applyFill="1" applyAlignment="1">
      <alignment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4" fontId="18" fillId="4" borderId="7" xfId="0" applyNumberFormat="1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49" fontId="26" fillId="4" borderId="6" xfId="0" applyNumberFormat="1" applyFont="1" applyFill="1" applyBorder="1" applyAlignment="1">
      <alignment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3" fillId="3" borderId="2" xfId="0" applyFont="1" applyFill="1" applyBorder="1" applyAlignment="1">
      <alignment horizontal="left"/>
    </xf>
    <xf numFmtId="164" fontId="18" fillId="4" borderId="6" xfId="4" applyNumberFormat="1" applyFont="1" applyFill="1" applyBorder="1" applyAlignment="1">
      <alignment horizontal="center" vertical="center" wrapText="1"/>
    </xf>
    <xf numFmtId="49" fontId="29" fillId="5" borderId="2" xfId="0" applyNumberFormat="1" applyFont="1" applyFill="1" applyBorder="1" applyAlignment="1">
      <alignment vertical="center"/>
    </xf>
    <xf numFmtId="49" fontId="26" fillId="5" borderId="6" xfId="0" applyNumberFormat="1" applyFont="1" applyFill="1" applyBorder="1" applyAlignment="1">
      <alignment vertical="center"/>
    </xf>
    <xf numFmtId="0" fontId="25" fillId="5" borderId="6" xfId="0" applyFont="1" applyFill="1" applyBorder="1" applyAlignment="1">
      <alignment vertical="center" wrapText="1"/>
    </xf>
    <xf numFmtId="0" fontId="18" fillId="5" borderId="6" xfId="0" applyFont="1" applyFill="1" applyBorder="1" applyAlignment="1">
      <alignment horizontal="left" vertical="center"/>
    </xf>
    <xf numFmtId="0" fontId="18" fillId="5" borderId="6" xfId="0" applyFont="1" applyFill="1" applyBorder="1" applyAlignment="1">
      <alignment horizontal="center" vertical="center" wrapText="1"/>
    </xf>
    <xf numFmtId="4" fontId="18" fillId="5" borderId="6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 indent="1"/>
    </xf>
    <xf numFmtId="0" fontId="14" fillId="3" borderId="6" xfId="0" applyFont="1" applyFill="1" applyBorder="1" applyAlignment="1">
      <alignment horizontal="left"/>
    </xf>
    <xf numFmtId="0" fontId="14" fillId="3" borderId="3" xfId="0" applyFont="1" applyFill="1" applyBorder="1"/>
    <xf numFmtId="0" fontId="13" fillId="3" borderId="8" xfId="0" applyFont="1" applyFill="1" applyBorder="1"/>
    <xf numFmtId="44" fontId="13" fillId="3" borderId="4" xfId="1" applyFont="1" applyFill="1" applyBorder="1"/>
    <xf numFmtId="0" fontId="13" fillId="3" borderId="4" xfId="0" applyFont="1" applyFill="1" applyBorder="1"/>
    <xf numFmtId="49" fontId="13" fillId="3" borderId="2" xfId="0" applyNumberFormat="1" applyFont="1" applyFill="1" applyBorder="1"/>
    <xf numFmtId="49" fontId="15" fillId="3" borderId="6" xfId="0" applyNumberFormat="1" applyFont="1" applyFill="1" applyBorder="1"/>
    <xf numFmtId="0" fontId="14" fillId="3" borderId="6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3" borderId="6" xfId="0" applyFont="1" applyFill="1" applyBorder="1" applyAlignment="1">
      <alignment horizontal="right" wrapText="1"/>
    </xf>
    <xf numFmtId="4" fontId="13" fillId="3" borderId="6" xfId="0" applyNumberFormat="1" applyFont="1" applyFill="1" applyBorder="1" applyAlignment="1">
      <alignment wrapText="1"/>
    </xf>
    <xf numFmtId="0" fontId="16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49" fontId="30" fillId="0" borderId="0" xfId="0" applyNumberFormat="1" applyFont="1" applyAlignment="1">
      <alignment horizontal="center"/>
    </xf>
    <xf numFmtId="49" fontId="28" fillId="0" borderId="0" xfId="0" applyNumberFormat="1" applyFont="1" applyAlignment="1">
      <alignment horizontal="center"/>
    </xf>
    <xf numFmtId="0" fontId="19" fillId="5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49" fontId="13" fillId="3" borderId="13" xfId="0" applyNumberFormat="1" applyFont="1" applyFill="1" applyBorder="1"/>
    <xf numFmtId="0" fontId="23" fillId="2" borderId="1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10" fontId="29" fillId="4" borderId="6" xfId="0" applyNumberFormat="1" applyFont="1" applyFill="1" applyBorder="1" applyAlignment="1">
      <alignment horizontal="left" vertical="center" wrapText="1"/>
    </xf>
    <xf numFmtId="0" fontId="29" fillId="4" borderId="6" xfId="0" applyFont="1" applyFill="1" applyBorder="1" applyAlignment="1">
      <alignment horizontal="left" vertical="center" wrapText="1"/>
    </xf>
    <xf numFmtId="49" fontId="13" fillId="0" borderId="2" xfId="0" applyNumberFormat="1" applyFont="1" applyBorder="1" applyAlignment="1">
      <alignment vertical="center"/>
    </xf>
    <xf numFmtId="49" fontId="13" fillId="0" borderId="6" xfId="0" applyNumberFormat="1" applyFont="1" applyBorder="1" applyAlignment="1">
      <alignment vertical="center"/>
    </xf>
    <xf numFmtId="0" fontId="29" fillId="4" borderId="11" xfId="0" applyFont="1" applyFill="1" applyBorder="1" applyAlignment="1">
      <alignment horizontal="left" vertical="center" wrapText="1"/>
    </xf>
    <xf numFmtId="49" fontId="13" fillId="0" borderId="2" xfId="0" applyNumberFormat="1" applyFont="1" applyBorder="1" applyAlignment="1">
      <alignment horizontal="left" vertical="center"/>
    </xf>
    <xf numFmtId="0" fontId="13" fillId="3" borderId="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/>
    </xf>
    <xf numFmtId="0" fontId="13" fillId="3" borderId="6" xfId="0" applyFont="1" applyFill="1" applyBorder="1" applyAlignment="1">
      <alignment horizontal="left"/>
    </xf>
    <xf numFmtId="49" fontId="29" fillId="4" borderId="2" xfId="0" applyNumberFormat="1" applyFont="1" applyFill="1" applyBorder="1" applyAlignment="1">
      <alignment horizontal="left" vertical="center"/>
    </xf>
    <xf numFmtId="49" fontId="29" fillId="4" borderId="3" xfId="0" applyNumberFormat="1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wrapText="1"/>
    </xf>
    <xf numFmtId="49" fontId="31" fillId="0" borderId="0" xfId="0" applyNumberFormat="1" applyFont="1" applyAlignment="1">
      <alignment horizontal="left"/>
    </xf>
    <xf numFmtId="49" fontId="13" fillId="0" borderId="2" xfId="0" applyNumberFormat="1" applyFont="1" applyBorder="1" applyAlignment="1">
      <alignment vertical="center" wrapText="1"/>
    </xf>
    <xf numFmtId="0" fontId="13" fillId="0" borderId="0" xfId="0" applyFont="1" applyAlignment="1">
      <alignment wrapText="1"/>
    </xf>
  </cellXfs>
  <cellStyles count="5">
    <cellStyle name="60% - Accent3 2" xfId="3" xr:uid="{00000000-0005-0000-0000-000000000000}"/>
    <cellStyle name="Comma" xfId="4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1DD37C12-4C22-4575-8058-C6BAD8EC5FD1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" dT="2025-08-12T15:13:38.66" personId="{1DD37C12-4C22-4575-8058-C6BAD8EC5FD1}" id="{55FC4D95-B60F-4B2C-A237-09F83952C5B8}">
    <text>for driver and Mounaya - 4 trips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19" sqref="A19:XFD19"/>
    </sheetView>
  </sheetViews>
  <sheetFormatPr defaultColWidth="8.89453125" defaultRowHeight="14.4" x14ac:dyDescent="0.55000000000000004"/>
  <cols>
    <col min="1" max="1" width="3.1015625" style="1" customWidth="1"/>
    <col min="2" max="2" width="0.7890625" style="1" customWidth="1"/>
    <col min="3" max="3" width="26.1015625" customWidth="1"/>
    <col min="4" max="4" width="16.15625" customWidth="1"/>
  </cols>
  <sheetData>
    <row r="1" spans="1:4" s="17" customFormat="1" ht="15.6" x14ac:dyDescent="0.6">
      <c r="A1" s="122" t="s">
        <v>68</v>
      </c>
      <c r="B1" s="122"/>
      <c r="C1" s="122"/>
      <c r="D1" s="122"/>
    </row>
    <row r="2" spans="1:4" s="17" customFormat="1" ht="15.6" x14ac:dyDescent="0.6">
      <c r="A2" s="123" t="s">
        <v>0</v>
      </c>
      <c r="B2" s="124"/>
      <c r="C2" s="124"/>
      <c r="D2" s="124"/>
    </row>
    <row r="3" spans="1:4" s="17" customFormat="1" ht="15.6" x14ac:dyDescent="0.6">
      <c r="A3" s="125" t="s">
        <v>69</v>
      </c>
      <c r="B3" s="126"/>
      <c r="C3" s="126"/>
      <c r="D3" s="126"/>
    </row>
    <row r="4" spans="1:4" s="17" customFormat="1" ht="15.6" x14ac:dyDescent="0.6">
      <c r="A4" s="123" t="s">
        <v>70</v>
      </c>
      <c r="B4" s="124"/>
      <c r="C4" s="124"/>
      <c r="D4" s="124"/>
    </row>
    <row r="5" spans="1:4" ht="3.75" customHeight="1" x14ac:dyDescent="0.55000000000000004"/>
    <row r="6" spans="1:4" s="17" customFormat="1" ht="15" customHeight="1" x14ac:dyDescent="0.6">
      <c r="A6" s="127" t="s">
        <v>1</v>
      </c>
      <c r="B6" s="127"/>
      <c r="C6" s="127"/>
      <c r="D6" s="128" t="s">
        <v>83</v>
      </c>
    </row>
    <row r="7" spans="1:4" s="17" customFormat="1" ht="15.6" x14ac:dyDescent="0.6">
      <c r="A7" s="127"/>
      <c r="B7" s="127"/>
      <c r="C7" s="127"/>
      <c r="D7" s="129"/>
    </row>
    <row r="8" spans="1:4" s="3" customFormat="1" x14ac:dyDescent="0.55000000000000004">
      <c r="A8" s="4" t="s">
        <v>2</v>
      </c>
      <c r="B8" s="9"/>
      <c r="C8" s="2" t="s">
        <v>3</v>
      </c>
      <c r="D8" s="63">
        <f>'3. Detailed Budget'!J9</f>
        <v>0</v>
      </c>
    </row>
    <row r="9" spans="1:4" s="3" customFormat="1" x14ac:dyDescent="0.55000000000000004">
      <c r="A9" s="5" t="s">
        <v>4</v>
      </c>
      <c r="B9" s="10"/>
      <c r="C9" s="6" t="s">
        <v>5</v>
      </c>
      <c r="D9" s="63">
        <f>'3. Detailed Budget'!J12</f>
        <v>0</v>
      </c>
    </row>
    <row r="10" spans="1:4" ht="15.75" customHeight="1" x14ac:dyDescent="0.55000000000000004">
      <c r="A10" s="5" t="s">
        <v>6</v>
      </c>
      <c r="B10" s="10"/>
      <c r="C10" s="6" t="s">
        <v>7</v>
      </c>
      <c r="D10" s="63">
        <f>'3. Detailed Budget'!J21</f>
        <v>7797</v>
      </c>
    </row>
    <row r="11" spans="1:4" ht="17.25" customHeight="1" x14ac:dyDescent="0.55000000000000004">
      <c r="A11" s="5" t="s">
        <v>8</v>
      </c>
      <c r="B11" s="10"/>
      <c r="C11" s="6" t="s">
        <v>9</v>
      </c>
      <c r="D11" s="63">
        <f>'3. Detailed Budget'!J22</f>
        <v>0</v>
      </c>
    </row>
    <row r="12" spans="1:4" x14ac:dyDescent="0.55000000000000004">
      <c r="A12" s="5" t="s">
        <v>10</v>
      </c>
      <c r="B12" s="10"/>
      <c r="C12" s="6" t="s">
        <v>11</v>
      </c>
      <c r="D12" s="63">
        <f>'3. Detailed Budget'!J25</f>
        <v>0</v>
      </c>
    </row>
    <row r="13" spans="1:4" x14ac:dyDescent="0.55000000000000004">
      <c r="A13" s="8" t="s">
        <v>12</v>
      </c>
      <c r="B13" s="11"/>
      <c r="C13" s="7" t="s">
        <v>13</v>
      </c>
      <c r="D13" s="63">
        <f>'3. Detailed Budget'!J32</f>
        <v>61920.008000000002</v>
      </c>
    </row>
    <row r="14" spans="1:4" ht="16.5" customHeight="1" x14ac:dyDescent="0.55000000000000004">
      <c r="A14" s="4" t="s">
        <v>14</v>
      </c>
      <c r="B14" s="12"/>
      <c r="C14" s="2" t="s">
        <v>15</v>
      </c>
      <c r="D14" s="63">
        <f>'3. Detailed Budget'!J33</f>
        <v>0</v>
      </c>
    </row>
    <row r="15" spans="1:4" x14ac:dyDescent="0.55000000000000004">
      <c r="A15" s="4" t="s">
        <v>16</v>
      </c>
      <c r="B15" s="12"/>
      <c r="C15" s="2" t="s">
        <v>17</v>
      </c>
      <c r="D15" s="63">
        <f>'3. Detailed Budget'!J40</f>
        <v>17240</v>
      </c>
    </row>
    <row r="16" spans="1:4" x14ac:dyDescent="0.55000000000000004">
      <c r="A16" s="4" t="s">
        <v>18</v>
      </c>
      <c r="B16" s="12"/>
      <c r="C16" s="18" t="s">
        <v>19</v>
      </c>
      <c r="D16" s="63">
        <f>SUM(D8:D15)</f>
        <v>86957.008000000002</v>
      </c>
    </row>
    <row r="17" spans="1:4" x14ac:dyDescent="0.55000000000000004">
      <c r="A17" s="8" t="s">
        <v>20</v>
      </c>
      <c r="B17" s="11"/>
      <c r="C17" s="7" t="s">
        <v>21</v>
      </c>
      <c r="D17" s="63">
        <f>'3. Detailed Budget'!J42</f>
        <v>13043</v>
      </c>
    </row>
    <row r="18" spans="1:4" s="17" customFormat="1" ht="15.6" x14ac:dyDescent="0.6">
      <c r="A18" s="15" t="s">
        <v>22</v>
      </c>
      <c r="B18" s="16"/>
      <c r="C18" s="13" t="s">
        <v>23</v>
      </c>
      <c r="D18" s="21">
        <f>SUM(D16:D17)</f>
        <v>100000.008</v>
      </c>
    </row>
    <row r="19" spans="1:4" ht="12" customHeight="1" x14ac:dyDescent="0.55000000000000004"/>
    <row r="20" spans="1:4" x14ac:dyDescent="0.55000000000000004">
      <c r="A20" s="121"/>
      <c r="B20" s="121"/>
      <c r="C20" s="121"/>
      <c r="D20" s="121"/>
    </row>
    <row r="21" spans="1:4" x14ac:dyDescent="0.55000000000000004">
      <c r="A21" s="121"/>
      <c r="B21" s="121"/>
      <c r="C21" s="121"/>
      <c r="D21" s="121"/>
    </row>
    <row r="22" spans="1:4" x14ac:dyDescent="0.55000000000000004">
      <c r="A22" s="121"/>
      <c r="B22" s="121"/>
      <c r="C22" s="121"/>
      <c r="D22" s="121"/>
    </row>
    <row r="23" spans="1:4" x14ac:dyDescent="0.55000000000000004">
      <c r="A23" s="121"/>
      <c r="B23" s="121"/>
      <c r="C23" s="121"/>
      <c r="D23" s="121"/>
    </row>
    <row r="25" spans="1:4" ht="15.6" x14ac:dyDescent="0.55000000000000004">
      <c r="A25" s="121"/>
      <c r="B25" s="121"/>
      <c r="C25" s="121"/>
      <c r="D25" s="121"/>
    </row>
  </sheetData>
  <mergeCells count="8">
    <mergeCell ref="A20:D23"/>
    <mergeCell ref="A25:D25"/>
    <mergeCell ref="A1:D1"/>
    <mergeCell ref="A2:D2"/>
    <mergeCell ref="A3:D3"/>
    <mergeCell ref="A4:D4"/>
    <mergeCell ref="A6:C7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3CC7-3860-F848-A257-B89DFF24EE2F}">
  <sheetPr>
    <pageSetUpPr fitToPage="1"/>
  </sheetPr>
  <dimension ref="A1:M52"/>
  <sheetViews>
    <sheetView tabSelected="1" zoomScale="110" zoomScaleNormal="110" workbookViewId="0">
      <pane ySplit="5" topLeftCell="A26" activePane="bottomLeft" state="frozen"/>
      <selection activeCell="C1" sqref="C1"/>
      <selection pane="bottomLeft" activeCell="F21" sqref="F21"/>
    </sheetView>
  </sheetViews>
  <sheetFormatPr defaultColWidth="8.89453125" defaultRowHeight="14.4" x14ac:dyDescent="0.55000000000000004"/>
  <cols>
    <col min="1" max="1" width="15.62890625" style="23" bestFit="1" customWidth="1"/>
    <col min="2" max="2" width="13.41796875" style="23" customWidth="1"/>
    <col min="3" max="3" width="6.3125" style="23" customWidth="1"/>
    <col min="4" max="4" width="1.20703125" style="1" customWidth="1"/>
    <col min="5" max="5" width="39.15625" customWidth="1"/>
    <col min="6" max="6" width="9.7890625" bestFit="1" customWidth="1"/>
    <col min="7" max="7" width="7.1015625" customWidth="1"/>
    <col min="8" max="8" width="11.15625" bestFit="1" customWidth="1"/>
    <col min="9" max="9" width="9" customWidth="1"/>
    <col min="10" max="10" width="13.734375" style="34" customWidth="1"/>
    <col min="11" max="11" width="6.83984375" customWidth="1"/>
    <col min="12" max="12" width="15.3125" customWidth="1"/>
    <col min="13" max="13" width="12.1015625" bestFit="1" customWidth="1"/>
  </cols>
  <sheetData>
    <row r="1" spans="1:13" x14ac:dyDescent="0.55000000000000004">
      <c r="A1"/>
      <c r="B1"/>
      <c r="C1" s="130" t="s">
        <v>0</v>
      </c>
      <c r="D1" s="131"/>
      <c r="E1" s="131"/>
      <c r="F1" s="131"/>
      <c r="G1" s="131"/>
      <c r="H1" s="131" t="s">
        <v>24</v>
      </c>
      <c r="I1" s="131"/>
      <c r="J1" s="131"/>
    </row>
    <row r="2" spans="1:13" x14ac:dyDescent="0.55000000000000004">
      <c r="A2" s="150" t="s">
        <v>99</v>
      </c>
      <c r="B2" s="45"/>
      <c r="C2" s="45"/>
      <c r="D2" s="45"/>
      <c r="E2" s="45"/>
      <c r="F2" s="68" t="s">
        <v>69</v>
      </c>
      <c r="G2" s="45"/>
      <c r="H2" s="45"/>
      <c r="I2" s="45"/>
      <c r="J2" s="45"/>
    </row>
    <row r="3" spans="1:13" x14ac:dyDescent="0.55000000000000004">
      <c r="A3"/>
      <c r="B3"/>
      <c r="C3" s="130" t="s">
        <v>70</v>
      </c>
      <c r="D3" s="131"/>
      <c r="E3" s="131"/>
      <c r="F3" s="131"/>
      <c r="G3" s="131"/>
      <c r="H3" s="131" t="s">
        <v>25</v>
      </c>
      <c r="I3" s="131"/>
      <c r="J3" s="131"/>
    </row>
    <row r="4" spans="1:13" x14ac:dyDescent="0.55000000000000004">
      <c r="A4"/>
      <c r="B4"/>
      <c r="C4" s="132" t="s">
        <v>1</v>
      </c>
      <c r="D4" s="132"/>
      <c r="E4" s="132"/>
      <c r="F4" s="133" t="s">
        <v>26</v>
      </c>
      <c r="G4" s="133"/>
      <c r="H4" s="133"/>
      <c r="I4" s="133"/>
      <c r="J4" s="135" t="s">
        <v>83</v>
      </c>
    </row>
    <row r="5" spans="1:13" x14ac:dyDescent="0.55000000000000004">
      <c r="A5"/>
      <c r="B5"/>
      <c r="C5" s="132"/>
      <c r="D5" s="132"/>
      <c r="E5" s="132"/>
      <c r="F5" s="69" t="s">
        <v>27</v>
      </c>
      <c r="G5" s="69" t="s">
        <v>28</v>
      </c>
      <c r="H5" s="69" t="s">
        <v>29</v>
      </c>
      <c r="I5" s="69" t="s">
        <v>30</v>
      </c>
      <c r="J5" s="135"/>
    </row>
    <row r="6" spans="1:13" s="3" customFormat="1" ht="31.5" x14ac:dyDescent="0.55000000000000004">
      <c r="A6" s="70"/>
      <c r="B6" s="70"/>
      <c r="C6" s="70" t="s">
        <v>2</v>
      </c>
      <c r="D6" s="71"/>
      <c r="E6" s="72" t="s">
        <v>3</v>
      </c>
      <c r="F6" s="25" t="s">
        <v>31</v>
      </c>
      <c r="G6" s="25"/>
      <c r="H6" s="25" t="s">
        <v>32</v>
      </c>
      <c r="I6" s="25" t="s">
        <v>33</v>
      </c>
      <c r="J6" s="46"/>
    </row>
    <row r="7" spans="1:13" s="20" customFormat="1" ht="12.9" x14ac:dyDescent="0.5">
      <c r="C7" s="134" t="s">
        <v>34</v>
      </c>
      <c r="D7" s="134"/>
      <c r="E7" s="73" t="s">
        <v>35</v>
      </c>
      <c r="F7" s="74"/>
      <c r="G7" s="74"/>
      <c r="H7" s="74"/>
      <c r="I7" s="74"/>
      <c r="J7" s="47"/>
    </row>
    <row r="8" spans="1:13" s="20" customFormat="1" ht="12.9" x14ac:dyDescent="0.5">
      <c r="C8" s="136" t="s">
        <v>36</v>
      </c>
      <c r="D8" s="137"/>
      <c r="E8" s="64" t="s">
        <v>67</v>
      </c>
      <c r="F8" s="65" t="s">
        <v>37</v>
      </c>
      <c r="G8" s="65">
        <v>0</v>
      </c>
      <c r="H8" s="56">
        <f>145000/12</f>
        <v>12083.333333333334</v>
      </c>
      <c r="I8" s="66">
        <v>0.1</v>
      </c>
      <c r="J8" s="67">
        <f>I8*H8*G8</f>
        <v>0</v>
      </c>
    </row>
    <row r="9" spans="1:13" s="20" customFormat="1" ht="12.9" x14ac:dyDescent="0.5">
      <c r="C9" s="149" t="s">
        <v>38</v>
      </c>
      <c r="D9" s="149"/>
      <c r="E9" s="149"/>
      <c r="F9" s="75"/>
      <c r="G9" s="76"/>
      <c r="H9" s="77"/>
      <c r="I9" s="75"/>
      <c r="J9" s="51">
        <f>SUM(J8:J8)</f>
        <v>0</v>
      </c>
      <c r="L9" s="32"/>
    </row>
    <row r="10" spans="1:13" x14ac:dyDescent="0.55000000000000004">
      <c r="A10"/>
      <c r="B10"/>
      <c r="C10" s="147" t="s">
        <v>4</v>
      </c>
      <c r="D10" s="148"/>
      <c r="E10" s="33" t="s">
        <v>5</v>
      </c>
      <c r="F10" s="33"/>
      <c r="G10" s="33"/>
      <c r="H10" s="33"/>
      <c r="I10" s="33"/>
      <c r="J10" s="52"/>
      <c r="L10" s="31"/>
    </row>
    <row r="11" spans="1:13" s="20" customFormat="1" ht="12.9" x14ac:dyDescent="0.5">
      <c r="C11" s="143" t="s">
        <v>39</v>
      </c>
      <c r="D11" s="143"/>
      <c r="E11" s="41" t="s">
        <v>40</v>
      </c>
      <c r="F11" s="78"/>
      <c r="G11" s="79"/>
      <c r="H11" s="80"/>
      <c r="I11" s="81">
        <v>0.23469999999999999</v>
      </c>
      <c r="J11" s="67">
        <f>I11*J9</f>
        <v>0</v>
      </c>
      <c r="L11" s="30"/>
    </row>
    <row r="12" spans="1:13" s="20" customFormat="1" ht="12.9" x14ac:dyDescent="0.5">
      <c r="C12" s="144" t="s">
        <v>41</v>
      </c>
      <c r="D12" s="144"/>
      <c r="E12" s="144"/>
      <c r="F12" s="82"/>
      <c r="G12" s="83"/>
      <c r="H12" s="84"/>
      <c r="I12" s="82"/>
      <c r="J12" s="53">
        <f t="shared" ref="J12" si="0">SUM(J11)</f>
        <v>0</v>
      </c>
    </row>
    <row r="13" spans="1:13" ht="21" x14ac:dyDescent="0.55000000000000004">
      <c r="A13"/>
      <c r="B13"/>
      <c r="C13" s="147" t="s">
        <v>6</v>
      </c>
      <c r="D13" s="148"/>
      <c r="E13" s="33" t="s">
        <v>7</v>
      </c>
      <c r="F13" s="25" t="s">
        <v>79</v>
      </c>
      <c r="G13" s="25" t="s">
        <v>42</v>
      </c>
      <c r="H13" s="25" t="s">
        <v>43</v>
      </c>
      <c r="I13" s="25"/>
      <c r="J13" s="33"/>
      <c r="L13" s="22"/>
      <c r="M13" s="22"/>
    </row>
    <row r="14" spans="1:13" s="20" customFormat="1" ht="12.9" x14ac:dyDescent="0.5">
      <c r="A14" s="115"/>
      <c r="B14" s="115"/>
      <c r="C14" s="115" t="s">
        <v>44</v>
      </c>
      <c r="D14" s="116"/>
      <c r="E14" s="117" t="s">
        <v>45</v>
      </c>
      <c r="F14" s="118"/>
      <c r="G14" s="119"/>
      <c r="H14" s="120"/>
      <c r="I14" s="118"/>
      <c r="J14" s="35"/>
    </row>
    <row r="15" spans="1:13" s="20" customFormat="1" ht="12.9" x14ac:dyDescent="0.5">
      <c r="A15" s="38" t="s">
        <v>117</v>
      </c>
      <c r="B15" s="38" t="s">
        <v>114</v>
      </c>
      <c r="C15" s="38" t="s">
        <v>46</v>
      </c>
      <c r="D15" s="39"/>
      <c r="E15" s="40" t="s">
        <v>49</v>
      </c>
      <c r="F15" s="44">
        <f>4*2</f>
        <v>8</v>
      </c>
      <c r="G15" s="44">
        <v>4</v>
      </c>
      <c r="H15" s="85">
        <f>35*50%</f>
        <v>17.5</v>
      </c>
      <c r="I15" s="59">
        <v>1</v>
      </c>
      <c r="J15" s="67">
        <f>I15*H15*G15*F15</f>
        <v>560</v>
      </c>
    </row>
    <row r="16" spans="1:13" s="20" customFormat="1" ht="12.9" x14ac:dyDescent="0.5">
      <c r="A16" s="38" t="s">
        <v>118</v>
      </c>
      <c r="B16" s="38" t="s">
        <v>115</v>
      </c>
      <c r="C16" s="38" t="s">
        <v>47</v>
      </c>
      <c r="D16" s="39"/>
      <c r="E16" s="40" t="s">
        <v>50</v>
      </c>
      <c r="F16" s="44">
        <f t="shared" ref="F16:F17" si="1">4*2</f>
        <v>8</v>
      </c>
      <c r="G16" s="44">
        <v>3</v>
      </c>
      <c r="H16" s="85">
        <v>63</v>
      </c>
      <c r="I16" s="59">
        <v>1</v>
      </c>
      <c r="J16" s="67">
        <f t="shared" ref="J16:J17" si="2">I16*H16*G16*F16</f>
        <v>1512</v>
      </c>
    </row>
    <row r="17" spans="1:12" s="20" customFormat="1" ht="12.9" x14ac:dyDescent="0.5">
      <c r="A17" s="38" t="s">
        <v>118</v>
      </c>
      <c r="B17" s="38" t="s">
        <v>113</v>
      </c>
      <c r="C17" s="38" t="s">
        <v>48</v>
      </c>
      <c r="D17" s="39"/>
      <c r="E17" s="37" t="s">
        <v>80</v>
      </c>
      <c r="F17" s="44">
        <f t="shared" si="1"/>
        <v>8</v>
      </c>
      <c r="G17" s="44">
        <f>G15</f>
        <v>4</v>
      </c>
      <c r="H17" s="85">
        <v>50</v>
      </c>
      <c r="I17" s="59">
        <v>1</v>
      </c>
      <c r="J17" s="67">
        <f t="shared" si="2"/>
        <v>1600</v>
      </c>
    </row>
    <row r="18" spans="1:12" s="20" customFormat="1" ht="12.9" x14ac:dyDescent="0.5">
      <c r="A18" s="152" t="s">
        <v>119</v>
      </c>
      <c r="B18" s="38" t="s">
        <v>113</v>
      </c>
      <c r="C18" s="38" t="s">
        <v>95</v>
      </c>
      <c r="D18" s="39"/>
      <c r="E18" s="37" t="s">
        <v>96</v>
      </c>
      <c r="F18" s="44">
        <v>4</v>
      </c>
      <c r="G18" s="44">
        <v>4</v>
      </c>
      <c r="H18" s="85">
        <v>150</v>
      </c>
      <c r="I18" s="59">
        <v>1</v>
      </c>
      <c r="J18" s="67">
        <f t="shared" ref="J18" si="3">I18*H18*G18*F18</f>
        <v>2400</v>
      </c>
    </row>
    <row r="19" spans="1:12" s="20" customFormat="1" ht="12.9" x14ac:dyDescent="0.5">
      <c r="A19" s="115"/>
      <c r="B19" s="115"/>
      <c r="C19" s="115" t="s">
        <v>86</v>
      </c>
      <c r="D19" s="116"/>
      <c r="E19" s="117" t="s">
        <v>87</v>
      </c>
      <c r="F19" s="118"/>
      <c r="G19" s="119"/>
      <c r="H19" s="120"/>
      <c r="I19" s="118"/>
      <c r="J19" s="35"/>
    </row>
    <row r="20" spans="1:12" s="20" customFormat="1" ht="12.9" x14ac:dyDescent="0.5">
      <c r="A20" s="38" t="s">
        <v>120</v>
      </c>
      <c r="B20" s="38" t="s">
        <v>116</v>
      </c>
      <c r="C20" s="38" t="s">
        <v>88</v>
      </c>
      <c r="D20" s="39"/>
      <c r="E20" s="37" t="s">
        <v>89</v>
      </c>
      <c r="F20" s="44">
        <v>1</v>
      </c>
      <c r="G20" s="44">
        <v>1</v>
      </c>
      <c r="H20" s="85">
        <v>1725</v>
      </c>
      <c r="I20" s="59">
        <v>1</v>
      </c>
      <c r="J20" s="67">
        <f t="shared" ref="J20" si="4">I20*H20*G20*F20</f>
        <v>1725</v>
      </c>
    </row>
    <row r="21" spans="1:12" x14ac:dyDescent="0.55000000000000004">
      <c r="A21"/>
      <c r="B21"/>
      <c r="C21" s="144" t="s">
        <v>51</v>
      </c>
      <c r="D21" s="144"/>
      <c r="E21" s="144"/>
      <c r="F21" s="88"/>
      <c r="G21" s="88"/>
      <c r="H21" s="89"/>
      <c r="I21" s="89"/>
      <c r="J21" s="54">
        <f>SUM(J15:J20)</f>
        <v>7797</v>
      </c>
    </row>
    <row r="22" spans="1:12" x14ac:dyDescent="0.55000000000000004">
      <c r="A22" s="90"/>
      <c r="B22" s="90"/>
      <c r="C22" s="90" t="s">
        <v>8</v>
      </c>
      <c r="D22" s="91"/>
      <c r="E22" s="92" t="s">
        <v>71</v>
      </c>
      <c r="F22" s="93" t="s">
        <v>52</v>
      </c>
      <c r="G22" s="94" t="s">
        <v>53</v>
      </c>
      <c r="H22" s="95" t="s">
        <v>54</v>
      </c>
      <c r="I22" s="96"/>
      <c r="J22" s="33"/>
    </row>
    <row r="23" spans="1:12" x14ac:dyDescent="0.55000000000000004">
      <c r="A23" s="70"/>
      <c r="B23" s="70"/>
      <c r="C23" s="70" t="s">
        <v>10</v>
      </c>
      <c r="D23" s="97"/>
      <c r="E23" s="72" t="s">
        <v>72</v>
      </c>
      <c r="F23" s="93" t="s">
        <v>52</v>
      </c>
      <c r="G23" s="25" t="s">
        <v>53</v>
      </c>
      <c r="H23" s="48" t="s">
        <v>54</v>
      </c>
      <c r="I23" s="98"/>
      <c r="J23" s="33"/>
    </row>
    <row r="24" spans="1:12" x14ac:dyDescent="0.55000000000000004">
      <c r="A24" s="86"/>
      <c r="B24" s="86"/>
      <c r="C24" s="86" t="s">
        <v>55</v>
      </c>
      <c r="D24" s="87"/>
      <c r="E24" s="40" t="s">
        <v>75</v>
      </c>
      <c r="F24" s="42" t="s">
        <v>52</v>
      </c>
      <c r="G24" s="42">
        <v>0</v>
      </c>
      <c r="H24" s="58">
        <v>0</v>
      </c>
      <c r="I24" s="59">
        <v>0</v>
      </c>
      <c r="J24" s="67">
        <f>I24*H24*G24</f>
        <v>0</v>
      </c>
    </row>
    <row r="25" spans="1:12" x14ac:dyDescent="0.55000000000000004">
      <c r="A25"/>
      <c r="B25"/>
      <c r="C25" s="144" t="s">
        <v>56</v>
      </c>
      <c r="D25" s="144"/>
      <c r="E25" s="144"/>
      <c r="F25" s="88"/>
      <c r="G25" s="88"/>
      <c r="H25" s="89"/>
      <c r="I25" s="89"/>
      <c r="J25" s="54">
        <f t="shared" ref="J25" si="5">SUM(J24)</f>
        <v>0</v>
      </c>
    </row>
    <row r="26" spans="1:12" x14ac:dyDescent="0.55000000000000004">
      <c r="A26" s="70"/>
      <c r="B26" s="70"/>
      <c r="C26" s="70" t="s">
        <v>12</v>
      </c>
      <c r="D26" s="97"/>
      <c r="E26" s="142" t="s">
        <v>73</v>
      </c>
      <c r="F26" s="142"/>
      <c r="G26" s="142"/>
      <c r="H26" s="142"/>
      <c r="I26" s="99"/>
      <c r="J26" s="33"/>
    </row>
    <row r="27" spans="1:12" s="20" customFormat="1" ht="12.9" x14ac:dyDescent="0.5">
      <c r="A27" s="100"/>
      <c r="B27" s="100"/>
      <c r="C27" s="100" t="s">
        <v>57</v>
      </c>
      <c r="D27" s="110"/>
      <c r="E27" s="111" t="s">
        <v>59</v>
      </c>
      <c r="F27" s="112"/>
      <c r="G27" s="49"/>
      <c r="H27" s="113"/>
      <c r="I27" s="114"/>
      <c r="J27" s="36"/>
    </row>
    <row r="28" spans="1:12" s="20" customFormat="1" ht="12.9" x14ac:dyDescent="0.5">
      <c r="A28" s="20" t="s">
        <v>110</v>
      </c>
      <c r="B28" s="20">
        <v>81000</v>
      </c>
      <c r="C28" s="140" t="s">
        <v>58</v>
      </c>
      <c r="D28" s="141"/>
      <c r="E28" s="109" t="s">
        <v>90</v>
      </c>
      <c r="F28" s="42" t="s">
        <v>37</v>
      </c>
      <c r="G28" s="42">
        <v>4</v>
      </c>
      <c r="H28" s="55">
        <v>14083.34</v>
      </c>
      <c r="I28" s="66">
        <v>0.3</v>
      </c>
      <c r="J28" s="67">
        <f t="shared" ref="J28" si="6">I28*H28*G28</f>
        <v>16900.007999999998</v>
      </c>
    </row>
    <row r="29" spans="1:12" s="20" customFormat="1" ht="12.9" x14ac:dyDescent="0.5">
      <c r="A29" s="20" t="s">
        <v>112</v>
      </c>
      <c r="B29" s="20">
        <v>81000</v>
      </c>
      <c r="C29" s="140" t="s">
        <v>66</v>
      </c>
      <c r="D29" s="141"/>
      <c r="E29" s="108" t="s">
        <v>94</v>
      </c>
      <c r="F29" s="42" t="s">
        <v>37</v>
      </c>
      <c r="G29" s="43">
        <v>4</v>
      </c>
      <c r="H29" s="55">
        <v>2250</v>
      </c>
      <c r="I29" s="66">
        <v>1</v>
      </c>
      <c r="J29" s="67">
        <f>I29*H29*G29</f>
        <v>9000</v>
      </c>
      <c r="L29" s="30"/>
    </row>
    <row r="30" spans="1:12" s="20" customFormat="1" ht="12.9" x14ac:dyDescent="0.5">
      <c r="A30" s="20" t="s">
        <v>111</v>
      </c>
      <c r="B30" s="20">
        <v>81000</v>
      </c>
      <c r="C30" s="140" t="s">
        <v>77</v>
      </c>
      <c r="D30" s="141"/>
      <c r="E30" s="109" t="s">
        <v>92</v>
      </c>
      <c r="F30" s="42" t="s">
        <v>37</v>
      </c>
      <c r="G30" s="42">
        <v>3</v>
      </c>
      <c r="H30" s="55">
        <v>680</v>
      </c>
      <c r="I30" s="66">
        <v>0.5</v>
      </c>
      <c r="J30" s="67">
        <f t="shared" ref="J30" si="7">I30*H30*G30</f>
        <v>1020</v>
      </c>
    </row>
    <row r="31" spans="1:12" s="20" customFormat="1" ht="12.9" x14ac:dyDescent="0.5">
      <c r="A31" s="20" t="s">
        <v>109</v>
      </c>
      <c r="B31" s="20">
        <v>81010</v>
      </c>
      <c r="C31" s="140" t="s">
        <v>91</v>
      </c>
      <c r="D31" s="141"/>
      <c r="E31" s="109" t="s">
        <v>78</v>
      </c>
      <c r="F31" s="42" t="s">
        <v>76</v>
      </c>
      <c r="G31" s="42">
        <v>1</v>
      </c>
      <c r="H31" s="55">
        <v>35000</v>
      </c>
      <c r="I31" s="59">
        <v>1</v>
      </c>
      <c r="J31" s="67">
        <f t="shared" ref="J31" si="8">I31*H31*G31</f>
        <v>35000</v>
      </c>
    </row>
    <row r="32" spans="1:12" s="20" customFormat="1" ht="12.9" x14ac:dyDescent="0.5">
      <c r="C32" s="145" t="s">
        <v>60</v>
      </c>
      <c r="D32" s="146"/>
      <c r="E32" s="146"/>
      <c r="F32" s="88"/>
      <c r="G32" s="88"/>
      <c r="H32" s="89"/>
      <c r="I32" s="89"/>
      <c r="J32" s="57">
        <f>SUM(J28:J31)</f>
        <v>61920.008000000002</v>
      </c>
    </row>
    <row r="33" spans="1:12" x14ac:dyDescent="0.55000000000000004">
      <c r="A33" s="90"/>
      <c r="B33" s="90"/>
      <c r="C33" s="90" t="s">
        <v>14</v>
      </c>
      <c r="D33" s="91"/>
      <c r="E33" s="92" t="s">
        <v>15</v>
      </c>
      <c r="F33" s="93" t="s">
        <v>52</v>
      </c>
      <c r="G33" s="94" t="s">
        <v>53</v>
      </c>
      <c r="H33" s="95" t="s">
        <v>54</v>
      </c>
      <c r="I33" s="96"/>
      <c r="J33" s="33"/>
    </row>
    <row r="34" spans="1:12" x14ac:dyDescent="0.55000000000000004">
      <c r="A34" s="70"/>
      <c r="B34" s="70"/>
      <c r="C34" s="70" t="s">
        <v>16</v>
      </c>
      <c r="D34" s="97"/>
      <c r="E34" s="72" t="s">
        <v>17</v>
      </c>
      <c r="F34" s="93"/>
      <c r="G34" s="25"/>
      <c r="H34" s="48"/>
      <c r="I34" s="98"/>
      <c r="J34" s="33"/>
    </row>
    <row r="35" spans="1:12" ht="37.799999999999997" x14ac:dyDescent="0.55000000000000004">
      <c r="A35" s="86" t="s">
        <v>102</v>
      </c>
      <c r="B35" s="151" t="s">
        <v>101</v>
      </c>
      <c r="C35" s="86" t="s">
        <v>61</v>
      </c>
      <c r="D35" s="87"/>
      <c r="E35" s="40" t="s">
        <v>85</v>
      </c>
      <c r="F35" s="42" t="s">
        <v>52</v>
      </c>
      <c r="G35" s="43">
        <v>1</v>
      </c>
      <c r="H35" s="58">
        <v>14000</v>
      </c>
      <c r="I35" s="59">
        <v>1</v>
      </c>
      <c r="J35" s="67">
        <f t="shared" ref="J35:J39" si="9">I35*H35*G35</f>
        <v>14000</v>
      </c>
      <c r="K35" s="29"/>
      <c r="L35" s="22"/>
    </row>
    <row r="36" spans="1:12" x14ac:dyDescent="0.55000000000000004">
      <c r="A36" s="86" t="s">
        <v>108</v>
      </c>
      <c r="B36" s="86">
        <v>89400</v>
      </c>
      <c r="C36" s="86" t="s">
        <v>81</v>
      </c>
      <c r="D36" s="87"/>
      <c r="E36" s="40" t="s">
        <v>93</v>
      </c>
      <c r="F36" s="42" t="s">
        <v>52</v>
      </c>
      <c r="G36" s="43">
        <v>1</v>
      </c>
      <c r="H36" s="58">
        <v>2800</v>
      </c>
      <c r="I36" s="59">
        <v>1</v>
      </c>
      <c r="J36" s="67">
        <f t="shared" si="9"/>
        <v>2800</v>
      </c>
      <c r="K36" s="29"/>
    </row>
    <row r="37" spans="1:12" x14ac:dyDescent="0.55000000000000004">
      <c r="A37" s="86" t="s">
        <v>103</v>
      </c>
      <c r="B37" s="86" t="s">
        <v>104</v>
      </c>
      <c r="C37" s="86" t="s">
        <v>82</v>
      </c>
      <c r="D37" s="87"/>
      <c r="E37" s="40" t="s">
        <v>84</v>
      </c>
      <c r="F37" s="42" t="s">
        <v>37</v>
      </c>
      <c r="G37" s="42">
        <v>4</v>
      </c>
      <c r="H37" s="58">
        <v>50</v>
      </c>
      <c r="I37" s="59">
        <v>1</v>
      </c>
      <c r="J37" s="67">
        <f t="shared" si="9"/>
        <v>200</v>
      </c>
    </row>
    <row r="38" spans="1:12" ht="37.799999999999997" x14ac:dyDescent="0.55000000000000004">
      <c r="A38" s="86" t="s">
        <v>107</v>
      </c>
      <c r="B38" s="151" t="s">
        <v>105</v>
      </c>
      <c r="C38" s="86" t="s">
        <v>62</v>
      </c>
      <c r="D38" s="87"/>
      <c r="E38" s="40" t="s">
        <v>98</v>
      </c>
      <c r="F38" s="42" t="s">
        <v>52</v>
      </c>
      <c r="G38" s="43">
        <v>1</v>
      </c>
      <c r="H38" s="58">
        <v>180</v>
      </c>
      <c r="I38" s="59">
        <v>1</v>
      </c>
      <c r="J38" s="67">
        <f t="shared" ref="J38" si="10">I38*H38*G38</f>
        <v>180</v>
      </c>
    </row>
    <row r="39" spans="1:12" x14ac:dyDescent="0.55000000000000004">
      <c r="A39" s="86" t="s">
        <v>106</v>
      </c>
      <c r="B39" s="86">
        <v>89400</v>
      </c>
      <c r="C39" s="86" t="s">
        <v>97</v>
      </c>
      <c r="D39" s="87"/>
      <c r="E39" s="40" t="s">
        <v>63</v>
      </c>
      <c r="F39" s="42" t="s">
        <v>37</v>
      </c>
      <c r="G39" s="43">
        <v>4</v>
      </c>
      <c r="H39" s="58">
        <f>(5*3)</f>
        <v>15</v>
      </c>
      <c r="I39" s="59">
        <v>1</v>
      </c>
      <c r="J39" s="67">
        <f t="shared" si="9"/>
        <v>60</v>
      </c>
    </row>
    <row r="40" spans="1:12" x14ac:dyDescent="0.55000000000000004">
      <c r="A40"/>
      <c r="B40"/>
      <c r="C40" s="145" t="s">
        <v>64</v>
      </c>
      <c r="D40" s="146"/>
      <c r="E40" s="146"/>
      <c r="F40" s="88"/>
      <c r="G40" s="88"/>
      <c r="H40" s="89"/>
      <c r="I40" s="89"/>
      <c r="J40" s="57">
        <f>SUM(J35:J39)</f>
        <v>17240</v>
      </c>
    </row>
    <row r="41" spans="1:12" x14ac:dyDescent="0.55000000000000004">
      <c r="A41" s="70"/>
      <c r="B41" s="70"/>
      <c r="C41" s="70" t="s">
        <v>18</v>
      </c>
      <c r="D41" s="97"/>
      <c r="E41" s="72" t="s">
        <v>65</v>
      </c>
      <c r="F41" s="25"/>
      <c r="G41" s="25"/>
      <c r="H41" s="101"/>
      <c r="I41" s="101"/>
      <c r="J41" s="60">
        <f>J9+J12+J21+J32+J40+J25</f>
        <v>86957.008000000002</v>
      </c>
    </row>
    <row r="42" spans="1:12" x14ac:dyDescent="0.55000000000000004">
      <c r="A42" s="70" t="s">
        <v>100</v>
      </c>
      <c r="B42" s="70">
        <v>94050</v>
      </c>
      <c r="C42" s="70" t="s">
        <v>20</v>
      </c>
      <c r="D42" s="97"/>
      <c r="E42" s="72" t="s">
        <v>74</v>
      </c>
      <c r="F42" s="138">
        <v>0.15</v>
      </c>
      <c r="G42" s="139"/>
      <c r="H42" s="139"/>
      <c r="I42" s="139"/>
      <c r="J42" s="61">
        <f>ROUNDDOWN(J41*F42,0)</f>
        <v>13043</v>
      </c>
    </row>
    <row r="43" spans="1:12" ht="15" x14ac:dyDescent="0.55000000000000004">
      <c r="A43" s="102"/>
      <c r="B43" s="102"/>
      <c r="C43" s="102" t="s">
        <v>22</v>
      </c>
      <c r="D43" s="103"/>
      <c r="E43" s="104" t="s">
        <v>23</v>
      </c>
      <c r="F43" s="105"/>
      <c r="G43" s="106"/>
      <c r="H43" s="107"/>
      <c r="I43" s="106"/>
      <c r="J43" s="62">
        <f>SUM(J41:J42)</f>
        <v>100000.008</v>
      </c>
    </row>
    <row r="44" spans="1:12" x14ac:dyDescent="0.55000000000000004">
      <c r="I44" s="24"/>
    </row>
    <row r="45" spans="1:12" x14ac:dyDescent="0.55000000000000004">
      <c r="F45" s="19"/>
      <c r="H45" s="19"/>
      <c r="I45" s="19"/>
    </row>
    <row r="46" spans="1:12" x14ac:dyDescent="0.55000000000000004">
      <c r="E46" s="14"/>
      <c r="H46" s="19"/>
      <c r="J46" s="50"/>
    </row>
    <row r="47" spans="1:12" x14ac:dyDescent="0.55000000000000004">
      <c r="E47" s="26"/>
      <c r="F47" s="28"/>
      <c r="H47" s="19"/>
    </row>
    <row r="48" spans="1:12" x14ac:dyDescent="0.55000000000000004">
      <c r="E48" s="27"/>
      <c r="F48" s="28"/>
      <c r="H48" s="19"/>
    </row>
    <row r="49" spans="5:8" x14ac:dyDescent="0.55000000000000004">
      <c r="E49" s="27"/>
      <c r="F49" s="28"/>
      <c r="H49" s="19"/>
    </row>
    <row r="50" spans="5:8" x14ac:dyDescent="0.55000000000000004">
      <c r="E50" s="26"/>
      <c r="F50" s="28"/>
    </row>
    <row r="52" spans="5:8" x14ac:dyDescent="0.55000000000000004">
      <c r="E52" s="27"/>
      <c r="F52" s="28"/>
    </row>
  </sheetData>
  <mergeCells count="22">
    <mergeCell ref="C8:D8"/>
    <mergeCell ref="F42:I42"/>
    <mergeCell ref="C28:D28"/>
    <mergeCell ref="E26:H26"/>
    <mergeCell ref="C11:D11"/>
    <mergeCell ref="C12:E12"/>
    <mergeCell ref="C21:E21"/>
    <mergeCell ref="C32:E32"/>
    <mergeCell ref="C30:D30"/>
    <mergeCell ref="C29:D29"/>
    <mergeCell ref="C10:D10"/>
    <mergeCell ref="C13:D13"/>
    <mergeCell ref="C40:E40"/>
    <mergeCell ref="C9:E9"/>
    <mergeCell ref="C25:E25"/>
    <mergeCell ref="C31:D31"/>
    <mergeCell ref="C1:J1"/>
    <mergeCell ref="C3:J3"/>
    <mergeCell ref="C4:E5"/>
    <mergeCell ref="F4:I4"/>
    <mergeCell ref="C7:D7"/>
    <mergeCell ref="J4:J5"/>
  </mergeCells>
  <phoneticPr fontId="21" type="noConversion"/>
  <pageMargins left="0.25" right="0.25" top="0.25" bottom="0.25" header="0.05" footer="0.05"/>
  <pageSetup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07d84de66a8071634cfb97368b46e27e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bb9191ce16cd692efbd82e5883cb9c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CB4A5-6471-4614-A4A9-58048118009D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a2e8617-29ee-40b9-b822-c9e0f853d80d"/>
    <ds:schemaRef ds:uri="http://www.w3.org/XML/1998/namespace"/>
    <ds:schemaRef ds:uri="dc808d36-874f-4b27-aec2-2fd649817929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FD21908-DF9B-4102-8CAC-C94BBB4CA8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3CFDEE-F726-47F4-9B11-DE44E08FF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2. Summary Budget</vt:lpstr>
      <vt:lpstr>3. Detailed Budget</vt:lpstr>
      <vt:lpstr>'2. Summary Budget'!Print_Area</vt:lpstr>
      <vt:lpstr>'3.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cp:lastPrinted>2023-03-20T18:42:37Z</cp:lastPrinted>
  <dcterms:created xsi:type="dcterms:W3CDTF">2011-04-25T16:36:39Z</dcterms:created>
  <dcterms:modified xsi:type="dcterms:W3CDTF">2025-10-29T04:18:31Z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4387000</vt:r8>
  </property>
  <property fmtid="{D5CDD505-2E9C-101B-9397-08002B2CF9AE}" pid="4" name="MediaServiceImageTags">
    <vt:lpwstr/>
  </property>
  <property fmtid="{D5CDD505-2E9C-101B-9397-08002B2CF9AE}" pid="5" name="MSIP_Label_1665d9ee-429a-4d5f-97cc-cfb56e044a6e_Enabled">
    <vt:lpwstr>true</vt:lpwstr>
  </property>
  <property fmtid="{D5CDD505-2E9C-101B-9397-08002B2CF9AE}" pid="6" name="MSIP_Label_1665d9ee-429a-4d5f-97cc-cfb56e044a6e_SetDate">
    <vt:lpwstr>2025-03-11T18:04:25Z</vt:lpwstr>
  </property>
  <property fmtid="{D5CDD505-2E9C-101B-9397-08002B2CF9AE}" pid="7" name="MSIP_Label_1665d9ee-429a-4d5f-97cc-cfb56e044a6e_Method">
    <vt:lpwstr>Privileged</vt:lpwstr>
  </property>
  <property fmtid="{D5CDD505-2E9C-101B-9397-08002B2CF9AE}" pid="8" name="MSIP_Label_1665d9ee-429a-4d5f-97cc-cfb56e044a6e_Name">
    <vt:lpwstr>1665d9ee-429a-4d5f-97cc-cfb56e044a6e</vt:lpwstr>
  </property>
  <property fmtid="{D5CDD505-2E9C-101B-9397-08002B2CF9AE}" pid="9" name="MSIP_Label_1665d9ee-429a-4d5f-97cc-cfb56e044a6e_SiteId">
    <vt:lpwstr>66cf5074-5afe-48d1-a691-a12b2121f44b</vt:lpwstr>
  </property>
  <property fmtid="{D5CDD505-2E9C-101B-9397-08002B2CF9AE}" pid="10" name="MSIP_Label_1665d9ee-429a-4d5f-97cc-cfb56e044a6e_ActionId">
    <vt:lpwstr>b8ebc29e-0ddd-4875-8b13-94b13832c6fe</vt:lpwstr>
  </property>
  <property fmtid="{D5CDD505-2E9C-101B-9397-08002B2CF9AE}" pid="11" name="MSIP_Label_1665d9ee-429a-4d5f-97cc-cfb56e044a6e_ContentBits">
    <vt:lpwstr>0</vt:lpwstr>
  </property>
  <property fmtid="{D5CDD505-2E9C-101B-9397-08002B2CF9AE}" pid="12" name="MSIP_Label_1665d9ee-429a-4d5f-97cc-cfb56e044a6e_Tag">
    <vt:lpwstr>10, 0, 1, 1</vt:lpwstr>
  </property>
</Properties>
</file>