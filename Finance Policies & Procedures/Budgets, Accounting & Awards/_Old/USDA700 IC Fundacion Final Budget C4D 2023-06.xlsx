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https://partnersnet107.sharepoint.com/sites/FA/Organizational FA/Finance Policies &amp; Procedures/Budgets, Accounting &amp; Awards/"/>
    </mc:Choice>
  </mc:AlternateContent>
  <xr:revisionPtr revIDLastSave="5" documentId="13_ncr:1_{952A3EE3-5A6A-444A-A15B-0322D638EA99}" xr6:coauthVersionLast="47" xr6:coauthVersionMax="47" xr10:uidLastSave="{8FDF5D48-D18A-4224-AEFB-8A0AD50FCA29}"/>
  <bookViews>
    <workbookView xWindow="-110" yWindow="-110" windowWidth="19420" windowHeight="11500" xr2:uid="{00000000-000D-0000-FFFF-FFFF00000000}"/>
  </bookViews>
  <sheets>
    <sheet name="Summary Budget" sheetId="1" r:id="rId1"/>
    <sheet name="NM" sheetId="7" state="hidden" r:id="rId2"/>
    <sheet name="Detailed Budget" sheetId="5" r:id="rId3"/>
    <sheet name="Travels" sheetId="4" r:id="rId4"/>
    <sheet name="Deliverables" sheetId="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 i="4" l="1"/>
  <c r="D50" i="4" s="1"/>
  <c r="D49" i="4"/>
  <c r="B49" i="4"/>
  <c r="D48" i="4"/>
  <c r="B48" i="4"/>
  <c r="B47" i="4"/>
  <c r="D47" i="4" s="1"/>
  <c r="C44" i="4"/>
  <c r="D56" i="5" s="1"/>
  <c r="B44" i="4"/>
  <c r="D43" i="4"/>
  <c r="B43" i="4"/>
  <c r="C42" i="4"/>
  <c r="D41" i="4"/>
  <c r="D53" i="5" s="1"/>
  <c r="E53" i="5" s="1"/>
  <c r="B38" i="4"/>
  <c r="D38" i="4" s="1"/>
  <c r="B37" i="4"/>
  <c r="D37" i="4" s="1"/>
  <c r="B36" i="4"/>
  <c r="D36" i="4" s="1"/>
  <c r="C35" i="4"/>
  <c r="B35" i="4"/>
  <c r="D35" i="4" s="1"/>
  <c r="L32" i="4"/>
  <c r="N32" i="4" s="1"/>
  <c r="E32" i="4"/>
  <c r="G32" i="4" s="1"/>
  <c r="A32" i="4"/>
  <c r="L31" i="4"/>
  <c r="N31" i="4" s="1"/>
  <c r="E31" i="4"/>
  <c r="G31" i="4" s="1"/>
  <c r="A31" i="4"/>
  <c r="N30" i="4"/>
  <c r="L30" i="4"/>
  <c r="E30" i="4"/>
  <c r="G30" i="4" s="1"/>
  <c r="A30" i="4"/>
  <c r="L29" i="4"/>
  <c r="N29" i="4" s="1"/>
  <c r="E29" i="4"/>
  <c r="G29" i="4" s="1"/>
  <c r="A29" i="4"/>
  <c r="L28" i="4"/>
  <c r="N28" i="4" s="1"/>
  <c r="G28" i="4"/>
  <c r="E28" i="4"/>
  <c r="A28" i="4"/>
  <c r="L27" i="4"/>
  <c r="N27" i="4" s="1"/>
  <c r="E27" i="4"/>
  <c r="G27" i="4" s="1"/>
  <c r="A27" i="4"/>
  <c r="N26" i="4"/>
  <c r="L26" i="4"/>
  <c r="E26" i="4"/>
  <c r="G26" i="4" s="1"/>
  <c r="A26" i="4"/>
  <c r="L25" i="4"/>
  <c r="N25" i="4" s="1"/>
  <c r="G25" i="4"/>
  <c r="E25" i="4"/>
  <c r="A25" i="4"/>
  <c r="L24" i="4"/>
  <c r="N24" i="4" s="1"/>
  <c r="E24" i="4"/>
  <c r="G24" i="4" s="1"/>
  <c r="A24" i="4"/>
  <c r="N23" i="4"/>
  <c r="L23" i="4"/>
  <c r="E23" i="4"/>
  <c r="G23" i="4" s="1"/>
  <c r="A23" i="4"/>
  <c r="L22" i="4"/>
  <c r="N22" i="4" s="1"/>
  <c r="E22" i="4"/>
  <c r="G22" i="4" s="1"/>
  <c r="A22" i="4"/>
  <c r="L21" i="4"/>
  <c r="N21" i="4" s="1"/>
  <c r="G21" i="4"/>
  <c r="E21" i="4"/>
  <c r="A21" i="4"/>
  <c r="L20" i="4"/>
  <c r="N20" i="4" s="1"/>
  <c r="E20" i="4"/>
  <c r="G20" i="4" s="1"/>
  <c r="A20" i="4"/>
  <c r="L19" i="4"/>
  <c r="N19" i="4" s="1"/>
  <c r="E19" i="4"/>
  <c r="G19" i="4" s="1"/>
  <c r="A19" i="4"/>
  <c r="D14" i="4"/>
  <c r="C14" i="4"/>
  <c r="B14" i="4"/>
  <c r="B41" i="4" s="1"/>
  <c r="AE65" i="5"/>
  <c r="AC65" i="5"/>
  <c r="AB65" i="5"/>
  <c r="R65" i="5"/>
  <c r="P65" i="5"/>
  <c r="O65" i="5"/>
  <c r="A65" i="5"/>
  <c r="AL64" i="5"/>
  <c r="AM64" i="5" s="1"/>
  <c r="AJ64" i="5"/>
  <c r="AK64" i="5" s="1"/>
  <c r="AG64" i="5"/>
  <c r="AH64" i="5" s="1"/>
  <c r="AE64" i="5"/>
  <c r="AD64" i="5"/>
  <c r="AB64" i="5"/>
  <c r="Q64" i="5"/>
  <c r="R64" i="5" s="1"/>
  <c r="O64" i="5"/>
  <c r="L64" i="5"/>
  <c r="E64" i="5"/>
  <c r="D64" i="5"/>
  <c r="BB63" i="5"/>
  <c r="BA63" i="5"/>
  <c r="AM63" i="5"/>
  <c r="AE63" i="5"/>
  <c r="AD63" i="5"/>
  <c r="AL63" i="5" s="1"/>
  <c r="AB63" i="5"/>
  <c r="Q63" i="5"/>
  <c r="O63" i="5"/>
  <c r="E63" i="5"/>
  <c r="D63" i="5"/>
  <c r="L63" i="5" s="1"/>
  <c r="AP62" i="5"/>
  <c r="AM62" i="5"/>
  <c r="AK62" i="5"/>
  <c r="AJ62" i="5"/>
  <c r="AG62" i="5"/>
  <c r="AH62" i="5" s="1"/>
  <c r="AE62" i="5"/>
  <c r="AB62" i="5"/>
  <c r="Z62" i="5"/>
  <c r="W62" i="5"/>
  <c r="X62" i="5" s="1"/>
  <c r="T62" i="5"/>
  <c r="U62" i="5" s="1"/>
  <c r="R62" i="5"/>
  <c r="O62" i="5"/>
  <c r="L62" i="5"/>
  <c r="E62" i="5"/>
  <c r="AB61" i="5"/>
  <c r="Y61" i="5"/>
  <c r="Q61" i="5"/>
  <c r="AD61" i="5" s="1"/>
  <c r="O61" i="5"/>
  <c r="M61" i="5"/>
  <c r="L61" i="5"/>
  <c r="J61" i="5" s="1"/>
  <c r="K61" i="5" s="1"/>
  <c r="G61" i="5"/>
  <c r="H61" i="5" s="1"/>
  <c r="E61" i="5"/>
  <c r="AU60" i="5"/>
  <c r="AP60" i="5"/>
  <c r="AT60" i="5" s="1"/>
  <c r="AM60" i="5"/>
  <c r="AL60" i="5"/>
  <c r="AJ60" i="5" s="1"/>
  <c r="AK60" i="5" s="1"/>
  <c r="AE60" i="5"/>
  <c r="AB60" i="5"/>
  <c r="Z60" i="5"/>
  <c r="Y60" i="5"/>
  <c r="W60" i="5" s="1"/>
  <c r="R60" i="5"/>
  <c r="O60" i="5"/>
  <c r="M60" i="5"/>
  <c r="L60" i="5"/>
  <c r="J60" i="5" s="1"/>
  <c r="K60" i="5" s="1"/>
  <c r="E60" i="5"/>
  <c r="AM58" i="5"/>
  <c r="AL58" i="5"/>
  <c r="AJ58" i="5" s="1"/>
  <c r="AK58" i="5" s="1"/>
  <c r="AG58" i="5"/>
  <c r="AH58" i="5" s="1"/>
  <c r="AE58" i="5"/>
  <c r="AB58" i="5"/>
  <c r="Z58" i="5"/>
  <c r="Y58" i="5"/>
  <c r="W58" i="5" s="1"/>
  <c r="X58" i="5" s="1"/>
  <c r="T58" i="5"/>
  <c r="U58" i="5" s="1"/>
  <c r="R58" i="5"/>
  <c r="O58" i="5"/>
  <c r="L58" i="5"/>
  <c r="J58" i="5" s="1"/>
  <c r="K58" i="5" s="1"/>
  <c r="G58" i="5"/>
  <c r="H58" i="5" s="1"/>
  <c r="E58" i="5"/>
  <c r="AL57" i="5"/>
  <c r="AE57" i="5"/>
  <c r="AB57" i="5"/>
  <c r="Y57" i="5"/>
  <c r="R57" i="5"/>
  <c r="O57" i="5"/>
  <c r="L57" i="5"/>
  <c r="E57" i="5"/>
  <c r="AB56" i="5"/>
  <c r="O56" i="5"/>
  <c r="AB55" i="5"/>
  <c r="O55" i="5"/>
  <c r="D55" i="5"/>
  <c r="AL54" i="5"/>
  <c r="AM54" i="5" s="1"/>
  <c r="AH54" i="5"/>
  <c r="AG54" i="5"/>
  <c r="AE54" i="5"/>
  <c r="AB54" i="5"/>
  <c r="Y54" i="5"/>
  <c r="Z54" i="5" s="1"/>
  <c r="U54" i="5"/>
  <c r="T54" i="5"/>
  <c r="R54" i="5"/>
  <c r="O54" i="5"/>
  <c r="D54" i="5"/>
  <c r="E54" i="5" s="1"/>
  <c r="AL53" i="5"/>
  <c r="AM53" i="5" s="1"/>
  <c r="AH53" i="5"/>
  <c r="AG53" i="5"/>
  <c r="AE53" i="5"/>
  <c r="AB53" i="5"/>
  <c r="Y53" i="5"/>
  <c r="Z53" i="5" s="1"/>
  <c r="U53" i="5"/>
  <c r="T53" i="5"/>
  <c r="R53" i="5"/>
  <c r="O53" i="5"/>
  <c r="A52" i="5"/>
  <c r="AL51" i="5"/>
  <c r="AE51" i="5"/>
  <c r="AD51" i="5"/>
  <c r="AB51" i="5"/>
  <c r="Z51" i="5"/>
  <c r="Z50" i="5" s="1"/>
  <c r="R51" i="5"/>
  <c r="Q51" i="5"/>
  <c r="Y51" i="5" s="1"/>
  <c r="O51" i="5"/>
  <c r="D51" i="5"/>
  <c r="AL50" i="5"/>
  <c r="A50" i="5"/>
  <c r="AP49" i="5"/>
  <c r="AM49" i="5"/>
  <c r="AK49" i="5"/>
  <c r="AJ49" i="5"/>
  <c r="AG49" i="5"/>
  <c r="AH49" i="5" s="1"/>
  <c r="AE49" i="5"/>
  <c r="AB49" i="5"/>
  <c r="Z49" i="5"/>
  <c r="Y49" i="5"/>
  <c r="W49" i="5" s="1"/>
  <c r="X49" i="5" s="1"/>
  <c r="T49" i="5"/>
  <c r="U49" i="5" s="1"/>
  <c r="R49" i="5"/>
  <c r="O49" i="5"/>
  <c r="M49" i="5"/>
  <c r="J49" i="5"/>
  <c r="K49" i="5" s="1"/>
  <c r="G49" i="5"/>
  <c r="H49" i="5" s="1"/>
  <c r="E49" i="5"/>
  <c r="AM48" i="5"/>
  <c r="AJ48" i="5"/>
  <c r="AK48" i="5" s="1"/>
  <c r="AH48" i="5"/>
  <c r="AG48" i="5"/>
  <c r="AE48" i="5"/>
  <c r="AB48" i="5"/>
  <c r="Y48" i="5"/>
  <c r="T48" i="5" s="1"/>
  <c r="U48" i="5"/>
  <c r="R48" i="5"/>
  <c r="O48" i="5"/>
  <c r="L48" i="5"/>
  <c r="G48" i="5" s="1"/>
  <c r="H48" i="5"/>
  <c r="E48" i="5"/>
  <c r="AL47" i="5"/>
  <c r="AM47" i="5" s="1"/>
  <c r="AM46" i="5" s="1"/>
  <c r="AJ47" i="5"/>
  <c r="AK47" i="5" s="1"/>
  <c r="AK46" i="5" s="1"/>
  <c r="AG47" i="5"/>
  <c r="AH47" i="5" s="1"/>
  <c r="AE47" i="5"/>
  <c r="AB47" i="5"/>
  <c r="R47" i="5"/>
  <c r="Q47" i="5"/>
  <c r="Y47" i="5" s="1"/>
  <c r="O47" i="5"/>
  <c r="L47" i="5"/>
  <c r="K47" i="5"/>
  <c r="J47" i="5"/>
  <c r="G47" i="5"/>
  <c r="E47" i="5"/>
  <c r="AL46" i="5"/>
  <c r="AG46" i="5"/>
  <c r="L46" i="5"/>
  <c r="A46" i="5"/>
  <c r="AB45" i="5"/>
  <c r="Y45" i="5"/>
  <c r="T45" i="5" s="1"/>
  <c r="U45" i="5" s="1"/>
  <c r="Q45" i="5"/>
  <c r="AD45" i="5" s="1"/>
  <c r="P45" i="5"/>
  <c r="O45" i="5"/>
  <c r="D45" i="5"/>
  <c r="E45" i="5" s="1"/>
  <c r="C45" i="5"/>
  <c r="A45" i="5"/>
  <c r="AE44" i="5"/>
  <c r="AB44" i="5"/>
  <c r="Q44" i="5"/>
  <c r="AD44" i="5" s="1"/>
  <c r="AL44" i="5" s="1"/>
  <c r="P44" i="5"/>
  <c r="Y44" i="5" s="1"/>
  <c r="W44" i="5" s="1"/>
  <c r="X44" i="5" s="1"/>
  <c r="O44" i="5"/>
  <c r="E44" i="5"/>
  <c r="D44" i="5"/>
  <c r="C44" i="5"/>
  <c r="L44" i="5" s="1"/>
  <c r="A44" i="5"/>
  <c r="AB43" i="5"/>
  <c r="Q43" i="5"/>
  <c r="P43" i="5"/>
  <c r="O43" i="5"/>
  <c r="D43" i="5"/>
  <c r="E43" i="5" s="1"/>
  <c r="C43" i="5"/>
  <c r="L43" i="5" s="1"/>
  <c r="A43" i="5"/>
  <c r="AB42" i="5"/>
  <c r="Q42" i="5"/>
  <c r="AD42" i="5" s="1"/>
  <c r="P42" i="5"/>
  <c r="Y42" i="5" s="1"/>
  <c r="W42" i="5" s="1"/>
  <c r="X42" i="5" s="1"/>
  <c r="O42" i="5"/>
  <c r="D42" i="5"/>
  <c r="E42" i="5" s="1"/>
  <c r="C42" i="5"/>
  <c r="G45" i="1" s="1"/>
  <c r="A42" i="5"/>
  <c r="A41" i="5"/>
  <c r="AV40" i="5"/>
  <c r="AF40" i="5"/>
  <c r="AC40" i="5"/>
  <c r="S40" i="5"/>
  <c r="P40" i="5"/>
  <c r="F40" i="5"/>
  <c r="C40" i="5"/>
  <c r="AV39" i="5"/>
  <c r="AF39" i="5"/>
  <c r="AC39" i="5"/>
  <c r="S39" i="5"/>
  <c r="P39" i="5"/>
  <c r="F39" i="5"/>
  <c r="C39" i="5"/>
  <c r="AV38" i="5"/>
  <c r="AF38" i="5"/>
  <c r="AC38" i="5"/>
  <c r="S38" i="5"/>
  <c r="P38" i="5"/>
  <c r="F38" i="5"/>
  <c r="C38" i="5"/>
  <c r="AV37" i="5"/>
  <c r="AF37" i="5"/>
  <c r="AC37" i="5"/>
  <c r="S37" i="5"/>
  <c r="P37" i="5"/>
  <c r="F37" i="5"/>
  <c r="C37" i="5"/>
  <c r="AV36" i="5"/>
  <c r="AF36" i="5"/>
  <c r="AC36" i="5"/>
  <c r="S36" i="5"/>
  <c r="P36" i="5"/>
  <c r="F36" i="5"/>
  <c r="C36" i="5"/>
  <c r="AV35" i="5"/>
  <c r="AF35" i="5"/>
  <c r="AC35" i="5"/>
  <c r="S35" i="5"/>
  <c r="P35" i="5"/>
  <c r="F35" i="5"/>
  <c r="C35" i="5"/>
  <c r="AV34" i="5"/>
  <c r="AF34" i="5"/>
  <c r="AC34" i="5"/>
  <c r="S34" i="5"/>
  <c r="P34" i="5"/>
  <c r="L34" i="5"/>
  <c r="F34" i="5"/>
  <c r="C34" i="5"/>
  <c r="AV33" i="5"/>
  <c r="AF33" i="5"/>
  <c r="AC33" i="5"/>
  <c r="S33" i="5"/>
  <c r="P33" i="5"/>
  <c r="F33" i="5"/>
  <c r="C33" i="5"/>
  <c r="AV32" i="5"/>
  <c r="AF32" i="5"/>
  <c r="AC32" i="5"/>
  <c r="S32" i="5"/>
  <c r="P32" i="5"/>
  <c r="F32" i="5"/>
  <c r="C32" i="5"/>
  <c r="AV31" i="5"/>
  <c r="AF31" i="5"/>
  <c r="AC31" i="5"/>
  <c r="S31" i="5"/>
  <c r="P31" i="5"/>
  <c r="F31" i="5"/>
  <c r="C31" i="5"/>
  <c r="AV30" i="5"/>
  <c r="AF30" i="5"/>
  <c r="AC30" i="5"/>
  <c r="S30" i="5"/>
  <c r="P30" i="5"/>
  <c r="F30" i="5"/>
  <c r="C30" i="5"/>
  <c r="AV29" i="5"/>
  <c r="AF29" i="5"/>
  <c r="AC29" i="5"/>
  <c r="S29" i="5"/>
  <c r="P29" i="5"/>
  <c r="F29" i="5"/>
  <c r="C29" i="5"/>
  <c r="AV28" i="5"/>
  <c r="AF28" i="5"/>
  <c r="AC28" i="5"/>
  <c r="S28" i="5"/>
  <c r="P28" i="5"/>
  <c r="F28" i="5"/>
  <c r="C28" i="5"/>
  <c r="AV27" i="5"/>
  <c r="AF27" i="5"/>
  <c r="AC27" i="5"/>
  <c r="S27" i="5"/>
  <c r="P27" i="5"/>
  <c r="F27" i="5"/>
  <c r="C27" i="5"/>
  <c r="AV26" i="5"/>
  <c r="AF26" i="5"/>
  <c r="AC26" i="5"/>
  <c r="S26" i="5"/>
  <c r="P26" i="5"/>
  <c r="F26" i="5"/>
  <c r="C26" i="5"/>
  <c r="AV25" i="5"/>
  <c r="AF25" i="5"/>
  <c r="AC25" i="5"/>
  <c r="S25" i="5"/>
  <c r="P25" i="5"/>
  <c r="F25" i="5"/>
  <c r="C25" i="5"/>
  <c r="AV24" i="5"/>
  <c r="AF24" i="5"/>
  <c r="AC24" i="5"/>
  <c r="S24" i="5"/>
  <c r="P24" i="5"/>
  <c r="F24" i="5"/>
  <c r="C24" i="5"/>
  <c r="AV23" i="5"/>
  <c r="AF23" i="5"/>
  <c r="AC23" i="5"/>
  <c r="S23" i="5"/>
  <c r="P23" i="5"/>
  <c r="F23" i="5"/>
  <c r="C23" i="5"/>
  <c r="A22" i="5"/>
  <c r="AX21" i="5"/>
  <c r="AO21" i="5"/>
  <c r="AO40" i="5" s="1"/>
  <c r="E21" i="5"/>
  <c r="D21" i="5"/>
  <c r="D40" i="5" s="1"/>
  <c r="E40" i="5" s="1"/>
  <c r="A21" i="5"/>
  <c r="A40" i="5" s="1"/>
  <c r="AX20" i="5"/>
  <c r="AO20" i="5"/>
  <c r="AO39" i="5" s="1"/>
  <c r="E20" i="5"/>
  <c r="D20" i="5"/>
  <c r="D39" i="5" s="1"/>
  <c r="E39" i="5" s="1"/>
  <c r="A20" i="5"/>
  <c r="A39" i="5" s="1"/>
  <c r="AX19" i="5"/>
  <c r="AO19" i="5"/>
  <c r="AO38" i="5" s="1"/>
  <c r="L19" i="5"/>
  <c r="E19" i="5"/>
  <c r="D19" i="5"/>
  <c r="D38" i="5" s="1"/>
  <c r="E38" i="5" s="1"/>
  <c r="A19" i="5"/>
  <c r="A38" i="5" s="1"/>
  <c r="AX18" i="5"/>
  <c r="AO18" i="5"/>
  <c r="AO37" i="5" s="1"/>
  <c r="D18" i="5"/>
  <c r="A18" i="5"/>
  <c r="A37" i="5" s="1"/>
  <c r="AX17" i="5"/>
  <c r="AO17" i="5"/>
  <c r="AO36" i="5" s="1"/>
  <c r="E17" i="5"/>
  <c r="D17" i="5"/>
  <c r="D36" i="5" s="1"/>
  <c r="E36" i="5" s="1"/>
  <c r="A17" i="5"/>
  <c r="A36" i="5" s="1"/>
  <c r="AX16" i="5"/>
  <c r="AO16" i="5"/>
  <c r="AO35" i="5" s="1"/>
  <c r="E16" i="5"/>
  <c r="D16" i="5"/>
  <c r="D35" i="5" s="1"/>
  <c r="E35" i="5" s="1"/>
  <c r="A16" i="5"/>
  <c r="A35" i="5" s="1"/>
  <c r="AX15" i="5"/>
  <c r="AO15" i="5"/>
  <c r="AO34" i="5" s="1"/>
  <c r="L15" i="5"/>
  <c r="E15" i="5"/>
  <c r="D15" i="5"/>
  <c r="D34" i="5" s="1"/>
  <c r="E34" i="5" s="1"/>
  <c r="A15" i="5"/>
  <c r="A34" i="5" s="1"/>
  <c r="AX14" i="5"/>
  <c r="AO14" i="5"/>
  <c r="AO33" i="5" s="1"/>
  <c r="D14" i="5"/>
  <c r="A14" i="5"/>
  <c r="A33" i="5" s="1"/>
  <c r="AX13" i="5"/>
  <c r="AO13" i="5"/>
  <c r="AO32" i="5" s="1"/>
  <c r="E13" i="5"/>
  <c r="D13" i="5"/>
  <c r="D32" i="5" s="1"/>
  <c r="E32" i="5" s="1"/>
  <c r="A13" i="5"/>
  <c r="A32" i="5" s="1"/>
  <c r="AX12" i="5"/>
  <c r="AO12" i="5"/>
  <c r="AO31" i="5" s="1"/>
  <c r="E12" i="5"/>
  <c r="D12" i="5"/>
  <c r="D31" i="5" s="1"/>
  <c r="E31" i="5" s="1"/>
  <c r="A12" i="5"/>
  <c r="A31" i="5" s="1"/>
  <c r="AX11" i="5"/>
  <c r="AO11" i="5"/>
  <c r="AO30" i="5" s="1"/>
  <c r="L11" i="5"/>
  <c r="E11" i="5"/>
  <c r="D11" i="5"/>
  <c r="D30" i="5" s="1"/>
  <c r="E30" i="5" s="1"/>
  <c r="A11" i="5"/>
  <c r="A30" i="5" s="1"/>
  <c r="AX10" i="5"/>
  <c r="AO10" i="5"/>
  <c r="AO29" i="5" s="1"/>
  <c r="D10" i="5"/>
  <c r="A10" i="5"/>
  <c r="A29" i="5" s="1"/>
  <c r="AX9" i="5"/>
  <c r="AO9" i="5"/>
  <c r="AO28" i="5" s="1"/>
  <c r="E9" i="5"/>
  <c r="D9" i="5"/>
  <c r="A9" i="5"/>
  <c r="A28" i="5" s="1"/>
  <c r="AX8" i="5"/>
  <c r="AO8" i="5"/>
  <c r="AO27" i="5" s="1"/>
  <c r="L8" i="5"/>
  <c r="D8" i="5"/>
  <c r="D27" i="5" s="1"/>
  <c r="A8" i="5"/>
  <c r="A27" i="5" s="1"/>
  <c r="AX7" i="5"/>
  <c r="AO7" i="5"/>
  <c r="AO26" i="5" s="1"/>
  <c r="M7" i="5"/>
  <c r="L7" i="5"/>
  <c r="G7" i="5" s="1"/>
  <c r="H7" i="5" s="1"/>
  <c r="J7" i="5"/>
  <c r="K7" i="5" s="1"/>
  <c r="D7" i="5"/>
  <c r="D26" i="5" s="1"/>
  <c r="A7" i="5"/>
  <c r="A26" i="5" s="1"/>
  <c r="AX6" i="5"/>
  <c r="AO6" i="5"/>
  <c r="AO25" i="5" s="1"/>
  <c r="L6" i="5"/>
  <c r="E6" i="5"/>
  <c r="D6" i="5"/>
  <c r="D25" i="5" s="1"/>
  <c r="A6" i="5"/>
  <c r="A25" i="5" s="1"/>
  <c r="AX5" i="5"/>
  <c r="AO5" i="5"/>
  <c r="AO24" i="5" s="1"/>
  <c r="Q5" i="5"/>
  <c r="D5" i="5"/>
  <c r="A5" i="5"/>
  <c r="A24" i="5" s="1"/>
  <c r="AX4" i="5"/>
  <c r="AO4" i="5"/>
  <c r="AO23" i="5" s="1"/>
  <c r="L4" i="5"/>
  <c r="K4" i="5"/>
  <c r="J4" i="5"/>
  <c r="D4" i="5"/>
  <c r="D23" i="5" s="1"/>
  <c r="A4" i="5"/>
  <c r="A23" i="5" s="1"/>
  <c r="A3" i="5"/>
  <c r="F11" i="7"/>
  <c r="D11" i="7"/>
  <c r="G10" i="7"/>
  <c r="E10" i="7"/>
  <c r="G9" i="7"/>
  <c r="E9" i="7"/>
  <c r="G8" i="7"/>
  <c r="E8" i="7"/>
  <c r="G7" i="7"/>
  <c r="E7" i="7"/>
  <c r="G6" i="7"/>
  <c r="E6" i="7"/>
  <c r="G5" i="7"/>
  <c r="E5" i="7"/>
  <c r="G4" i="7"/>
  <c r="G11" i="7" s="1"/>
  <c r="E4" i="7"/>
  <c r="Q68" i="1"/>
  <c r="G68" i="1"/>
  <c r="G67" i="1"/>
  <c r="G66" i="1"/>
  <c r="H65" i="1"/>
  <c r="I65" i="1" s="1"/>
  <c r="G65" i="1"/>
  <c r="G64" i="1"/>
  <c r="H63" i="1"/>
  <c r="I63" i="1" s="1"/>
  <c r="G63" i="1"/>
  <c r="H61" i="1"/>
  <c r="G61" i="1"/>
  <c r="H60" i="1"/>
  <c r="I60" i="1" s="1"/>
  <c r="G60" i="1"/>
  <c r="G59" i="1"/>
  <c r="C56" i="5" s="1"/>
  <c r="H58" i="1"/>
  <c r="I58" i="1" s="1"/>
  <c r="G58" i="1"/>
  <c r="C55" i="5" s="1"/>
  <c r="L55" i="5" s="1"/>
  <c r="H57" i="1"/>
  <c r="I57" i="1" s="1"/>
  <c r="H56" i="1"/>
  <c r="I56" i="1" s="1"/>
  <c r="G56" i="1"/>
  <c r="G54" i="1"/>
  <c r="H52" i="1"/>
  <c r="I52" i="1" s="1"/>
  <c r="G52" i="1"/>
  <c r="H51" i="1"/>
  <c r="I51" i="1" s="1"/>
  <c r="G51" i="1"/>
  <c r="H50" i="1"/>
  <c r="I50" i="1" s="1"/>
  <c r="G50" i="1"/>
  <c r="G48" i="1"/>
  <c r="H47" i="1"/>
  <c r="I47" i="1" s="1"/>
  <c r="H46" i="1"/>
  <c r="I46" i="1" s="1"/>
  <c r="G46" i="1"/>
  <c r="H45" i="1"/>
  <c r="G43" i="1"/>
  <c r="E43" i="1"/>
  <c r="G42" i="1"/>
  <c r="E42" i="1"/>
  <c r="G41" i="1"/>
  <c r="E41" i="1"/>
  <c r="G40" i="1"/>
  <c r="E40" i="1"/>
  <c r="G39" i="1"/>
  <c r="E39" i="1"/>
  <c r="G38" i="1"/>
  <c r="E38" i="1"/>
  <c r="G37" i="1"/>
  <c r="E37" i="1"/>
  <c r="G36" i="1"/>
  <c r="E36" i="1"/>
  <c r="G35" i="1"/>
  <c r="E35" i="1"/>
  <c r="G34" i="1"/>
  <c r="E34" i="1"/>
  <c r="G33" i="1"/>
  <c r="E33" i="1"/>
  <c r="G32" i="1"/>
  <c r="E32" i="1"/>
  <c r="G31" i="1"/>
  <c r="E31" i="1"/>
  <c r="G30" i="1"/>
  <c r="E30" i="1"/>
  <c r="G29" i="1"/>
  <c r="E29" i="1"/>
  <c r="G28" i="1"/>
  <c r="E28" i="1"/>
  <c r="G27" i="1"/>
  <c r="E27" i="1"/>
  <c r="G26" i="1"/>
  <c r="E26" i="1"/>
  <c r="R24" i="1"/>
  <c r="R43" i="1" s="1"/>
  <c r="Q24" i="1"/>
  <c r="N24" i="1"/>
  <c r="N43" i="1" s="1"/>
  <c r="G24" i="1"/>
  <c r="R23" i="1"/>
  <c r="R42" i="1" s="1"/>
  <c r="Q23" i="1"/>
  <c r="N23" i="1"/>
  <c r="N42" i="1" s="1"/>
  <c r="G23" i="1"/>
  <c r="R22" i="1"/>
  <c r="R41" i="1" s="1"/>
  <c r="Q22" i="1"/>
  <c r="N22" i="1"/>
  <c r="N41" i="1" s="1"/>
  <c r="G22" i="1"/>
  <c r="R21" i="1"/>
  <c r="R40" i="1" s="1"/>
  <c r="Q21" i="1"/>
  <c r="N21" i="1"/>
  <c r="N40" i="1" s="1"/>
  <c r="G21" i="1"/>
  <c r="R20" i="1"/>
  <c r="R39" i="1" s="1"/>
  <c r="Q20" i="1"/>
  <c r="N20" i="1"/>
  <c r="N39" i="1" s="1"/>
  <c r="G20" i="1"/>
  <c r="R19" i="1"/>
  <c r="R38" i="1" s="1"/>
  <c r="Q19" i="1"/>
  <c r="N19" i="1"/>
  <c r="N38" i="1" s="1"/>
  <c r="G19" i="1"/>
  <c r="R18" i="1"/>
  <c r="R37" i="1" s="1"/>
  <c r="Q18" i="1"/>
  <c r="N18" i="1"/>
  <c r="N37" i="1" s="1"/>
  <c r="G18" i="1"/>
  <c r="R17" i="1"/>
  <c r="R36" i="1" s="1"/>
  <c r="Q17" i="1"/>
  <c r="N17" i="1"/>
  <c r="N36" i="1" s="1"/>
  <c r="G17" i="1"/>
  <c r="R16" i="1"/>
  <c r="R35" i="1" s="1"/>
  <c r="Q16" i="1"/>
  <c r="N16" i="1"/>
  <c r="N35" i="1" s="1"/>
  <c r="G16" i="1"/>
  <c r="R15" i="1"/>
  <c r="R34" i="1" s="1"/>
  <c r="Q15" i="1"/>
  <c r="N15" i="1"/>
  <c r="N34" i="1" s="1"/>
  <c r="G15" i="1"/>
  <c r="R14" i="1"/>
  <c r="R33" i="1" s="1"/>
  <c r="Q14" i="1"/>
  <c r="N14" i="1"/>
  <c r="N33" i="1" s="1"/>
  <c r="G14" i="1"/>
  <c r="R13" i="1"/>
  <c r="R32" i="1" s="1"/>
  <c r="Q13" i="1"/>
  <c r="N13" i="1"/>
  <c r="N32" i="1" s="1"/>
  <c r="G13" i="1"/>
  <c r="R12" i="1"/>
  <c r="R31" i="1" s="1"/>
  <c r="Q12" i="1"/>
  <c r="N12" i="1"/>
  <c r="N31" i="1" s="1"/>
  <c r="G12" i="1"/>
  <c r="R11" i="1"/>
  <c r="R30" i="1" s="1"/>
  <c r="Q11" i="1"/>
  <c r="N11" i="1"/>
  <c r="N30" i="1" s="1"/>
  <c r="G11" i="1"/>
  <c r="R10" i="1"/>
  <c r="R29" i="1" s="1"/>
  <c r="Q10" i="1"/>
  <c r="N10" i="1"/>
  <c r="N29" i="1" s="1"/>
  <c r="G10" i="1"/>
  <c r="R9" i="1"/>
  <c r="R28" i="1" s="1"/>
  <c r="Q9" i="1"/>
  <c r="N9" i="1"/>
  <c r="N28" i="1" s="1"/>
  <c r="G9" i="1"/>
  <c r="R8" i="1"/>
  <c r="R27" i="1" s="1"/>
  <c r="Q8" i="1"/>
  <c r="N8" i="1"/>
  <c r="N27" i="1" s="1"/>
  <c r="G8" i="1"/>
  <c r="R7" i="1"/>
  <c r="R26" i="1" s="1"/>
  <c r="Q7" i="1"/>
  <c r="N7" i="1"/>
  <c r="N26" i="1" s="1"/>
  <c r="G7" i="1"/>
  <c r="J50" i="1" l="1"/>
  <c r="J49" i="1" s="1"/>
  <c r="J65" i="1"/>
  <c r="J52" i="1"/>
  <c r="J60" i="1"/>
  <c r="L60" i="1" s="1"/>
  <c r="M60" i="1" s="1"/>
  <c r="J61" i="1"/>
  <c r="J63" i="1"/>
  <c r="L63" i="1" s="1"/>
  <c r="J51" i="1"/>
  <c r="K51" i="1" s="1"/>
  <c r="E56" i="5"/>
  <c r="Q56" i="5"/>
  <c r="AD56" i="5" s="1"/>
  <c r="L56" i="5"/>
  <c r="J56" i="5" s="1"/>
  <c r="K56" i="5" s="1"/>
  <c r="H59" i="1"/>
  <c r="I59" i="1" s="1"/>
  <c r="E50" i="4"/>
  <c r="G47" i="1"/>
  <c r="J47" i="1" s="1"/>
  <c r="O47" i="1" s="1"/>
  <c r="P47" i="1" s="1"/>
  <c r="J56" i="1"/>
  <c r="O56" i="1" s="1"/>
  <c r="P56" i="1" s="1"/>
  <c r="L42" i="5"/>
  <c r="L45" i="5"/>
  <c r="M58" i="5"/>
  <c r="T44" i="5"/>
  <c r="U44" i="5" s="1"/>
  <c r="E43" i="4"/>
  <c r="J45" i="1"/>
  <c r="O45" i="1" s="1"/>
  <c r="H48" i="1"/>
  <c r="I48" i="1" s="1"/>
  <c r="E44" i="4"/>
  <c r="Q24" i="5"/>
  <c r="Y5" i="5"/>
  <c r="R5" i="5"/>
  <c r="O65" i="1"/>
  <c r="P65" i="1" s="1"/>
  <c r="L65" i="1"/>
  <c r="M65" i="1" s="1"/>
  <c r="K65" i="1"/>
  <c r="AD5" i="5"/>
  <c r="J11" i="5"/>
  <c r="K11" i="5" s="1"/>
  <c r="G11" i="5"/>
  <c r="H11" i="5" s="1"/>
  <c r="M11" i="5"/>
  <c r="L51" i="1"/>
  <c r="M51" i="1" s="1"/>
  <c r="O60" i="1"/>
  <c r="P60" i="1" s="1"/>
  <c r="K60" i="1"/>
  <c r="J6" i="5"/>
  <c r="K6" i="5" s="1"/>
  <c r="G6" i="5"/>
  <c r="H6" i="5" s="1"/>
  <c r="M6" i="5"/>
  <c r="L50" i="1"/>
  <c r="K50" i="1"/>
  <c r="K52" i="1"/>
  <c r="O52" i="1"/>
  <c r="P52" i="1" s="1"/>
  <c r="O61" i="1"/>
  <c r="P61" i="1" s="1"/>
  <c r="L61" i="1"/>
  <c r="M61" i="1" s="1"/>
  <c r="K61" i="1"/>
  <c r="J8" i="5"/>
  <c r="K8" i="5" s="1"/>
  <c r="G8" i="5"/>
  <c r="H8" i="5" s="1"/>
  <c r="J15" i="5"/>
  <c r="K15" i="5" s="1"/>
  <c r="G15" i="5"/>
  <c r="H15" i="5" s="1"/>
  <c r="M15" i="5"/>
  <c r="I45" i="1"/>
  <c r="O50" i="1"/>
  <c r="I61" i="1"/>
  <c r="D24" i="5"/>
  <c r="L5" i="5"/>
  <c r="E5" i="5"/>
  <c r="M8" i="5"/>
  <c r="D33" i="5"/>
  <c r="L14" i="5"/>
  <c r="E14" i="5"/>
  <c r="J46" i="1"/>
  <c r="L52" i="1"/>
  <c r="M52" i="1" s="1"/>
  <c r="E11" i="7"/>
  <c r="Q14" i="5"/>
  <c r="E27" i="5"/>
  <c r="L27" i="5"/>
  <c r="Q8" i="5"/>
  <c r="D29" i="5"/>
  <c r="L10" i="5"/>
  <c r="D37" i="5"/>
  <c r="L18" i="5"/>
  <c r="E18" i="5"/>
  <c r="AT62" i="5"/>
  <c r="AU62" i="5" s="1"/>
  <c r="AR62" i="5"/>
  <c r="AQ62" i="5"/>
  <c r="M4" i="5"/>
  <c r="E25" i="5"/>
  <c r="L25" i="5"/>
  <c r="Q6" i="5"/>
  <c r="E8" i="5"/>
  <c r="D28" i="5"/>
  <c r="Q9" i="5"/>
  <c r="L9" i="5"/>
  <c r="E10" i="5"/>
  <c r="Q18" i="5"/>
  <c r="J19" i="5"/>
  <c r="K19" i="5" s="1"/>
  <c r="G19" i="5"/>
  <c r="H19" i="5" s="1"/>
  <c r="M19" i="5"/>
  <c r="J34" i="5"/>
  <c r="K34" i="5" s="1"/>
  <c r="G34" i="5"/>
  <c r="H34" i="5" s="1"/>
  <c r="M34" i="5"/>
  <c r="J57" i="5"/>
  <c r="K57" i="5" s="1"/>
  <c r="G57" i="5"/>
  <c r="H57" i="5" s="1"/>
  <c r="AP57" i="5"/>
  <c r="M57" i="5"/>
  <c r="M55" i="5"/>
  <c r="J55" i="5"/>
  <c r="K55" i="5" s="1"/>
  <c r="G55" i="5"/>
  <c r="H55" i="5" s="1"/>
  <c r="E23" i="5"/>
  <c r="L23" i="5"/>
  <c r="Q4" i="5"/>
  <c r="BA4" i="5"/>
  <c r="E4" i="5"/>
  <c r="E26" i="5"/>
  <c r="L26" i="5"/>
  <c r="Q7" i="5"/>
  <c r="BA7" i="5"/>
  <c r="AD43" i="5"/>
  <c r="Y43" i="5"/>
  <c r="Y41" i="5" s="1"/>
  <c r="R43" i="5"/>
  <c r="AJ44" i="5"/>
  <c r="AK44" i="5" s="1"/>
  <c r="AG44" i="5"/>
  <c r="AH44" i="5" s="1"/>
  <c r="AM44" i="5"/>
  <c r="G4" i="5"/>
  <c r="E7" i="5"/>
  <c r="Q10" i="5"/>
  <c r="J58" i="1"/>
  <c r="L31" i="5"/>
  <c r="L39" i="5"/>
  <c r="Z47" i="5"/>
  <c r="W47" i="5"/>
  <c r="T47" i="5"/>
  <c r="Y46" i="5"/>
  <c r="K59" i="5"/>
  <c r="Q11" i="5"/>
  <c r="L12" i="5"/>
  <c r="Q15" i="5"/>
  <c r="L16" i="5"/>
  <c r="Q19" i="5"/>
  <c r="L20" i="5"/>
  <c r="L32" i="5"/>
  <c r="L40" i="5"/>
  <c r="J42" i="5"/>
  <c r="G42" i="5"/>
  <c r="L41" i="5"/>
  <c r="M42" i="5"/>
  <c r="L35" i="5"/>
  <c r="M43" i="5"/>
  <c r="J43" i="5"/>
  <c r="K43" i="5" s="1"/>
  <c r="M44" i="5"/>
  <c r="AP44" i="5"/>
  <c r="J44" i="5"/>
  <c r="K44" i="5" s="1"/>
  <c r="G44" i="5"/>
  <c r="H44" i="5" s="1"/>
  <c r="X60" i="5"/>
  <c r="Q12" i="5"/>
  <c r="L13" i="5"/>
  <c r="Q16" i="5"/>
  <c r="L17" i="5"/>
  <c r="Q20" i="5"/>
  <c r="L21" i="5"/>
  <c r="L30" i="5"/>
  <c r="L38" i="5"/>
  <c r="T42" i="5"/>
  <c r="Z42" i="5"/>
  <c r="AE42" i="5"/>
  <c r="AL42" i="5"/>
  <c r="AP42" i="5" s="1"/>
  <c r="G43" i="5"/>
  <c r="H43" i="5" s="1"/>
  <c r="J45" i="5"/>
  <c r="K45" i="5" s="1"/>
  <c r="G45" i="5"/>
  <c r="H45" i="5" s="1"/>
  <c r="M45" i="5"/>
  <c r="Q13" i="5"/>
  <c r="Q17" i="5"/>
  <c r="Q21" i="5"/>
  <c r="L36" i="5"/>
  <c r="Q55" i="5"/>
  <c r="E55" i="5"/>
  <c r="W61" i="5"/>
  <c r="X61" i="5" s="1"/>
  <c r="T61" i="5"/>
  <c r="U61" i="5" s="1"/>
  <c r="Z61" i="5"/>
  <c r="Z44" i="5"/>
  <c r="M63" i="5"/>
  <c r="J63" i="5"/>
  <c r="K63" i="5" s="1"/>
  <c r="AP63" i="5"/>
  <c r="G63" i="5"/>
  <c r="H63" i="5" s="1"/>
  <c r="L51" i="5"/>
  <c r="E51" i="5"/>
  <c r="AJ51" i="5"/>
  <c r="BE51" i="5"/>
  <c r="AG51" i="5"/>
  <c r="AM51" i="5"/>
  <c r="AM50" i="5" s="1"/>
  <c r="AE56" i="5"/>
  <c r="AL56" i="5"/>
  <c r="E41" i="4"/>
  <c r="G46" i="5"/>
  <c r="H47" i="5"/>
  <c r="H46" i="5" s="1"/>
  <c r="W57" i="5"/>
  <c r="X57" i="5" s="1"/>
  <c r="T57" i="5"/>
  <c r="U57" i="5" s="1"/>
  <c r="Z57" i="5"/>
  <c r="G33" i="4"/>
  <c r="AH46" i="5"/>
  <c r="W51" i="5"/>
  <c r="BD51" i="5"/>
  <c r="T51" i="5"/>
  <c r="Y50" i="5"/>
  <c r="J62" i="5"/>
  <c r="K62" i="5" s="1"/>
  <c r="G62" i="5"/>
  <c r="H62" i="5" s="1"/>
  <c r="M62" i="5"/>
  <c r="Y63" i="5"/>
  <c r="R63" i="5"/>
  <c r="E38" i="4"/>
  <c r="G50" i="4" s="1"/>
  <c r="R42" i="5"/>
  <c r="AE45" i="5"/>
  <c r="AL45" i="5"/>
  <c r="AT49" i="5"/>
  <c r="AU49" i="5" s="1"/>
  <c r="AR49" i="5"/>
  <c r="AQ49" i="5"/>
  <c r="J64" i="5"/>
  <c r="K64" i="5" s="1"/>
  <c r="AP64" i="5"/>
  <c r="G64" i="5"/>
  <c r="H64" i="5" s="1"/>
  <c r="M64" i="5"/>
  <c r="N33" i="4"/>
  <c r="AP47" i="5"/>
  <c r="AJ57" i="5"/>
  <c r="AK57" i="5" s="1"/>
  <c r="AG57" i="5"/>
  <c r="AH57" i="5" s="1"/>
  <c r="AM57" i="5"/>
  <c r="AE61" i="5"/>
  <c r="AL61" i="5"/>
  <c r="AP61" i="5" s="1"/>
  <c r="AJ63" i="5"/>
  <c r="AK63" i="5" s="1"/>
  <c r="AG63" i="5"/>
  <c r="AH63" i="5" s="1"/>
  <c r="C53" i="5"/>
  <c r="L53" i="5" s="1"/>
  <c r="B42" i="4"/>
  <c r="E42" i="4" s="1"/>
  <c r="W45" i="5"/>
  <c r="X45" i="5" s="1"/>
  <c r="J48" i="5"/>
  <c r="W48" i="5"/>
  <c r="X48" i="5" s="1"/>
  <c r="Y56" i="5"/>
  <c r="AP58" i="5"/>
  <c r="Y64" i="5"/>
  <c r="R44" i="5"/>
  <c r="R61" i="5"/>
  <c r="Z45" i="5"/>
  <c r="AJ46" i="5"/>
  <c r="M48" i="5"/>
  <c r="Z48" i="5"/>
  <c r="AP48" i="5"/>
  <c r="W53" i="5"/>
  <c r="AJ53" i="5"/>
  <c r="W54" i="5"/>
  <c r="X54" i="5" s="1"/>
  <c r="AJ54" i="5"/>
  <c r="AK54" i="5" s="1"/>
  <c r="R56" i="5"/>
  <c r="AQ60" i="5"/>
  <c r="M47" i="5"/>
  <c r="M46" i="5" s="1"/>
  <c r="G60" i="5"/>
  <c r="T60" i="5"/>
  <c r="AG60" i="5"/>
  <c r="AR60" i="5"/>
  <c r="R45" i="5"/>
  <c r="O51" i="1" l="1"/>
  <c r="P51" i="1" s="1"/>
  <c r="K63" i="1"/>
  <c r="O63" i="1"/>
  <c r="M56" i="5"/>
  <c r="G56" i="5"/>
  <c r="H56" i="5" s="1"/>
  <c r="L45" i="1"/>
  <c r="K45" i="1"/>
  <c r="J59" i="1"/>
  <c r="O59" i="1" s="1"/>
  <c r="P59" i="1" s="1"/>
  <c r="J48" i="1"/>
  <c r="J44" i="1" s="1"/>
  <c r="M41" i="5"/>
  <c r="K56" i="1"/>
  <c r="K47" i="1"/>
  <c r="L56" i="1"/>
  <c r="M56" i="1" s="1"/>
  <c r="L47" i="1"/>
  <c r="M47" i="1" s="1"/>
  <c r="AT61" i="5"/>
  <c r="AR61" i="5"/>
  <c r="AQ61" i="5"/>
  <c r="AP59" i="5"/>
  <c r="J36" i="5"/>
  <c r="K36" i="5" s="1"/>
  <c r="G36" i="5"/>
  <c r="H36" i="5" s="1"/>
  <c r="M36" i="5"/>
  <c r="G20" i="5"/>
  <c r="H20" i="5" s="1"/>
  <c r="M20" i="5"/>
  <c r="J20" i="5"/>
  <c r="K20" i="5" s="1"/>
  <c r="E33" i="5"/>
  <c r="L33" i="5"/>
  <c r="AM45" i="5"/>
  <c r="AJ45" i="5"/>
  <c r="AK45" i="5" s="1"/>
  <c r="AG45" i="5"/>
  <c r="AH45" i="5" s="1"/>
  <c r="M51" i="5"/>
  <c r="M50" i="5" s="1"/>
  <c r="J51" i="5"/>
  <c r="L50" i="5"/>
  <c r="BC51" i="5"/>
  <c r="AP51" i="5"/>
  <c r="G51" i="5"/>
  <c r="H54" i="1"/>
  <c r="Q31" i="5"/>
  <c r="AD12" i="5"/>
  <c r="Y12" i="5"/>
  <c r="H15" i="1"/>
  <c r="R12" i="5"/>
  <c r="Q38" i="5"/>
  <c r="R19" i="5"/>
  <c r="AD19" i="5"/>
  <c r="H22" i="1" s="1"/>
  <c r="Y19" i="5"/>
  <c r="Q23" i="5"/>
  <c r="R4" i="5"/>
  <c r="AD4" i="5"/>
  <c r="Y4" i="5"/>
  <c r="H7" i="1"/>
  <c r="AT57" i="5"/>
  <c r="AR57" i="5"/>
  <c r="AQ57" i="5"/>
  <c r="E28" i="5"/>
  <c r="L28" i="5"/>
  <c r="BH62" i="5"/>
  <c r="AS62" i="5"/>
  <c r="Q27" i="5"/>
  <c r="R8" i="5"/>
  <c r="AD8" i="5"/>
  <c r="Y8" i="5"/>
  <c r="H11" i="1"/>
  <c r="O46" i="1"/>
  <c r="P46" i="1" s="1"/>
  <c r="L46" i="1"/>
  <c r="M46" i="1" s="1"/>
  <c r="K46" i="1"/>
  <c r="O49" i="1"/>
  <c r="J7" i="7" s="1"/>
  <c r="K7" i="7" s="1"/>
  <c r="P50" i="1"/>
  <c r="P49" i="1" s="1"/>
  <c r="AJ61" i="5"/>
  <c r="AG61" i="5"/>
  <c r="AH61" i="5" s="1"/>
  <c r="AM61" i="5"/>
  <c r="H64" i="1"/>
  <c r="M13" i="5"/>
  <c r="J13" i="5"/>
  <c r="K13" i="5" s="1"/>
  <c r="G13" i="5"/>
  <c r="H13" i="5" s="1"/>
  <c r="AR64" i="5"/>
  <c r="AQ64" i="5"/>
  <c r="BC64" i="5"/>
  <c r="BD64" i="5" s="1"/>
  <c r="BE64" i="5" s="1"/>
  <c r="AT64" i="5"/>
  <c r="H67" i="1"/>
  <c r="K48" i="5"/>
  <c r="K46" i="5" s="1"/>
  <c r="J46" i="5"/>
  <c r="J59" i="5"/>
  <c r="AG56" i="5"/>
  <c r="AH56" i="5" s="1"/>
  <c r="AM56" i="5"/>
  <c r="AJ56" i="5"/>
  <c r="AK56" i="5" s="1"/>
  <c r="Q40" i="5"/>
  <c r="AD21" i="5"/>
  <c r="Y21" i="5"/>
  <c r="R21" i="5"/>
  <c r="AM42" i="5"/>
  <c r="AJ42" i="5"/>
  <c r="AG42" i="5"/>
  <c r="J30" i="5"/>
  <c r="K30" i="5" s="1"/>
  <c r="G30" i="5"/>
  <c r="H30" i="5" s="1"/>
  <c r="M30" i="5"/>
  <c r="H42" i="5"/>
  <c r="H41" i="5" s="1"/>
  <c r="G41" i="5"/>
  <c r="G16" i="5"/>
  <c r="H16" i="5" s="1"/>
  <c r="M16" i="5"/>
  <c r="J16" i="5"/>
  <c r="K16" i="5" s="1"/>
  <c r="T46" i="5"/>
  <c r="U47" i="5"/>
  <c r="U46" i="5" s="1"/>
  <c r="O58" i="1"/>
  <c r="P58" i="1" s="1"/>
  <c r="L58" i="1"/>
  <c r="M58" i="1" s="1"/>
  <c r="K58" i="1"/>
  <c r="G23" i="5"/>
  <c r="M23" i="5"/>
  <c r="J23" i="5"/>
  <c r="G27" i="5"/>
  <c r="H27" i="5" s="1"/>
  <c r="M27" i="5"/>
  <c r="J27" i="5"/>
  <c r="K27" i="5" s="1"/>
  <c r="M45" i="1"/>
  <c r="K49" i="1"/>
  <c r="W56" i="5"/>
  <c r="X56" i="5" s="1"/>
  <c r="T56" i="5"/>
  <c r="U56" i="5" s="1"/>
  <c r="Z56" i="5"/>
  <c r="E29" i="5"/>
  <c r="L29" i="5"/>
  <c r="AT63" i="5"/>
  <c r="AR63" i="5"/>
  <c r="AQ63" i="5"/>
  <c r="J66" i="1"/>
  <c r="Q36" i="5"/>
  <c r="AD17" i="5"/>
  <c r="Y17" i="5"/>
  <c r="R17" i="5"/>
  <c r="AQ42" i="5"/>
  <c r="AT42" i="5"/>
  <c r="AR42" i="5"/>
  <c r="Q34" i="5"/>
  <c r="R15" i="5"/>
  <c r="AD15" i="5"/>
  <c r="Y15" i="5"/>
  <c r="H18" i="1"/>
  <c r="W46" i="5"/>
  <c r="X47" i="5"/>
  <c r="X46" i="5" s="1"/>
  <c r="Q29" i="5"/>
  <c r="Y10" i="5"/>
  <c r="R10" i="5"/>
  <c r="AD10" i="5"/>
  <c r="H13" i="1"/>
  <c r="W43" i="5"/>
  <c r="T43" i="5"/>
  <c r="U43" i="5" s="1"/>
  <c r="Z43" i="5"/>
  <c r="Q25" i="5"/>
  <c r="R6" i="5"/>
  <c r="AD6" i="5"/>
  <c r="H9" i="1" s="1"/>
  <c r="Y6" i="5"/>
  <c r="J5" i="5"/>
  <c r="G5" i="5"/>
  <c r="H5" i="5" s="1"/>
  <c r="M5" i="5"/>
  <c r="M3" i="5" s="1"/>
  <c r="P45" i="1"/>
  <c r="M50" i="1"/>
  <c r="M49" i="1" s="1"/>
  <c r="L49" i="1"/>
  <c r="H7" i="7" s="1"/>
  <c r="I7" i="7" s="1"/>
  <c r="AD24" i="5"/>
  <c r="AL5" i="5"/>
  <c r="AP5" i="5" s="1"/>
  <c r="AE5" i="5"/>
  <c r="W5" i="5"/>
  <c r="X5" i="5" s="1"/>
  <c r="T5" i="5"/>
  <c r="U5" i="5" s="1"/>
  <c r="Z5" i="5"/>
  <c r="Q28" i="5"/>
  <c r="AD9" i="5"/>
  <c r="Y9" i="5"/>
  <c r="H12" i="1"/>
  <c r="R9" i="5"/>
  <c r="AQ59" i="5"/>
  <c r="AH60" i="5"/>
  <c r="C54" i="5"/>
  <c r="L54" i="5" s="1"/>
  <c r="G57" i="1"/>
  <c r="J57" i="1" s="1"/>
  <c r="T50" i="5"/>
  <c r="U51" i="5"/>
  <c r="U50" i="5" s="1"/>
  <c r="Q32" i="5"/>
  <c r="AD13" i="5"/>
  <c r="Y13" i="5"/>
  <c r="R13" i="5"/>
  <c r="M21" i="5"/>
  <c r="J21" i="5"/>
  <c r="K21" i="5" s="1"/>
  <c r="G21" i="5"/>
  <c r="H21" i="5" s="1"/>
  <c r="J35" i="5"/>
  <c r="K35" i="5" s="1"/>
  <c r="G35" i="5"/>
  <c r="H35" i="5" s="1"/>
  <c r="M35" i="5"/>
  <c r="J41" i="5"/>
  <c r="K42" i="5"/>
  <c r="K41" i="5" s="1"/>
  <c r="G12" i="5"/>
  <c r="H12" i="5" s="1"/>
  <c r="M12" i="5"/>
  <c r="J12" i="5"/>
  <c r="K12" i="5" s="1"/>
  <c r="Z46" i="5"/>
  <c r="AE43" i="5"/>
  <c r="AL43" i="5"/>
  <c r="AL41" i="5" s="1"/>
  <c r="G25" i="5"/>
  <c r="H25" i="5" s="1"/>
  <c r="M25" i="5"/>
  <c r="J25" i="5"/>
  <c r="K25" i="5" s="1"/>
  <c r="E24" i="5"/>
  <c r="L24" i="5"/>
  <c r="H27" i="1"/>
  <c r="L3" i="5"/>
  <c r="R24" i="5"/>
  <c r="Y24" i="5"/>
  <c r="U60" i="5"/>
  <c r="M53" i="5"/>
  <c r="J53" i="5"/>
  <c r="L52" i="5"/>
  <c r="G53" i="5"/>
  <c r="AP53" i="5"/>
  <c r="AT47" i="5"/>
  <c r="AR47" i="5"/>
  <c r="AP46" i="5"/>
  <c r="AQ47" i="5"/>
  <c r="AH51" i="5"/>
  <c r="AH50" i="5" s="1"/>
  <c r="AG50" i="5"/>
  <c r="Q39" i="5"/>
  <c r="R20" i="5"/>
  <c r="AD20" i="5"/>
  <c r="Y20" i="5"/>
  <c r="J40" i="5"/>
  <c r="K40" i="5" s="1"/>
  <c r="G40" i="5"/>
  <c r="H40" i="5" s="1"/>
  <c r="M40" i="5"/>
  <c r="Q30" i="5"/>
  <c r="AD11" i="5"/>
  <c r="Y11" i="5"/>
  <c r="R11" i="5"/>
  <c r="J39" i="5"/>
  <c r="K39" i="5" s="1"/>
  <c r="G39" i="5"/>
  <c r="H39" i="5" s="1"/>
  <c r="M39" i="5"/>
  <c r="Q37" i="5"/>
  <c r="Y18" i="5"/>
  <c r="R18" i="5"/>
  <c r="AD18" i="5"/>
  <c r="H21" i="1" s="1"/>
  <c r="J18" i="5"/>
  <c r="K18" i="5" s="1"/>
  <c r="G18" i="5"/>
  <c r="H18" i="5" s="1"/>
  <c r="M18" i="5"/>
  <c r="Q33" i="5"/>
  <c r="Y14" i="5"/>
  <c r="R14" i="5"/>
  <c r="AD14" i="5"/>
  <c r="H17" i="1"/>
  <c r="H8" i="1"/>
  <c r="I8" i="1" s="1"/>
  <c r="AK53" i="5"/>
  <c r="H60" i="5"/>
  <c r="H59" i="5" s="1"/>
  <c r="G59" i="5"/>
  <c r="X53" i="5"/>
  <c r="W64" i="5"/>
  <c r="X64" i="5" s="1"/>
  <c r="T64" i="5"/>
  <c r="U64" i="5" s="1"/>
  <c r="Z64" i="5"/>
  <c r="BH49" i="5"/>
  <c r="AS49" i="5"/>
  <c r="Z63" i="5"/>
  <c r="W63" i="5"/>
  <c r="X63" i="5" s="1"/>
  <c r="X59" i="5" s="1"/>
  <c r="T63" i="5"/>
  <c r="U63" i="5" s="1"/>
  <c r="X51" i="5"/>
  <c r="X50" i="5" s="1"/>
  <c r="W50" i="5"/>
  <c r="Y55" i="5"/>
  <c r="AD55" i="5"/>
  <c r="R55" i="5"/>
  <c r="Z41" i="5"/>
  <c r="M17" i="5"/>
  <c r="J17" i="5"/>
  <c r="K17" i="5" s="1"/>
  <c r="G17" i="5"/>
  <c r="H17" i="5" s="1"/>
  <c r="AT44" i="5"/>
  <c r="AU44" i="5" s="1"/>
  <c r="AR44" i="5"/>
  <c r="AQ44" i="5"/>
  <c r="H4" i="5"/>
  <c r="AP56" i="5"/>
  <c r="E37" i="5"/>
  <c r="L37" i="5"/>
  <c r="M63" i="1"/>
  <c r="J38" i="5"/>
  <c r="K38" i="5" s="1"/>
  <c r="G38" i="5"/>
  <c r="H38" i="5" s="1"/>
  <c r="M38" i="5"/>
  <c r="G26" i="5"/>
  <c r="H26" i="5" s="1"/>
  <c r="M26" i="5"/>
  <c r="J26" i="5"/>
  <c r="K26" i="5" s="1"/>
  <c r="AR59" i="5"/>
  <c r="AS60" i="5"/>
  <c r="BH60" i="5"/>
  <c r="AR48" i="5"/>
  <c r="AQ48" i="5"/>
  <c r="AT48" i="5"/>
  <c r="AU48" i="5" s="1"/>
  <c r="AT58" i="5"/>
  <c r="AR58" i="5"/>
  <c r="AQ58" i="5"/>
  <c r="AK51" i="5"/>
  <c r="AK50" i="5" s="1"/>
  <c r="AJ50" i="5"/>
  <c r="AP45" i="5"/>
  <c r="U42" i="5"/>
  <c r="Q35" i="5"/>
  <c r="R16" i="5"/>
  <c r="AD16" i="5"/>
  <c r="H19" i="1" s="1"/>
  <c r="Y16" i="5"/>
  <c r="J32" i="5"/>
  <c r="K32" i="5" s="1"/>
  <c r="G32" i="5"/>
  <c r="H32" i="5" s="1"/>
  <c r="M32" i="5"/>
  <c r="J31" i="5"/>
  <c r="K31" i="5" s="1"/>
  <c r="G31" i="5"/>
  <c r="H31" i="5" s="1"/>
  <c r="M31" i="5"/>
  <c r="Q26" i="5"/>
  <c r="R7" i="5"/>
  <c r="AD7" i="5"/>
  <c r="Y7" i="5"/>
  <c r="H10" i="1"/>
  <c r="J9" i="5"/>
  <c r="K9" i="5" s="1"/>
  <c r="G9" i="5"/>
  <c r="H9" i="5" s="1"/>
  <c r="M9" i="5"/>
  <c r="J10" i="5"/>
  <c r="K10" i="5" s="1"/>
  <c r="G10" i="5"/>
  <c r="H10" i="5" s="1"/>
  <c r="M10" i="5"/>
  <c r="J14" i="5"/>
  <c r="K14" i="5" s="1"/>
  <c r="G14" i="5"/>
  <c r="H14" i="5" s="1"/>
  <c r="M14" i="5"/>
  <c r="P63" i="1"/>
  <c r="K59" i="1" l="1"/>
  <c r="L59" i="1"/>
  <c r="M59" i="1" s="1"/>
  <c r="O48" i="1"/>
  <c r="P48" i="1" s="1"/>
  <c r="P44" i="1" s="1"/>
  <c r="L48" i="1"/>
  <c r="M48" i="1" s="1"/>
  <c r="M44" i="1" s="1"/>
  <c r="K48" i="1"/>
  <c r="K44" i="1" s="1"/>
  <c r="AT5" i="5"/>
  <c r="AU5" i="5" s="1"/>
  <c r="AR5" i="5"/>
  <c r="AQ5" i="5"/>
  <c r="J9" i="1"/>
  <c r="I9" i="1"/>
  <c r="J22" i="1"/>
  <c r="I22" i="1"/>
  <c r="I19" i="1"/>
  <c r="J19" i="1"/>
  <c r="AP20" i="5"/>
  <c r="AP13" i="5"/>
  <c r="I21" i="1"/>
  <c r="J21" i="1"/>
  <c r="AQ45" i="5"/>
  <c r="AT45" i="5"/>
  <c r="AU45" i="5" s="1"/>
  <c r="AR45" i="5"/>
  <c r="R37" i="5"/>
  <c r="Y37" i="5"/>
  <c r="AD39" i="5"/>
  <c r="AE20" i="5"/>
  <c r="AL20" i="5"/>
  <c r="Z24" i="5"/>
  <c r="W24" i="5"/>
  <c r="X24" i="5" s="1"/>
  <c r="T24" i="5"/>
  <c r="U24" i="5" s="1"/>
  <c r="R34" i="5"/>
  <c r="Y34" i="5"/>
  <c r="J29" i="5"/>
  <c r="K29" i="5" s="1"/>
  <c r="G29" i="5"/>
  <c r="H29" i="5" s="1"/>
  <c r="M29" i="5"/>
  <c r="H23" i="5"/>
  <c r="AD40" i="5"/>
  <c r="AL21" i="5"/>
  <c r="AE21" i="5"/>
  <c r="I67" i="1"/>
  <c r="J67" i="1"/>
  <c r="K67" i="1" s="1"/>
  <c r="J7" i="1"/>
  <c r="I7" i="1"/>
  <c r="H51" i="5"/>
  <c r="H50" i="5" s="1"/>
  <c r="G50" i="5"/>
  <c r="J8" i="1"/>
  <c r="R30" i="5"/>
  <c r="Y30" i="5"/>
  <c r="AT53" i="5"/>
  <c r="AR53" i="5"/>
  <c r="AQ53" i="5"/>
  <c r="R32" i="5"/>
  <c r="Y32" i="5"/>
  <c r="R25" i="5"/>
  <c r="Y25" i="5"/>
  <c r="R29" i="5"/>
  <c r="Y29" i="5"/>
  <c r="BH42" i="5"/>
  <c r="AS42" i="5"/>
  <c r="AD36" i="5"/>
  <c r="AL17" i="5"/>
  <c r="AE17" i="5"/>
  <c r="R40" i="5"/>
  <c r="Y40" i="5"/>
  <c r="AU64" i="5"/>
  <c r="O67" i="1"/>
  <c r="J64" i="1"/>
  <c r="I64" i="1"/>
  <c r="T4" i="5"/>
  <c r="BB4" i="5"/>
  <c r="Y3" i="5"/>
  <c r="Z4" i="5"/>
  <c r="W4" i="5"/>
  <c r="R38" i="5"/>
  <c r="Y38" i="5"/>
  <c r="AT51" i="5"/>
  <c r="AR51" i="5"/>
  <c r="AQ51" i="5"/>
  <c r="AQ50" i="5" s="1"/>
  <c r="AP50" i="5"/>
  <c r="AZ51" i="5"/>
  <c r="BA51" i="5" s="1"/>
  <c r="BA61" i="5" s="1"/>
  <c r="AS48" i="5"/>
  <c r="BH48" i="5"/>
  <c r="AD30" i="5"/>
  <c r="AL11" i="5"/>
  <c r="AE11" i="5"/>
  <c r="AU47" i="5"/>
  <c r="AU46" i="5" s="1"/>
  <c r="AT46" i="5"/>
  <c r="BC46" i="5" s="1"/>
  <c r="AD32" i="5"/>
  <c r="AL13" i="5"/>
  <c r="AE13" i="5"/>
  <c r="W10" i="5"/>
  <c r="X10" i="5" s="1"/>
  <c r="T10" i="5"/>
  <c r="U10" i="5" s="1"/>
  <c r="Z10" i="5"/>
  <c r="Z17" i="5"/>
  <c r="W17" i="5"/>
  <c r="X17" i="5" s="1"/>
  <c r="T17" i="5"/>
  <c r="U17" i="5" s="1"/>
  <c r="T16" i="5"/>
  <c r="U16" i="5" s="1"/>
  <c r="Z16" i="5"/>
  <c r="W16" i="5"/>
  <c r="X16" i="5" s="1"/>
  <c r="AS59" i="5"/>
  <c r="AR56" i="5"/>
  <c r="AQ56" i="5"/>
  <c r="AT56" i="5"/>
  <c r="AU56" i="5" s="1"/>
  <c r="R39" i="5"/>
  <c r="Y39" i="5"/>
  <c r="H42" i="1"/>
  <c r="H53" i="5"/>
  <c r="J12" i="1"/>
  <c r="I12" i="1"/>
  <c r="AJ5" i="5"/>
  <c r="AK5" i="5" s="1"/>
  <c r="AG5" i="5"/>
  <c r="AH5" i="5" s="1"/>
  <c r="AM5" i="5"/>
  <c r="AU42" i="5"/>
  <c r="R36" i="5"/>
  <c r="Y36" i="5"/>
  <c r="H39" i="1"/>
  <c r="AH42" i="5"/>
  <c r="AD23" i="5"/>
  <c r="AE4" i="5"/>
  <c r="AL4" i="5"/>
  <c r="AP4" i="5" s="1"/>
  <c r="J33" i="5"/>
  <c r="K33" i="5" s="1"/>
  <c r="G33" i="5"/>
  <c r="H33" i="5" s="1"/>
  <c r="M33" i="5"/>
  <c r="K5" i="5"/>
  <c r="K3" i="5" s="1"/>
  <c r="J3" i="5"/>
  <c r="J11" i="1"/>
  <c r="I11" i="1"/>
  <c r="J10" i="1"/>
  <c r="I10" i="1"/>
  <c r="AS58" i="5"/>
  <c r="BH58" i="5"/>
  <c r="H3" i="5"/>
  <c r="AD33" i="5"/>
  <c r="H36" i="1" s="1"/>
  <c r="AL14" i="5"/>
  <c r="AE14" i="5"/>
  <c r="K53" i="5"/>
  <c r="G24" i="5"/>
  <c r="H24" i="5" s="1"/>
  <c r="M24" i="5"/>
  <c r="J24" i="5"/>
  <c r="K24" i="5" s="1"/>
  <c r="AM43" i="5"/>
  <c r="AM41" i="5" s="1"/>
  <c r="AJ43" i="5"/>
  <c r="AK43" i="5" s="1"/>
  <c r="AG43" i="5"/>
  <c r="AH43" i="5" s="1"/>
  <c r="AP43" i="5"/>
  <c r="K57" i="1"/>
  <c r="K55" i="1" s="1"/>
  <c r="O57" i="1"/>
  <c r="L57" i="1"/>
  <c r="J55" i="1"/>
  <c r="AD28" i="5"/>
  <c r="H31" i="1" s="1"/>
  <c r="AL9" i="5"/>
  <c r="AE9" i="5"/>
  <c r="X43" i="5"/>
  <c r="X41" i="5" s="1"/>
  <c r="W41" i="5"/>
  <c r="J18" i="1"/>
  <c r="I18" i="1"/>
  <c r="AS64" i="5"/>
  <c r="BH64" i="5"/>
  <c r="L67" i="1"/>
  <c r="AK61" i="5"/>
  <c r="AK59" i="5" s="1"/>
  <c r="AJ59" i="5"/>
  <c r="W8" i="5"/>
  <c r="X8" i="5" s="1"/>
  <c r="T8" i="5"/>
  <c r="U8" i="5" s="1"/>
  <c r="Z8" i="5"/>
  <c r="R23" i="5"/>
  <c r="Y23" i="5"/>
  <c r="H26" i="1"/>
  <c r="T12" i="5"/>
  <c r="U12" i="5" s="1"/>
  <c r="Z12" i="5"/>
  <c r="W12" i="5"/>
  <c r="X12" i="5" s="1"/>
  <c r="K51" i="5"/>
  <c r="K50" i="5" s="1"/>
  <c r="J50" i="5"/>
  <c r="I17" i="1"/>
  <c r="J17" i="1"/>
  <c r="J27" i="1"/>
  <c r="I27" i="1"/>
  <c r="W9" i="5"/>
  <c r="X9" i="5" s="1"/>
  <c r="Z9" i="5"/>
  <c r="T9" i="5"/>
  <c r="U9" i="5" s="1"/>
  <c r="K66" i="1"/>
  <c r="H66" i="1"/>
  <c r="I66" i="1" s="1"/>
  <c r="AJ41" i="5"/>
  <c r="AK42" i="5"/>
  <c r="AK41" i="5" s="1"/>
  <c r="R35" i="5"/>
  <c r="Y35" i="5"/>
  <c r="H38" i="1"/>
  <c r="AD37" i="5"/>
  <c r="AL18" i="5"/>
  <c r="AE18" i="5"/>
  <c r="H14" i="1"/>
  <c r="AQ46" i="5"/>
  <c r="H16" i="1"/>
  <c r="M54" i="5"/>
  <c r="M52" i="5" s="1"/>
  <c r="J54" i="5"/>
  <c r="K54" i="5" s="1"/>
  <c r="G54" i="5"/>
  <c r="H54" i="5" s="1"/>
  <c r="AP54" i="5"/>
  <c r="R28" i="5"/>
  <c r="Y28" i="5"/>
  <c r="W6" i="5"/>
  <c r="X6" i="5" s="1"/>
  <c r="T6" i="5"/>
  <c r="U6" i="5" s="1"/>
  <c r="Z6" i="5"/>
  <c r="I13" i="1"/>
  <c r="J13" i="1"/>
  <c r="W15" i="5"/>
  <c r="X15" i="5" s="1"/>
  <c r="T15" i="5"/>
  <c r="U15" i="5" s="1"/>
  <c r="Z15" i="5"/>
  <c r="W59" i="5"/>
  <c r="AS63" i="5"/>
  <c r="BH63" i="5"/>
  <c r="L66" i="1"/>
  <c r="K23" i="5"/>
  <c r="H24" i="1"/>
  <c r="AD27" i="5"/>
  <c r="AE8" i="5"/>
  <c r="AL8" i="5"/>
  <c r="AD31" i="5"/>
  <c r="AE12" i="5"/>
  <c r="AL12" i="5"/>
  <c r="R26" i="5"/>
  <c r="Y26" i="5"/>
  <c r="H29" i="1"/>
  <c r="AD35" i="5"/>
  <c r="AE16" i="5"/>
  <c r="AL16" i="5"/>
  <c r="AL24" i="5"/>
  <c r="AE24" i="5"/>
  <c r="J28" i="5"/>
  <c r="K28" i="5" s="1"/>
  <c r="G28" i="5"/>
  <c r="H28" i="5" s="1"/>
  <c r="M28" i="5"/>
  <c r="T7" i="5"/>
  <c r="U7" i="5" s="1"/>
  <c r="BB7" i="5"/>
  <c r="Z7" i="5"/>
  <c r="W7" i="5"/>
  <c r="X7" i="5" s="1"/>
  <c r="AP7" i="5"/>
  <c r="BC58" i="5"/>
  <c r="AU58" i="5"/>
  <c r="AD26" i="5"/>
  <c r="AE7" i="5"/>
  <c r="AL7" i="5"/>
  <c r="U41" i="5"/>
  <c r="H40" i="1"/>
  <c r="AS44" i="5"/>
  <c r="BH44" i="5"/>
  <c r="AE55" i="5"/>
  <c r="AL55" i="5"/>
  <c r="W14" i="5"/>
  <c r="X14" i="5" s="1"/>
  <c r="T14" i="5"/>
  <c r="U14" i="5" s="1"/>
  <c r="Z14" i="5"/>
  <c r="H23" i="1"/>
  <c r="T59" i="5"/>
  <c r="AG59" i="5"/>
  <c r="AD29" i="5"/>
  <c r="AL10" i="5"/>
  <c r="AE10" i="5"/>
  <c r="AD34" i="5"/>
  <c r="AE15" i="5"/>
  <c r="AL15" i="5"/>
  <c r="H20" i="1"/>
  <c r="AU63" i="5"/>
  <c r="O66" i="1"/>
  <c r="AS57" i="5"/>
  <c r="BH57" i="5"/>
  <c r="W19" i="5"/>
  <c r="X19" i="5" s="1"/>
  <c r="T19" i="5"/>
  <c r="U19" i="5" s="1"/>
  <c r="Z19" i="5"/>
  <c r="R31" i="5"/>
  <c r="Y31" i="5"/>
  <c r="H34" i="1"/>
  <c r="AS61" i="5"/>
  <c r="BH61" i="5"/>
  <c r="G3" i="5"/>
  <c r="J15" i="1"/>
  <c r="I15" i="1"/>
  <c r="T41" i="5"/>
  <c r="J37" i="5"/>
  <c r="K37" i="5" s="1"/>
  <c r="G37" i="5"/>
  <c r="H37" i="5" s="1"/>
  <c r="M37" i="5"/>
  <c r="M22" i="5" s="1"/>
  <c r="W55" i="5"/>
  <c r="T55" i="5"/>
  <c r="Y52" i="5"/>
  <c r="Z55" i="5"/>
  <c r="Z52" i="5" s="1"/>
  <c r="AP55" i="5"/>
  <c r="R33" i="5"/>
  <c r="Y33" i="5"/>
  <c r="W18" i="5"/>
  <c r="X18" i="5" s="1"/>
  <c r="T18" i="5"/>
  <c r="U18" i="5" s="1"/>
  <c r="Z18" i="5"/>
  <c r="W11" i="5"/>
  <c r="X11" i="5" s="1"/>
  <c r="T11" i="5"/>
  <c r="U11" i="5" s="1"/>
  <c r="Z11" i="5"/>
  <c r="T20" i="5"/>
  <c r="U20" i="5" s="1"/>
  <c r="Z20" i="5"/>
  <c r="W20" i="5"/>
  <c r="X20" i="5" s="1"/>
  <c r="BH47" i="5"/>
  <c r="AS47" i="5"/>
  <c r="AS46" i="5" s="1"/>
  <c r="AR46" i="5"/>
  <c r="U59" i="5"/>
  <c r="Z13" i="5"/>
  <c r="W13" i="5"/>
  <c r="X13" i="5" s="1"/>
  <c r="T13" i="5"/>
  <c r="U13" i="5" s="1"/>
  <c r="AH59" i="5"/>
  <c r="AD25" i="5"/>
  <c r="H28" i="1" s="1"/>
  <c r="AE6" i="5"/>
  <c r="AL6" i="5"/>
  <c r="H32" i="1"/>
  <c r="L22" i="5"/>
  <c r="L65" i="5" s="1"/>
  <c r="Z21" i="5"/>
  <c r="W21" i="5"/>
  <c r="X21" i="5" s="1"/>
  <c r="T21" i="5"/>
  <c r="U21" i="5" s="1"/>
  <c r="R27" i="5"/>
  <c r="Y27" i="5"/>
  <c r="H30" i="1"/>
  <c r="AU57" i="5"/>
  <c r="BC57" i="5"/>
  <c r="AD38" i="5"/>
  <c r="H41" i="1" s="1"/>
  <c r="AE19" i="5"/>
  <c r="AL19" i="5"/>
  <c r="I54" i="1"/>
  <c r="J54" i="1"/>
  <c r="AU61" i="5"/>
  <c r="AU59" i="5" s="1"/>
  <c r="AT59" i="5"/>
  <c r="BH59" i="5" s="1"/>
  <c r="G52" i="5" l="1"/>
  <c r="G65" i="5" s="1"/>
  <c r="H65" i="5" s="1"/>
  <c r="L44" i="1"/>
  <c r="H6" i="7" s="1"/>
  <c r="I6" i="7" s="1"/>
  <c r="O44" i="1"/>
  <c r="J6" i="7" s="1"/>
  <c r="K6" i="7" s="1"/>
  <c r="I41" i="1"/>
  <c r="J41" i="1"/>
  <c r="M65" i="5"/>
  <c r="M66" i="5" s="1"/>
  <c r="L66" i="5"/>
  <c r="AR4" i="5"/>
  <c r="AQ4" i="5"/>
  <c r="AP3" i="5"/>
  <c r="AT4" i="5"/>
  <c r="J31" i="1"/>
  <c r="I31" i="1"/>
  <c r="I28" i="1"/>
  <c r="J28" i="1"/>
  <c r="J36" i="1"/>
  <c r="I36" i="1"/>
  <c r="AU51" i="5"/>
  <c r="AU50" i="5" s="1"/>
  <c r="AT50" i="5"/>
  <c r="O54" i="1"/>
  <c r="AE40" i="5"/>
  <c r="AL40" i="5"/>
  <c r="I23" i="1"/>
  <c r="J23" i="1"/>
  <c r="J40" i="1"/>
  <c r="I40" i="1"/>
  <c r="K22" i="5"/>
  <c r="Z28" i="5"/>
  <c r="W28" i="5"/>
  <c r="X28" i="5" s="1"/>
  <c r="T28" i="5"/>
  <c r="U28" i="5" s="1"/>
  <c r="L18" i="1"/>
  <c r="M18" i="1" s="1"/>
  <c r="K18" i="1"/>
  <c r="O18" i="1"/>
  <c r="P18" i="1" s="1"/>
  <c r="P57" i="1"/>
  <c r="P55" i="1" s="1"/>
  <c r="O55" i="1"/>
  <c r="J9" i="7" s="1"/>
  <c r="K9" i="7" s="1"/>
  <c r="AL23" i="5"/>
  <c r="AE23" i="5"/>
  <c r="J42" i="1"/>
  <c r="I42" i="1"/>
  <c r="AE30" i="5"/>
  <c r="AL30" i="5"/>
  <c r="U4" i="5"/>
  <c r="U3" i="5" s="1"/>
  <c r="T3" i="5"/>
  <c r="BH53" i="5"/>
  <c r="AS53" i="5"/>
  <c r="G22" i="5"/>
  <c r="AQ20" i="5"/>
  <c r="AT20" i="5"/>
  <c r="AU20" i="5" s="1"/>
  <c r="AR20" i="5"/>
  <c r="Z33" i="5"/>
  <c r="W33" i="5"/>
  <c r="X33" i="5" s="1"/>
  <c r="T33" i="5"/>
  <c r="U33" i="5" s="1"/>
  <c r="M57" i="1"/>
  <c r="M55" i="1" s="1"/>
  <c r="L55" i="1"/>
  <c r="AJ11" i="5"/>
  <c r="AK11" i="5" s="1"/>
  <c r="AG11" i="5"/>
  <c r="AH11" i="5" s="1"/>
  <c r="AM11" i="5"/>
  <c r="L22" i="1"/>
  <c r="M22" i="1" s="1"/>
  <c r="K22" i="1"/>
  <c r="O22" i="1"/>
  <c r="P22" i="1" s="1"/>
  <c r="AE34" i="5"/>
  <c r="AL34" i="5"/>
  <c r="AM24" i="5"/>
  <c r="AJ24" i="5"/>
  <c r="AK24" i="5" s="1"/>
  <c r="AG24" i="5"/>
  <c r="AH24" i="5" s="1"/>
  <c r="AG12" i="5"/>
  <c r="AH12" i="5" s="1"/>
  <c r="AM12" i="5"/>
  <c r="AJ12" i="5"/>
  <c r="AK12" i="5" s="1"/>
  <c r="AP12" i="5"/>
  <c r="J22" i="5"/>
  <c r="J14" i="1"/>
  <c r="I14" i="1"/>
  <c r="L27" i="1"/>
  <c r="M27" i="1" s="1"/>
  <c r="K27" i="1"/>
  <c r="O27" i="1"/>
  <c r="P27" i="1" s="1"/>
  <c r="I26" i="1"/>
  <c r="J26" i="1"/>
  <c r="AH41" i="5"/>
  <c r="T39" i="5"/>
  <c r="U39" i="5" s="1"/>
  <c r="Z39" i="5"/>
  <c r="W39" i="5"/>
  <c r="X39" i="5" s="1"/>
  <c r="T38" i="5"/>
  <c r="U38" i="5" s="1"/>
  <c r="Z38" i="5"/>
  <c r="W38" i="5"/>
  <c r="X38" i="5" s="1"/>
  <c r="AM17" i="5"/>
  <c r="AJ17" i="5"/>
  <c r="AK17" i="5" s="1"/>
  <c r="AG17" i="5"/>
  <c r="AH17" i="5" s="1"/>
  <c r="Z25" i="5"/>
  <c r="W25" i="5"/>
  <c r="X25" i="5" s="1"/>
  <c r="T25" i="5"/>
  <c r="U25" i="5" s="1"/>
  <c r="AU53" i="5"/>
  <c r="H22" i="5"/>
  <c r="BH45" i="5"/>
  <c r="AS45" i="5"/>
  <c r="AP17" i="5"/>
  <c r="O9" i="1"/>
  <c r="P9" i="1" s="1"/>
  <c r="L9" i="1"/>
  <c r="M9" i="1" s="1"/>
  <c r="K9" i="1"/>
  <c r="J24" i="1"/>
  <c r="I24" i="1"/>
  <c r="Z34" i="5"/>
  <c r="W34" i="5"/>
  <c r="X34" i="5" s="1"/>
  <c r="T34" i="5"/>
  <c r="U34" i="5" s="1"/>
  <c r="AP34" i="5"/>
  <c r="J34" i="1"/>
  <c r="I34" i="1"/>
  <c r="BC7" i="5"/>
  <c r="AG7" i="5"/>
  <c r="AH7" i="5" s="1"/>
  <c r="AM7" i="5"/>
  <c r="AJ7" i="5"/>
  <c r="AK7" i="5" s="1"/>
  <c r="M66" i="1"/>
  <c r="N66" i="1"/>
  <c r="O13" i="1"/>
  <c r="P13" i="1" s="1"/>
  <c r="L13" i="1"/>
  <c r="M13" i="1" s="1"/>
  <c r="K13" i="1"/>
  <c r="AT54" i="5"/>
  <c r="AU54" i="5" s="1"/>
  <c r="AR54" i="5"/>
  <c r="AQ54" i="5"/>
  <c r="O17" i="1"/>
  <c r="P17" i="1" s="1"/>
  <c r="L17" i="1"/>
  <c r="M17" i="1" s="1"/>
  <c r="K17" i="1"/>
  <c r="Z23" i="5"/>
  <c r="Y22" i="5"/>
  <c r="W23" i="5"/>
  <c r="T23" i="5"/>
  <c r="AP23" i="5"/>
  <c r="N67" i="1"/>
  <c r="M67" i="1"/>
  <c r="AQ43" i="5"/>
  <c r="AQ41" i="5" s="1"/>
  <c r="AT43" i="5"/>
  <c r="AR43" i="5"/>
  <c r="AP41" i="5"/>
  <c r="J52" i="5"/>
  <c r="AG41" i="5"/>
  <c r="AM13" i="5"/>
  <c r="AJ13" i="5"/>
  <c r="AK13" i="5" s="1"/>
  <c r="AG13" i="5"/>
  <c r="AH13" i="5" s="1"/>
  <c r="O64" i="1"/>
  <c r="L64" i="1"/>
  <c r="K64" i="1"/>
  <c r="K62" i="1" s="1"/>
  <c r="J62" i="1"/>
  <c r="AE36" i="5"/>
  <c r="AL36" i="5"/>
  <c r="H33" i="1"/>
  <c r="O7" i="1"/>
  <c r="L7" i="1"/>
  <c r="K7" i="1"/>
  <c r="AQ7" i="5"/>
  <c r="AT7" i="5"/>
  <c r="AU7" i="5" s="1"/>
  <c r="AR7" i="5"/>
  <c r="Z35" i="5"/>
  <c r="W35" i="5"/>
  <c r="X35" i="5" s="1"/>
  <c r="T35" i="5"/>
  <c r="U35" i="5" s="1"/>
  <c r="Z37" i="5"/>
  <c r="W37" i="5"/>
  <c r="X37" i="5" s="1"/>
  <c r="T37" i="5"/>
  <c r="U37" i="5" s="1"/>
  <c r="AP11" i="5"/>
  <c r="I30" i="1"/>
  <c r="J30" i="1"/>
  <c r="AT55" i="5"/>
  <c r="AU55" i="5" s="1"/>
  <c r="AR55" i="5"/>
  <c r="AR52" i="5" s="1"/>
  <c r="AQ55" i="5"/>
  <c r="AQ52" i="5" s="1"/>
  <c r="K54" i="1"/>
  <c r="K53" i="1" s="1"/>
  <c r="J53" i="1"/>
  <c r="Z27" i="5"/>
  <c r="W27" i="5"/>
  <c r="X27" i="5" s="1"/>
  <c r="T27" i="5"/>
  <c r="U27" i="5" s="1"/>
  <c r="Z31" i="5"/>
  <c r="W31" i="5"/>
  <c r="X31" i="5" s="1"/>
  <c r="T31" i="5"/>
  <c r="U31" i="5" s="1"/>
  <c r="AP31" i="5"/>
  <c r="AJ10" i="5"/>
  <c r="AK10" i="5" s="1"/>
  <c r="AG10" i="5"/>
  <c r="AH10" i="5" s="1"/>
  <c r="AM10" i="5"/>
  <c r="AG16" i="5"/>
  <c r="AH16" i="5" s="1"/>
  <c r="AM16" i="5"/>
  <c r="AJ16" i="5"/>
  <c r="AK16" i="5" s="1"/>
  <c r="AP16" i="5"/>
  <c r="AE31" i="5"/>
  <c r="AL31" i="5"/>
  <c r="AJ18" i="5"/>
  <c r="AK18" i="5" s="1"/>
  <c r="AG18" i="5"/>
  <c r="AH18" i="5" s="1"/>
  <c r="AM18" i="5"/>
  <c r="K52" i="5"/>
  <c r="L10" i="1"/>
  <c r="M10" i="1" s="1"/>
  <c r="K10" i="1"/>
  <c r="O10" i="1"/>
  <c r="P10" i="1" s="1"/>
  <c r="J39" i="1"/>
  <c r="I39" i="1"/>
  <c r="AE32" i="5"/>
  <c r="AL32" i="5"/>
  <c r="Q67" i="1"/>
  <c r="P67" i="1"/>
  <c r="H35" i="1"/>
  <c r="Z30" i="5"/>
  <c r="W30" i="5"/>
  <c r="X30" i="5" s="1"/>
  <c r="T30" i="5"/>
  <c r="U30" i="5" s="1"/>
  <c r="AP30" i="5"/>
  <c r="AS5" i="5"/>
  <c r="BH5" i="5"/>
  <c r="AE38" i="5"/>
  <c r="AL38" i="5"/>
  <c r="Z26" i="5"/>
  <c r="W26" i="5"/>
  <c r="X26" i="5" s="1"/>
  <c r="T26" i="5"/>
  <c r="U26" i="5" s="1"/>
  <c r="J32" i="1"/>
  <c r="I32" i="1"/>
  <c r="AJ6" i="5"/>
  <c r="AK6" i="5" s="1"/>
  <c r="AG6" i="5"/>
  <c r="AH6" i="5" s="1"/>
  <c r="AM6" i="5"/>
  <c r="AL25" i="5"/>
  <c r="AE25" i="5"/>
  <c r="Y65" i="5"/>
  <c r="Z65" i="5" s="1"/>
  <c r="Q66" i="1"/>
  <c r="P66" i="1"/>
  <c r="AE29" i="5"/>
  <c r="AL29" i="5"/>
  <c r="AL52" i="5"/>
  <c r="AJ55" i="5"/>
  <c r="AG55" i="5"/>
  <c r="AM55" i="5"/>
  <c r="AM52" i="5" s="1"/>
  <c r="AL26" i="5"/>
  <c r="AE26" i="5"/>
  <c r="AJ8" i="5"/>
  <c r="AK8" i="5" s="1"/>
  <c r="AG8" i="5"/>
  <c r="AH8" i="5" s="1"/>
  <c r="AM8" i="5"/>
  <c r="AP6" i="5"/>
  <c r="AE37" i="5"/>
  <c r="AL37" i="5"/>
  <c r="AP8" i="5"/>
  <c r="AJ9" i="5"/>
  <c r="AK9" i="5" s="1"/>
  <c r="AG9" i="5"/>
  <c r="AH9" i="5" s="1"/>
  <c r="AM9" i="5"/>
  <c r="AP10" i="5"/>
  <c r="Z36" i="5"/>
  <c r="W36" i="5"/>
  <c r="X36" i="5" s="1"/>
  <c r="T36" i="5"/>
  <c r="U36" i="5" s="1"/>
  <c r="AP36" i="5"/>
  <c r="L12" i="1"/>
  <c r="M12" i="1" s="1"/>
  <c r="K12" i="1"/>
  <c r="O12" i="1"/>
  <c r="P12" i="1" s="1"/>
  <c r="W3" i="5"/>
  <c r="X4" i="5"/>
  <c r="X3" i="5" s="1"/>
  <c r="Z32" i="5"/>
  <c r="W32" i="5"/>
  <c r="X32" i="5" s="1"/>
  <c r="T32" i="5"/>
  <c r="U32" i="5" s="1"/>
  <c r="AP32" i="5"/>
  <c r="AG20" i="5"/>
  <c r="AH20" i="5" s="1"/>
  <c r="AM20" i="5"/>
  <c r="AJ20" i="5"/>
  <c r="AK20" i="5" s="1"/>
  <c r="O21" i="1"/>
  <c r="P21" i="1" s="1"/>
  <c r="L21" i="1"/>
  <c r="M21" i="1" s="1"/>
  <c r="K21" i="1"/>
  <c r="O19" i="1"/>
  <c r="P19" i="1" s="1"/>
  <c r="L19" i="1"/>
  <c r="M19" i="1" s="1"/>
  <c r="K19" i="1"/>
  <c r="AJ15" i="5"/>
  <c r="AK15" i="5" s="1"/>
  <c r="AG15" i="5"/>
  <c r="AH15" i="5" s="1"/>
  <c r="AM15" i="5"/>
  <c r="AT13" i="5"/>
  <c r="AU13" i="5" s="1"/>
  <c r="AR13" i="5"/>
  <c r="AQ13" i="5"/>
  <c r="AJ19" i="5"/>
  <c r="AK19" i="5" s="1"/>
  <c r="AG19" i="5"/>
  <c r="AH19" i="5" s="1"/>
  <c r="AM19" i="5"/>
  <c r="U55" i="5"/>
  <c r="U52" i="5" s="1"/>
  <c r="T52" i="5"/>
  <c r="AP19" i="5"/>
  <c r="AE35" i="5"/>
  <c r="AL35" i="5"/>
  <c r="AE28" i="5"/>
  <c r="AL28" i="5"/>
  <c r="AP28" i="5" s="1"/>
  <c r="AJ14" i="5"/>
  <c r="AK14" i="5" s="1"/>
  <c r="AG14" i="5"/>
  <c r="AH14" i="5" s="1"/>
  <c r="AM14" i="5"/>
  <c r="AP14" i="5"/>
  <c r="Z3" i="5"/>
  <c r="H43" i="1"/>
  <c r="AP9" i="5"/>
  <c r="X55" i="5"/>
  <c r="X52" i="5" s="1"/>
  <c r="W52" i="5"/>
  <c r="O15" i="1"/>
  <c r="P15" i="1" s="1"/>
  <c r="L15" i="1"/>
  <c r="M15" i="1" s="1"/>
  <c r="K15" i="1"/>
  <c r="J20" i="1"/>
  <c r="I20" i="1"/>
  <c r="J29" i="1"/>
  <c r="I29" i="1"/>
  <c r="AE27" i="5"/>
  <c r="AL27" i="5"/>
  <c r="AP27" i="5" s="1"/>
  <c r="AP15" i="5"/>
  <c r="J16" i="1"/>
  <c r="I16" i="1"/>
  <c r="J38" i="1"/>
  <c r="I38" i="1"/>
  <c r="AP24" i="5"/>
  <c r="AE33" i="5"/>
  <c r="AL33" i="5"/>
  <c r="AP33" i="5" s="1"/>
  <c r="O11" i="1"/>
  <c r="P11" i="1" s="1"/>
  <c r="L11" i="1"/>
  <c r="M11" i="1" s="1"/>
  <c r="K11" i="1"/>
  <c r="BC4" i="5"/>
  <c r="AG4" i="5"/>
  <c r="AM4" i="5"/>
  <c r="AL3" i="5"/>
  <c r="AJ4" i="5"/>
  <c r="H52" i="5"/>
  <c r="AS56" i="5"/>
  <c r="BH56" i="5"/>
  <c r="BH51" i="5"/>
  <c r="AS51" i="5"/>
  <c r="AS50" i="5" s="1"/>
  <c r="AR50" i="5"/>
  <c r="L54" i="1"/>
  <c r="T40" i="5"/>
  <c r="U40" i="5" s="1"/>
  <c r="Z40" i="5"/>
  <c r="W40" i="5"/>
  <c r="X40" i="5" s="1"/>
  <c r="AP40" i="5"/>
  <c r="Z29" i="5"/>
  <c r="W29" i="5"/>
  <c r="X29" i="5" s="1"/>
  <c r="T29" i="5"/>
  <c r="U29" i="5" s="1"/>
  <c r="AP52" i="5"/>
  <c r="L8" i="1"/>
  <c r="M8" i="1" s="1"/>
  <c r="K8" i="1"/>
  <c r="O8" i="1"/>
  <c r="P8" i="1" s="1"/>
  <c r="AM21" i="5"/>
  <c r="AJ21" i="5"/>
  <c r="AK21" i="5" s="1"/>
  <c r="AG21" i="5"/>
  <c r="AH21" i="5" s="1"/>
  <c r="AP21" i="5"/>
  <c r="H37" i="1"/>
  <c r="AE39" i="5"/>
  <c r="AL39" i="5"/>
  <c r="AP39" i="5" s="1"/>
  <c r="AP18" i="5"/>
  <c r="Y66" i="5" l="1"/>
  <c r="H66" i="5"/>
  <c r="AT39" i="5"/>
  <c r="AU39" i="5" s="1"/>
  <c r="AR39" i="5"/>
  <c r="AQ39" i="5"/>
  <c r="AT28" i="5"/>
  <c r="AU28" i="5" s="1"/>
  <c r="AR28" i="5"/>
  <c r="AQ28" i="5"/>
  <c r="AT33" i="5"/>
  <c r="AU33" i="5" s="1"/>
  <c r="AR33" i="5"/>
  <c r="AQ33" i="5"/>
  <c r="AT27" i="5"/>
  <c r="AU27" i="5" s="1"/>
  <c r="AR27" i="5"/>
  <c r="AQ27" i="5"/>
  <c r="L29" i="1"/>
  <c r="M29" i="1" s="1"/>
  <c r="K29" i="1"/>
  <c r="O29" i="1"/>
  <c r="P29" i="1" s="1"/>
  <c r="AT17" i="5"/>
  <c r="AU17" i="5" s="1"/>
  <c r="AR17" i="5"/>
  <c r="AQ17" i="5"/>
  <c r="AT18" i="5"/>
  <c r="AU18" i="5" s="1"/>
  <c r="AR18" i="5"/>
  <c r="AQ18" i="5"/>
  <c r="L38" i="1"/>
  <c r="M38" i="1" s="1"/>
  <c r="K38" i="1"/>
  <c r="O38" i="1"/>
  <c r="P38" i="1" s="1"/>
  <c r="AT9" i="5"/>
  <c r="AU9" i="5" s="1"/>
  <c r="AR9" i="5"/>
  <c r="AQ9" i="5"/>
  <c r="AT32" i="5"/>
  <c r="AU32" i="5" s="1"/>
  <c r="AR32" i="5"/>
  <c r="AQ32" i="5"/>
  <c r="AQ16" i="5"/>
  <c r="AT16" i="5"/>
  <c r="AU16" i="5" s="1"/>
  <c r="AR16" i="5"/>
  <c r="AT23" i="5"/>
  <c r="AR23" i="5"/>
  <c r="AQ23" i="5"/>
  <c r="AM40" i="5"/>
  <c r="AJ40" i="5"/>
  <c r="AK40" i="5" s="1"/>
  <c r="AG40" i="5"/>
  <c r="AH40" i="5" s="1"/>
  <c r="L20" i="1"/>
  <c r="M20" i="1" s="1"/>
  <c r="K20" i="1"/>
  <c r="O20" i="1"/>
  <c r="P20" i="1" s="1"/>
  <c r="J43" i="1"/>
  <c r="I43" i="1"/>
  <c r="AM35" i="5"/>
  <c r="AJ35" i="5"/>
  <c r="AK35" i="5" s="1"/>
  <c r="AG35" i="5"/>
  <c r="AH35" i="5" s="1"/>
  <c r="AT36" i="5"/>
  <c r="AU36" i="5" s="1"/>
  <c r="AR36" i="5"/>
  <c r="AQ36" i="5"/>
  <c r="AT8" i="5"/>
  <c r="AU8" i="5" s="1"/>
  <c r="AR8" i="5"/>
  <c r="AQ8" i="5"/>
  <c r="J65" i="5"/>
  <c r="K65" i="5" s="1"/>
  <c r="K66" i="5" s="1"/>
  <c r="T22" i="5"/>
  <c r="U23" i="5"/>
  <c r="U22" i="5" s="1"/>
  <c r="BH54" i="5"/>
  <c r="AS54" i="5"/>
  <c r="AM23" i="5"/>
  <c r="AJ23" i="5"/>
  <c r="AL22" i="5"/>
  <c r="AG23" i="5"/>
  <c r="O28" i="1"/>
  <c r="P28" i="1" s="1"/>
  <c r="L28" i="1"/>
  <c r="M28" i="1" s="1"/>
  <c r="K28" i="1"/>
  <c r="BH4" i="5"/>
  <c r="AS4" i="5"/>
  <c r="AT40" i="5"/>
  <c r="AU40" i="5" s="1"/>
  <c r="AR40" i="5"/>
  <c r="AQ40" i="5"/>
  <c r="AM28" i="5"/>
  <c r="AJ28" i="5"/>
  <c r="AK28" i="5" s="1"/>
  <c r="AG28" i="5"/>
  <c r="AH28" i="5" s="1"/>
  <c r="AM29" i="5"/>
  <c r="AJ29" i="5"/>
  <c r="AK29" i="5" s="1"/>
  <c r="AG29" i="5"/>
  <c r="AH29" i="5" s="1"/>
  <c r="L16" i="1"/>
  <c r="M16" i="1" s="1"/>
  <c r="K16" i="1"/>
  <c r="O16" i="1"/>
  <c r="P16" i="1" s="1"/>
  <c r="Z66" i="5"/>
  <c r="BH13" i="5"/>
  <c r="AS13" i="5"/>
  <c r="AM37" i="5"/>
  <c r="AJ37" i="5"/>
  <c r="AK37" i="5" s="1"/>
  <c r="AG37" i="5"/>
  <c r="AH37" i="5" s="1"/>
  <c r="AP37" i="5"/>
  <c r="AM26" i="5"/>
  <c r="AJ26" i="5"/>
  <c r="AK26" i="5" s="1"/>
  <c r="AG26" i="5"/>
  <c r="AH26" i="5" s="1"/>
  <c r="L32" i="1"/>
  <c r="M32" i="1" s="1"/>
  <c r="K32" i="1"/>
  <c r="O32" i="1"/>
  <c r="P32" i="1" s="1"/>
  <c r="AS55" i="5"/>
  <c r="AS52" i="5" s="1"/>
  <c r="BH55" i="5"/>
  <c r="AP35" i="5"/>
  <c r="J6" i="1"/>
  <c r="M64" i="1"/>
  <c r="M62" i="1" s="1"/>
  <c r="L62" i="1"/>
  <c r="X23" i="5"/>
  <c r="X22" i="5" s="1"/>
  <c r="W22" i="5"/>
  <c r="Q54" i="1"/>
  <c r="P54" i="1"/>
  <c r="P53" i="1" s="1"/>
  <c r="O53" i="1"/>
  <c r="J8" i="7" s="1"/>
  <c r="K8" i="7" s="1"/>
  <c r="AT31" i="5"/>
  <c r="AU31" i="5" s="1"/>
  <c r="AR31" i="5"/>
  <c r="AQ31" i="5"/>
  <c r="L42" i="1"/>
  <c r="M42" i="1" s="1"/>
  <c r="K42" i="1"/>
  <c r="O42" i="1"/>
  <c r="P42" i="1" s="1"/>
  <c r="AM39" i="5"/>
  <c r="AJ39" i="5"/>
  <c r="AK39" i="5" s="1"/>
  <c r="AG39" i="5"/>
  <c r="AH39" i="5" s="1"/>
  <c r="J37" i="1"/>
  <c r="I37" i="1"/>
  <c r="AT14" i="5"/>
  <c r="AU14" i="5" s="1"/>
  <c r="AR14" i="5"/>
  <c r="AQ14" i="5"/>
  <c r="AR19" i="5"/>
  <c r="AQ19" i="5"/>
  <c r="AT19" i="5"/>
  <c r="AU19" i="5" s="1"/>
  <c r="AP26" i="5"/>
  <c r="AT30" i="5"/>
  <c r="AU30" i="5" s="1"/>
  <c r="AR30" i="5"/>
  <c r="AQ30" i="5"/>
  <c r="AM32" i="5"/>
  <c r="AJ32" i="5"/>
  <c r="AK32" i="5" s="1"/>
  <c r="AG32" i="5"/>
  <c r="AH32" i="5" s="1"/>
  <c r="M7" i="1"/>
  <c r="P64" i="1"/>
  <c r="P62" i="1" s="1"/>
  <c r="O62" i="1"/>
  <c r="BH43" i="5"/>
  <c r="AS43" i="5"/>
  <c r="AS41" i="5" s="1"/>
  <c r="AR41" i="5"/>
  <c r="L24" i="1"/>
  <c r="M24" i="1" s="1"/>
  <c r="K24" i="1"/>
  <c r="O24" i="1"/>
  <c r="P24" i="1" s="1"/>
  <c r="AT52" i="5"/>
  <c r="L14" i="1"/>
  <c r="M14" i="1" s="1"/>
  <c r="K14" i="1"/>
  <c r="O14" i="1"/>
  <c r="P14" i="1" s="1"/>
  <c r="BH20" i="5"/>
  <c r="AS20" i="5"/>
  <c r="AM38" i="5"/>
  <c r="AJ38" i="5"/>
  <c r="AK38" i="5" s="1"/>
  <c r="AG38" i="5"/>
  <c r="AH38" i="5" s="1"/>
  <c r="L36" i="1"/>
  <c r="M36" i="1" s="1"/>
  <c r="K36" i="1"/>
  <c r="O36" i="1"/>
  <c r="P36" i="1" s="1"/>
  <c r="AT21" i="5"/>
  <c r="AU21" i="5" s="1"/>
  <c r="AR21" i="5"/>
  <c r="AQ21" i="5"/>
  <c r="L53" i="1"/>
  <c r="H8" i="7" s="1"/>
  <c r="I8" i="7" s="1"/>
  <c r="M54" i="1"/>
  <c r="M53" i="1" s="1"/>
  <c r="AJ3" i="5"/>
  <c r="AK4" i="5"/>
  <c r="AK3" i="5" s="1"/>
  <c r="AM33" i="5"/>
  <c r="AJ33" i="5"/>
  <c r="AK33" i="5" s="1"/>
  <c r="AG33" i="5"/>
  <c r="AH33" i="5" s="1"/>
  <c r="AM27" i="5"/>
  <c r="AJ27" i="5"/>
  <c r="AK27" i="5" s="1"/>
  <c r="AG27" i="5"/>
  <c r="AH27" i="5" s="1"/>
  <c r="T65" i="5"/>
  <c r="U65" i="5" s="1"/>
  <c r="U66" i="5" s="1"/>
  <c r="AR6" i="5"/>
  <c r="AQ6" i="5"/>
  <c r="AQ3" i="5" s="1"/>
  <c r="AT6" i="5"/>
  <c r="AU6" i="5" s="1"/>
  <c r="AH55" i="5"/>
  <c r="AH52" i="5" s="1"/>
  <c r="AG52" i="5"/>
  <c r="K30" i="1"/>
  <c r="O30" i="1"/>
  <c r="P30" i="1" s="1"/>
  <c r="L30" i="1"/>
  <c r="M30" i="1" s="1"/>
  <c r="P7" i="1"/>
  <c r="AU43" i="5"/>
  <c r="AU41" i="5" s="1"/>
  <c r="AT41" i="5"/>
  <c r="Z22" i="5"/>
  <c r="AU52" i="5"/>
  <c r="AP38" i="5"/>
  <c r="AM34" i="5"/>
  <c r="AJ34" i="5"/>
  <c r="AK34" i="5" s="1"/>
  <c r="AG34" i="5"/>
  <c r="AH34" i="5" s="1"/>
  <c r="G66" i="5"/>
  <c r="L67" i="5" s="1"/>
  <c r="AM30" i="5"/>
  <c r="AJ30" i="5"/>
  <c r="AK30" i="5" s="1"/>
  <c r="AG30" i="5"/>
  <c r="AH30" i="5" s="1"/>
  <c r="O31" i="1"/>
  <c r="P31" i="1" s="1"/>
  <c r="L31" i="1"/>
  <c r="M31" i="1" s="1"/>
  <c r="K31" i="1"/>
  <c r="AP65" i="5"/>
  <c r="AH4" i="5"/>
  <c r="AH3" i="5" s="1"/>
  <c r="AG3" i="5"/>
  <c r="J35" i="1"/>
  <c r="I35" i="1"/>
  <c r="AR15" i="5"/>
  <c r="AQ15" i="5"/>
  <c r="AT15" i="5"/>
  <c r="AU15" i="5" s="1"/>
  <c r="AL66" i="5"/>
  <c r="W66" i="5"/>
  <c r="W65" i="5"/>
  <c r="X65" i="5" s="1"/>
  <c r="X66" i="5" s="1"/>
  <c r="AQ10" i="5"/>
  <c r="AT10" i="5"/>
  <c r="AU10" i="5" s="1"/>
  <c r="AR10" i="5"/>
  <c r="AK55" i="5"/>
  <c r="AK52" i="5" s="1"/>
  <c r="AJ52" i="5"/>
  <c r="AM25" i="5"/>
  <c r="AJ25" i="5"/>
  <c r="AK25" i="5" s="1"/>
  <c r="AG25" i="5"/>
  <c r="AH25" i="5" s="1"/>
  <c r="J33" i="1"/>
  <c r="I33" i="1"/>
  <c r="L34" i="1"/>
  <c r="M34" i="1" s="1"/>
  <c r="K34" i="1"/>
  <c r="O34" i="1"/>
  <c r="P34" i="1" s="1"/>
  <c r="AP25" i="5"/>
  <c r="AP22" i="5" s="1"/>
  <c r="AP67" i="5" s="1"/>
  <c r="AT67" i="5" s="1"/>
  <c r="O26" i="1"/>
  <c r="L26" i="1"/>
  <c r="K26" i="1"/>
  <c r="AQ12" i="5"/>
  <c r="AT12" i="5"/>
  <c r="AU12" i="5" s="1"/>
  <c r="AR12" i="5"/>
  <c r="L40" i="1"/>
  <c r="M40" i="1" s="1"/>
  <c r="K40" i="1"/>
  <c r="O40" i="1"/>
  <c r="P40" i="1" s="1"/>
  <c r="AP29" i="5"/>
  <c r="O41" i="1"/>
  <c r="P41" i="1" s="1"/>
  <c r="L41" i="1"/>
  <c r="M41" i="1" s="1"/>
  <c r="K41" i="1"/>
  <c r="AM3" i="5"/>
  <c r="AT24" i="5"/>
  <c r="AU24" i="5" s="1"/>
  <c r="AR24" i="5"/>
  <c r="AQ24" i="5"/>
  <c r="AL65" i="5"/>
  <c r="AM65" i="5" s="1"/>
  <c r="O39" i="1"/>
  <c r="P39" i="1" s="1"/>
  <c r="L39" i="1"/>
  <c r="M39" i="1" s="1"/>
  <c r="K39" i="1"/>
  <c r="AM31" i="5"/>
  <c r="AJ31" i="5"/>
  <c r="AK31" i="5" s="1"/>
  <c r="AG31" i="5"/>
  <c r="AH31" i="5" s="1"/>
  <c r="AQ11" i="5"/>
  <c r="AT11" i="5"/>
  <c r="AU11" i="5" s="1"/>
  <c r="AR11" i="5"/>
  <c r="BH7" i="5"/>
  <c r="AS7" i="5"/>
  <c r="AM36" i="5"/>
  <c r="AJ36" i="5"/>
  <c r="AK36" i="5" s="1"/>
  <c r="AG36" i="5"/>
  <c r="AH36" i="5" s="1"/>
  <c r="AT34" i="5"/>
  <c r="AU34" i="5" s="1"/>
  <c r="AR34" i="5"/>
  <c r="AQ34" i="5"/>
  <c r="H9" i="7"/>
  <c r="I9" i="7" s="1"/>
  <c r="O23" i="1"/>
  <c r="P23" i="1" s="1"/>
  <c r="L23" i="1"/>
  <c r="M23" i="1" s="1"/>
  <c r="K23" i="1"/>
  <c r="AU4" i="5"/>
  <c r="K6" i="1" l="1"/>
  <c r="M6" i="1"/>
  <c r="J66" i="5"/>
  <c r="AZ65" i="5"/>
  <c r="AQ65" i="5"/>
  <c r="J68" i="1"/>
  <c r="AS6" i="5"/>
  <c r="AS3" i="5" s="1"/>
  <c r="BH6" i="5"/>
  <c r="AT35" i="5"/>
  <c r="AU35" i="5" s="1"/>
  <c r="AR35" i="5"/>
  <c r="AQ35" i="5"/>
  <c r="BH32" i="5"/>
  <c r="AS32" i="5"/>
  <c r="AS10" i="5"/>
  <c r="BH10" i="5"/>
  <c r="AS15" i="5"/>
  <c r="BH15" i="5"/>
  <c r="AS19" i="5"/>
  <c r="BH19" i="5"/>
  <c r="AT37" i="5"/>
  <c r="AU37" i="5" s="1"/>
  <c r="AR37" i="5"/>
  <c r="AQ37" i="5"/>
  <c r="BH36" i="5"/>
  <c r="AS36" i="5"/>
  <c r="AS18" i="5"/>
  <c r="BH18" i="5"/>
  <c r="BH28" i="5"/>
  <c r="AS28" i="5"/>
  <c r="O6" i="1"/>
  <c r="BH21" i="5"/>
  <c r="AS21" i="5"/>
  <c r="AS11" i="5"/>
  <c r="BH11" i="5"/>
  <c r="AT38" i="5"/>
  <c r="AU38" i="5" s="1"/>
  <c r="AR38" i="5"/>
  <c r="AQ38" i="5"/>
  <c r="BH40" i="5"/>
  <c r="AS40" i="5"/>
  <c r="AG22" i="5"/>
  <c r="AH23" i="5"/>
  <c r="AH22" i="5" s="1"/>
  <c r="AS23" i="5"/>
  <c r="BH23" i="5"/>
  <c r="P6" i="1"/>
  <c r="AT3" i="5"/>
  <c r="BH34" i="5"/>
  <c r="AS34" i="5"/>
  <c r="AT29" i="5"/>
  <c r="AU29" i="5" s="1"/>
  <c r="AR29" i="5"/>
  <c r="AQ29" i="5"/>
  <c r="M26" i="1"/>
  <c r="O33" i="1"/>
  <c r="P33" i="1" s="1"/>
  <c r="L33" i="1"/>
  <c r="M33" i="1" s="1"/>
  <c r="K33" i="1"/>
  <c r="T66" i="5"/>
  <c r="Y67" i="5" s="1"/>
  <c r="AS14" i="5"/>
  <c r="BH14" i="5"/>
  <c r="AU23" i="5"/>
  <c r="AU22" i="5" s="1"/>
  <c r="BH9" i="5"/>
  <c r="AS9" i="5"/>
  <c r="BH27" i="5"/>
  <c r="AS27" i="5"/>
  <c r="BH12" i="5"/>
  <c r="AS12" i="5"/>
  <c r="AU3" i="5"/>
  <c r="P26" i="1"/>
  <c r="O35" i="1"/>
  <c r="P35" i="1" s="1"/>
  <c r="L35" i="1"/>
  <c r="M35" i="1" s="1"/>
  <c r="K35" i="1"/>
  <c r="AG65" i="5"/>
  <c r="AH65" i="5" s="1"/>
  <c r="AH66" i="5" s="1"/>
  <c r="BH30" i="5"/>
  <c r="AS30" i="5"/>
  <c r="AJ22" i="5"/>
  <c r="AK23" i="5"/>
  <c r="AK22" i="5" s="1"/>
  <c r="BH16" i="5"/>
  <c r="AS16" i="5"/>
  <c r="BH39" i="5"/>
  <c r="AS39" i="5"/>
  <c r="O43" i="1"/>
  <c r="P43" i="1" s="1"/>
  <c r="L43" i="1"/>
  <c r="M43" i="1" s="1"/>
  <c r="K43" i="1"/>
  <c r="AS24" i="5"/>
  <c r="BH24" i="5"/>
  <c r="J25" i="1"/>
  <c r="AR3" i="5"/>
  <c r="AM22" i="5"/>
  <c r="AM66" i="5" s="1"/>
  <c r="BH17" i="5"/>
  <c r="AS17" i="5"/>
  <c r="AT25" i="5"/>
  <c r="AU25" i="5" s="1"/>
  <c r="AR25" i="5"/>
  <c r="AQ25" i="5"/>
  <c r="AQ22" i="5" s="1"/>
  <c r="L6" i="1"/>
  <c r="H4" i="7" s="1"/>
  <c r="AT26" i="5"/>
  <c r="AU26" i="5" s="1"/>
  <c r="AR26" i="5"/>
  <c r="AQ26" i="5"/>
  <c r="O37" i="1"/>
  <c r="P37" i="1" s="1"/>
  <c r="L37" i="1"/>
  <c r="M37" i="1" s="1"/>
  <c r="K37" i="1"/>
  <c r="BH31" i="5"/>
  <c r="AS31" i="5"/>
  <c r="BH8" i="5"/>
  <c r="AS8" i="5"/>
  <c r="BH33" i="5"/>
  <c r="AS33" i="5"/>
  <c r="J69" i="1" l="1"/>
  <c r="AQ67" i="5"/>
  <c r="K25" i="1"/>
  <c r="L25" i="1"/>
  <c r="AT22" i="5"/>
  <c r="AT65" i="5" s="1"/>
  <c r="M25" i="1"/>
  <c r="J4" i="7"/>
  <c r="BH37" i="5"/>
  <c r="AS37" i="5"/>
  <c r="K68" i="1"/>
  <c r="AS25" i="5"/>
  <c r="BH25" i="5"/>
  <c r="AG66" i="5"/>
  <c r="AL67" i="5" s="1"/>
  <c r="AS22" i="5"/>
  <c r="BH38" i="5"/>
  <c r="AS38" i="5"/>
  <c r="BH29" i="5"/>
  <c r="AS29" i="5"/>
  <c r="AR22" i="5"/>
  <c r="AS26" i="5"/>
  <c r="BH26" i="5"/>
  <c r="H5" i="7"/>
  <c r="I5" i="7" s="1"/>
  <c r="BH35" i="5"/>
  <c r="AS35" i="5"/>
  <c r="I4" i="7"/>
  <c r="AJ65" i="5"/>
  <c r="AK65" i="5" s="1"/>
  <c r="AK66" i="5" s="1"/>
  <c r="O25" i="1"/>
  <c r="J5" i="7" s="1"/>
  <c r="K5" i="7" s="1"/>
  <c r="P25" i="1"/>
  <c r="K69" i="1" l="1"/>
  <c r="AT68" i="5"/>
  <c r="AR65" i="5"/>
  <c r="AS65" i="5" s="1"/>
  <c r="AS67" i="5" s="1"/>
  <c r="AU65" i="5"/>
  <c r="AU68" i="5" s="1"/>
  <c r="O68" i="1"/>
  <c r="O71" i="1" s="1"/>
  <c r="Q71" i="1" s="1"/>
  <c r="K4" i="7"/>
  <c r="AJ66" i="5"/>
  <c r="P68" i="1" l="1"/>
  <c r="P71" i="1" s="1"/>
  <c r="J10" i="7"/>
  <c r="AR67" i="5"/>
  <c r="F67" i="5" s="1"/>
  <c r="Y71" i="5" l="1"/>
  <c r="D71" i="5"/>
  <c r="N68" i="1"/>
  <c r="L68" i="1" s="1"/>
  <c r="M68" i="1" s="1"/>
  <c r="K10" i="7"/>
  <c r="K11" i="7" s="1"/>
  <c r="J11" i="7"/>
  <c r="H10" i="7" l="1"/>
  <c r="M70" i="1"/>
  <c r="L70" i="1"/>
  <c r="N70" i="1" s="1"/>
  <c r="I10" i="7" l="1"/>
  <c r="I11" i="7" s="1"/>
  <c r="H11" i="7"/>
</calcChain>
</file>

<file path=xl/sharedStrings.xml><?xml version="1.0" encoding="utf-8"?>
<sst xmlns="http://schemas.openxmlformats.org/spreadsheetml/2006/main" count="700" uniqueCount="281">
  <si>
    <t>Entity:</t>
  </si>
  <si>
    <t>P</t>
  </si>
  <si>
    <t>Program-Dept.:</t>
  </si>
  <si>
    <t>FTF</t>
  </si>
  <si>
    <t>Funder-Grant:</t>
  </si>
  <si>
    <t>USDA700</t>
  </si>
  <si>
    <t>Country Code:</t>
  </si>
  <si>
    <t>COL2</t>
  </si>
  <si>
    <t>Subcontract Code:</t>
  </si>
  <si>
    <t>ICFUNDACION</t>
  </si>
  <si>
    <t xml:space="preserve">Item </t>
  </si>
  <si>
    <t>Unit</t>
  </si>
  <si>
    <t># of Units</t>
  </si>
  <si>
    <t xml:space="preserve"> Unit Value 
COP </t>
  </si>
  <si>
    <t xml:space="preserve"> Unit Value
USD </t>
  </si>
  <si>
    <t xml:space="preserve"> Total Value 
COP </t>
  </si>
  <si>
    <t xml:space="preserve"> Total Value 
USD </t>
  </si>
  <si>
    <t>C4D Contribution
COP</t>
  </si>
  <si>
    <t>Contribution C4D
USD</t>
  </si>
  <si>
    <t>% Contribution C4D</t>
  </si>
  <si>
    <t>Cotribution IC
Cost - Share / 
COP</t>
  </si>
  <si>
    <t>Cotribution IC
Cost - Share / 
USD</t>
  </si>
  <si>
    <t>% Contribution IC
Cost - Share/</t>
  </si>
  <si>
    <t>Level of Effort (LOE)</t>
  </si>
  <si>
    <t>Detail</t>
  </si>
  <si>
    <t>Sage Activity</t>
  </si>
  <si>
    <t>Sage Object Code/ Line Item</t>
  </si>
  <si>
    <t>Sub Name Code</t>
  </si>
  <si>
    <t>Subcontract Activity Code</t>
  </si>
  <si>
    <t>1.Personal (Laboral)</t>
  </si>
  <si>
    <t>SUBPRODORG</t>
  </si>
  <si>
    <t>ICFUNDCION</t>
  </si>
  <si>
    <t>ICFPERPCO</t>
  </si>
  <si>
    <t>1.1. Program Coordinator</t>
  </si>
  <si>
    <t>month</t>
  </si>
  <si>
    <t>Laura Rivera</t>
  </si>
  <si>
    <t>ICFPERBSC</t>
  </si>
  <si>
    <t>1.2. Business Strengthening Coordinator</t>
  </si>
  <si>
    <t>Yineth Henao</t>
  </si>
  <si>
    <t>ICFPERCTS</t>
  </si>
  <si>
    <t>1.3. Cacao technical specialist</t>
  </si>
  <si>
    <t>Juan Gabriel Vargas</t>
  </si>
  <si>
    <t>ICFPERORG</t>
  </si>
  <si>
    <t>1.4. Organizational Professional</t>
  </si>
  <si>
    <t>Por contratar</t>
  </si>
  <si>
    <t>ICFPERF&amp;A</t>
  </si>
  <si>
    <t>1.5. F&amp;A Specialist</t>
  </si>
  <si>
    <t>Yuliana Murillo</t>
  </si>
  <si>
    <t>ICFPERBPP</t>
  </si>
  <si>
    <t>1.6. Business Partner Professional Antioquia, Córdoba 1</t>
  </si>
  <si>
    <t xml:space="preserve">Business Partner Professional </t>
  </si>
  <si>
    <t>1.7. Business Partner Professional Antioquia, Córdoba 2</t>
  </si>
  <si>
    <t>1.8. Business Partner Professional Caldas</t>
  </si>
  <si>
    <t>1.9. Business Partner Professional Guajira, Cesar, Magdalena</t>
  </si>
  <si>
    <t>1.10. Business Partner Professional Huila</t>
  </si>
  <si>
    <t>1.11. Business Partner Professional Santander and Bolivar</t>
  </si>
  <si>
    <t>1.12. Business Partner Professional Cauca</t>
  </si>
  <si>
    <t>1.13. Business Partner Professional Tolima 1</t>
  </si>
  <si>
    <t>1.14. Business Partner Professional Tolima 2</t>
  </si>
  <si>
    <t>1.15. Business Partner Professional Tolima 3</t>
  </si>
  <si>
    <t>ICFPERADCO</t>
  </si>
  <si>
    <t>1.16. Administrative Coordinator</t>
  </si>
  <si>
    <t>William Collantes</t>
  </si>
  <si>
    <t>ICFPERPROC</t>
  </si>
  <si>
    <t>1.17. C4D-IC Project Coordinator</t>
  </si>
  <si>
    <t>Administrative Professiona</t>
  </si>
  <si>
    <t>ICFPERADA</t>
  </si>
  <si>
    <t>1.18. Administrative Assistant</t>
  </si>
  <si>
    <t>2. Fringe benefits</t>
  </si>
  <si>
    <t>ICFRINPCO</t>
  </si>
  <si>
    <t>Month</t>
  </si>
  <si>
    <t>By law, social benefits are calculated at 58.29% for personnel affiliated to risk 5, and 51.85% for administrative personnel at risk 1.</t>
  </si>
  <si>
    <t>ICFRINBSC</t>
  </si>
  <si>
    <t>ICFRINCTS</t>
  </si>
  <si>
    <t>ICFRINORG</t>
  </si>
  <si>
    <t>ICFRINF&amp;A</t>
  </si>
  <si>
    <t>ICFRINBPP</t>
  </si>
  <si>
    <t>ICFRINADCO</t>
  </si>
  <si>
    <t>ICFRINPROC</t>
  </si>
  <si>
    <t>ICFRINADA</t>
  </si>
  <si>
    <t>3. Travel costs</t>
  </si>
  <si>
    <t>ICFAIR</t>
  </si>
  <si>
    <t>3.1. Air transportation</t>
  </si>
  <si>
    <t>round trip</t>
  </si>
  <si>
    <t>Average cost of travel for the project coordinator, strengthening coordinator, cocoa specialist, organizational specialist and A&amp;F professional. For more details on travel, see the "Workshops and Travel" sheet.</t>
  </si>
  <si>
    <t>ICFTRANS</t>
  </si>
  <si>
    <t>3.2. Land transportation</t>
  </si>
  <si>
    <t>trip</t>
  </si>
  <si>
    <t>Average cost of ground transportation to carry out project activities, this cost was calculated for project personnel. For more details on travel, see the "Workshops and Travel" sheet.</t>
  </si>
  <si>
    <t>IFCLODGING</t>
  </si>
  <si>
    <t>3.3. Lodging</t>
  </si>
  <si>
    <t>ninghts lodging</t>
  </si>
  <si>
    <t>Average cost of lodging to carry out project activities, this cost was calculated for project staff. For more details on travel, see the "Workshops and Travel" sheet.</t>
  </si>
  <si>
    <t>IFCPERDIEM</t>
  </si>
  <si>
    <t>3.4. Perdiem</t>
  </si>
  <si>
    <t>day</t>
  </si>
  <si>
    <t>Average cost of food to carry out project activities, this cost was calculated for project staff. For more details on travel, see the "Workshops and Travel" sheet.</t>
  </si>
  <si>
    <t>4. Professional services (consultants)</t>
  </si>
  <si>
    <t>ICFDEVPROD</t>
  </si>
  <si>
    <t>4.1. Development of cacao and complementary products business models / Muttuo</t>
  </si>
  <si>
    <t>product</t>
  </si>
  <si>
    <t xml:space="preserve">Value of consultancies required for A. Development of marketing models for cocoa and for B. Development of marketing models for substitute products". The calculated cost is estimated according to consultancies contracted by IC in other strengthening processes. </t>
  </si>
  <si>
    <t>ICFASSESS</t>
  </si>
  <si>
    <t>4.2. Financial feasibility assessments</t>
  </si>
  <si>
    <t>evaluation</t>
  </si>
  <si>
    <t xml:space="preserve"> Counterpart. Value of the credit structures developed by IC Fundación.</t>
  </si>
  <si>
    <t>ICFCONSULT</t>
  </si>
  <si>
    <t>4.3. Business consulting (marketing, communications, quality, processes, invoicing)</t>
  </si>
  <si>
    <t>consulting</t>
  </si>
  <si>
    <t xml:space="preserve"> Amount to hire specific consultancies to support business strengthening processes (branding, labels, web page, advice on good quality practices, quality analysis, SGSST, etc.).</t>
  </si>
  <si>
    <t>5. Supplies</t>
  </si>
  <si>
    <t>ICFSUPPLY</t>
  </si>
  <si>
    <t xml:space="preserve">5.1. Laptop rental x 13 </t>
  </si>
  <si>
    <t xml:space="preserve"> Average cost of computer equipment rental that will be provided to staff members to carry out their activities. 13 computers for 28 months. </t>
  </si>
  <si>
    <t>6. Direct operating costs</t>
  </si>
  <si>
    <t>ICFDIAREF</t>
  </si>
  <si>
    <t xml:space="preserve">6.1. Diagnostic workshop refreshments (snacks and lunches) </t>
  </si>
  <si>
    <t>workshop</t>
  </si>
  <si>
    <t xml:space="preserve">The value in reference corresponds to the average price of refreshments and lunch in the area. An average of 74 workshops, one for each organization, average number of attendees per workshop is 10 people. </t>
  </si>
  <si>
    <t>ICFDIAMATL</t>
  </si>
  <si>
    <t>6.2. Diagnostic workshop materials (stationery: cardboard, markers, cards, etc.)</t>
  </si>
  <si>
    <t xml:space="preserve"> Estimated average value that includes material for the workshops.  An average of 74 workshops for each organization, average number of attendees per workshop 10 people. </t>
  </si>
  <si>
    <t>ICFREFRESH</t>
  </si>
  <si>
    <t>6.3. Strengthening workshop refreshments (snacks and lunches)</t>
  </si>
  <si>
    <t>The value in reference corresponds to the average price of refreshments and lunch in the area. Average 222 workshops three for each organization, average number of attendees per workshop 8 persons.</t>
  </si>
  <si>
    <t>ICFSTRMATL</t>
  </si>
  <si>
    <t>6.4. Strengthening workshop materials (stationery: cardboard, markers, cards, etc.)</t>
  </si>
  <si>
    <t xml:space="preserve"> Estimated average value that includes material for the workshops.  Average 222 workshops 3 for each organization. Average number of attendees per workshop 8 people.</t>
  </si>
  <si>
    <t>ICFCAPITAL</t>
  </si>
  <si>
    <t>6.5. Credit Resources/Working Capital</t>
  </si>
  <si>
    <t>global</t>
  </si>
  <si>
    <t xml:space="preserve">Amount available to make loans to some prioritized organizations with capital needs. </t>
  </si>
  <si>
    <t>ICFCAPBUIL</t>
  </si>
  <si>
    <t>6.6. IC Fundación-owned producer organization capacity building tools and methodologies (workshop guides, support tools, etc)</t>
  </si>
  <si>
    <t>asociation</t>
  </si>
  <si>
    <t xml:space="preserve"> Value of IC Foundation's methodology and tools (6 million x partnership for the duration of the project). </t>
  </si>
  <si>
    <t>7. Office expenses</t>
  </si>
  <si>
    <t>ICFRECRUIT</t>
  </si>
  <si>
    <t>7.1. Staff recruitment assessments (medical exams, remote work visit, etc)</t>
  </si>
  <si>
    <t>new staff</t>
  </si>
  <si>
    <t xml:space="preserve">Average cost necessary for the hiring process of 11 professionals (home visit, background validation, reference validation, entrance exam, etc.). </t>
  </si>
  <si>
    <t>ICFBANKEX</t>
  </si>
  <si>
    <t>7.2. Financial/bank expenses</t>
  </si>
  <si>
    <t xml:space="preserve"> Average cost of expenses for commissions generated in the monetization of resources and financial transactions for the development of the activity.   </t>
  </si>
  <si>
    <t>ICFADOBE</t>
  </si>
  <si>
    <t>7.3. Adobe Acrobat licence</t>
  </si>
  <si>
    <t>license</t>
  </si>
  <si>
    <t xml:space="preserve"> The licenses will be used for the equipment of the project coordinator, C4D agreement coordinator and administrative assistant. The licenses are necessary for the proper management of the documentation that supports the execution of the project. </t>
  </si>
  <si>
    <t>ICFLICENSE</t>
  </si>
  <si>
    <t>7.4. Office and antivirus license 13 computers</t>
  </si>
  <si>
    <t xml:space="preserve"> The office and antivirus licenses will be purchased for the C4D team's computers to ensure proper operation of the 18 computers. </t>
  </si>
  <si>
    <t>ICFLIFEIN</t>
  </si>
  <si>
    <t>7.5. Life insurance * 13</t>
  </si>
  <si>
    <t xml:space="preserve"> Life insurance must be purchased for all IC Foundation employees, which will cover them for a value of $100,000,000. </t>
  </si>
  <si>
    <t>ICFIDC</t>
  </si>
  <si>
    <t>Administrative expenses</t>
  </si>
  <si>
    <t>%</t>
  </si>
  <si>
    <t xml:space="preserve"> Indirect costs established by IC Fundación at a fixed percentage of 5%. Indirect costs include: statutory audit, SGSST, general management, utilities and leasing, internet, telephony, legal services.</t>
  </si>
  <si>
    <t>Total proposal COP</t>
  </si>
  <si>
    <t>Total contribution C4D</t>
  </si>
  <si>
    <t>Total Cost - Share</t>
  </si>
  <si>
    <t xml:space="preserve">OANDA 1 June </t>
  </si>
  <si>
    <t>Initial C4D
COP</t>
  </si>
  <si>
    <t>Initial C4D
USD</t>
  </si>
  <si>
    <t>Cost Share Initial
COP</t>
  </si>
  <si>
    <t>Cost Share Initial
USD</t>
  </si>
  <si>
    <t>Final C4D
COP</t>
  </si>
  <si>
    <t>Final C4D
USD</t>
  </si>
  <si>
    <t>Cost Share Final
COP</t>
  </si>
  <si>
    <t>Cost Share Final
USD</t>
  </si>
  <si>
    <t>1.Personnel</t>
  </si>
  <si>
    <t>3. Trips</t>
  </si>
  <si>
    <t>5. Materials</t>
  </si>
  <si>
    <t>Tasa Oanda</t>
  </si>
  <si>
    <t>Year 1</t>
  </si>
  <si>
    <t>Year 2</t>
  </si>
  <si>
    <t>Year 3</t>
  </si>
  <si>
    <t># of units</t>
  </si>
  <si>
    <t>%  C4D</t>
  </si>
  <si>
    <t>% IC
Cost - Share</t>
  </si>
  <si>
    <t xml:space="preserve">Totals Qts. </t>
  </si>
  <si>
    <t>Total budget
COP</t>
  </si>
  <si>
    <t>Total budget
USD</t>
  </si>
  <si>
    <t>Total C4D 
COP</t>
  </si>
  <si>
    <t>Total C4D 
USD</t>
  </si>
  <si>
    <t>Total contribution IC
Cost - Share / 
COP</t>
  </si>
  <si>
    <t>Total contribution IC
Cost - Share / 
USD</t>
  </si>
  <si>
    <t>Value of base salary COP</t>
  </si>
  <si>
    <t>Value of base salary USD</t>
  </si>
  <si>
    <t>mes</t>
  </si>
  <si>
    <t>LOE (%)</t>
  </si>
  <si>
    <t>Fringe benefits (%)</t>
  </si>
  <si>
    <t>night</t>
  </si>
  <si>
    <t>6.6 IC Fundación-owned producer organization capacity building tools and methodologies (workshop guides, support tools, etc)</t>
  </si>
  <si>
    <t>7.3 Adobe Acrobat licence</t>
  </si>
  <si>
    <t>7.4 Office and antivirus license 13 computers</t>
  </si>
  <si>
    <t>7.5 Life insurance * 13</t>
  </si>
  <si>
    <t>Total obligated amount C4D</t>
  </si>
  <si>
    <t xml:space="preserve">Total Cost - Share </t>
  </si>
  <si>
    <t>Department</t>
  </si>
  <si>
    <t># Associations</t>
  </si>
  <si>
    <t>#PSE</t>
  </si>
  <si>
    <t>#Trips</t>
  </si>
  <si>
    <t>ANTIOQUIA 6</t>
  </si>
  <si>
    <t>CALDAS 5</t>
  </si>
  <si>
    <t>CORDOBA 6</t>
  </si>
  <si>
    <t>LA GUAJIRA 1</t>
  </si>
  <si>
    <t>BOLIVAR 1</t>
  </si>
  <si>
    <t>CESAR 7</t>
  </si>
  <si>
    <t>MAGDALENA 1</t>
  </si>
  <si>
    <t>HUILA 7</t>
  </si>
  <si>
    <t>CAUCA</t>
  </si>
  <si>
    <t>SANTANDER 6</t>
  </si>
  <si>
    <t>TOLIMA 31</t>
  </si>
  <si>
    <t>TOTAL</t>
  </si>
  <si>
    <t>COP</t>
  </si>
  <si>
    <t>Diagnosis</t>
  </si>
  <si>
    <t>Strengthening</t>
  </si>
  <si>
    <t>Staff</t>
  </si>
  <si>
    <t># Trips</t>
  </si>
  <si>
    <t>Airline tickets</t>
  </si>
  <si>
    <t>Lodging 4 nights</t>
  </si>
  <si>
    <t>Perdiem 5 days</t>
  </si>
  <si>
    <t>Land transportation</t>
  </si>
  <si>
    <t>Total</t>
  </si>
  <si>
    <t>2.1. Air transportation</t>
  </si>
  <si>
    <t>2.3. Land transportation</t>
  </si>
  <si>
    <t>2.4. Lodging</t>
  </si>
  <si>
    <t>2.5. Perdiem</t>
  </si>
  <si>
    <t>Quantity</t>
  </si>
  <si>
    <t>Assistants</t>
  </si>
  <si>
    <t>Unit value</t>
  </si>
  <si>
    <t>Perdiem (snacks and lunches) diagnosis workshop</t>
  </si>
  <si>
    <t>Materials (stationery: cardstock, markers, cards, etc.) diagnosis workshop</t>
  </si>
  <si>
    <t>Perdiem (snacks and lunches) strengthening workshop</t>
  </si>
  <si>
    <t>Materials (stationery: cardstock, markers, cards, etc.) strengthening workshop</t>
  </si>
  <si>
    <t>Fortalecimiento</t>
  </si>
  <si>
    <t>USD</t>
  </si>
  <si>
    <t>4.1. Construction of cocoa and complementary products business models / Muttuo</t>
  </si>
  <si>
    <t>5.1. Perdiem (snacks and lunches) diagnostic workshops</t>
  </si>
  <si>
    <t>5.2. Materials (stationery: cardboard, markers, cards, etc.) diagnostic workshops</t>
  </si>
  <si>
    <t>5.3. Perdiem (snacks and lunches) strengthening workshop</t>
  </si>
  <si>
    <t>5.4. Materiales (stationery: cardboard, markers, cards, etc.) strengthening workshop</t>
  </si>
  <si>
    <t>#</t>
  </si>
  <si>
    <t>Phase</t>
  </si>
  <si>
    <t>Products</t>
  </si>
  <si>
    <t>Deadline</t>
  </si>
  <si>
    <t>Planning</t>
  </si>
  <si>
    <t>Work plan, schedule of activities and monitoring plan that includes the quantitative and qualitative tools of the methodology, knowledge evaluation for the trained personnel and the battery of indicators.</t>
  </si>
  <si>
    <t>Mes 1</t>
  </si>
  <si>
    <t xml:space="preserve">Phase 1 </t>
  </si>
  <si>
    <t>Diagnosis of the organizations according to the methodology developed by the Sub-recipient. The results of the special studies conducted by C4D should be used, as well as the characterization surveys processed by the M&amp;E team, specific surveys and focus groups developed by the Sub-recipient along with other secondary information sources.</t>
  </si>
  <si>
    <t>Mes 5</t>
  </si>
  <si>
    <t>Phase 2</t>
  </si>
  <si>
    <t>Document containing the classification system of the organizations based on the results of the diagnosis.</t>
  </si>
  <si>
    <t>Mes 6</t>
  </si>
  <si>
    <t>Phase 3</t>
  </si>
  <si>
    <t>Report of gaps and opportunities for each of the organizations based on the diagnostic and characterization results. For each organization, the gaps that exist between its current situation and the following classification should be specified in order to determine opportunities for improvement.</t>
  </si>
  <si>
    <t>Phase 4</t>
  </si>
  <si>
    <t>Memories, attendance lists and photographic records of the socializations held with each of the producer organizations, to share the findings of the diagnosis and characterization, the analysis of gaps and opportunities, and to determine possible action plans and the basis for structuring the strengthening plan and preparing the administrative, financial and commercial plans.</t>
  </si>
  <si>
    <t>Mes 8</t>
  </si>
  <si>
    <t>Phase 5</t>
  </si>
  <si>
    <t>Document containing the strengthening plan by association.</t>
  </si>
  <si>
    <t>Memories, attendance lists and photographic records of the face-to-face and virtual workshops of at least two types: Organizational Development Core and Leadership Development to develop the administrative, financial and commercial skills of each organization's team.</t>
  </si>
  <si>
    <t>Mes 12</t>
  </si>
  <si>
    <t xml:space="preserve">Phase 6 </t>
  </si>
  <si>
    <t>Document containing: In-depth and detailed diagnosis of the cacao commercial situation of each of the organizations including but not limited to: characterization of their customers including demand profile, area of influence, available market, analysis of profitability and commercial processes, bargaining power, efficiency of the operational structure and commercial activities, attention to customer needs, sales arguments, differentiators, advertising and media, total sales history, by customer, region, among others.</t>
  </si>
  <si>
    <t>Document containing marketing plans adapted to the current and potential capabilities of each of the organizations.</t>
  </si>
  <si>
    <t>Document with the impact analysis and diagnosis of the way in which each organization is communicating with customers and recommendations to optimize communication processes and, if necessary, advertising and digital advertising. Workshop report on contracting and pricing strategies, export plan for organizations that according to the diagnosis are in a position to do so, new opportunities from local and international business rounds and support in the management of current and new business relationships.</t>
  </si>
  <si>
    <t xml:space="preserve">Phase 7 </t>
  </si>
  <si>
    <t>Feasibility report on the implementation of business models for cacao by-products, by-products of complementary crops and by-products of complementary crops.</t>
  </si>
  <si>
    <t>Mes 13
Mes 25
Mes 36</t>
  </si>
  <si>
    <t>Feasibility report on the financing of associative enterprises.</t>
  </si>
  <si>
    <t>Mes 16</t>
  </si>
  <si>
    <t xml:space="preserve">Phase 8 </t>
  </si>
  <si>
    <t>Document containing the result of the final evaluation based on the methodology for measuring the level of enterprise development (NDE), the comparison with the results of the baseline and the recommendations in each of the measurements evaluated.</t>
  </si>
  <si>
    <t>Phase 9</t>
  </si>
  <si>
    <t xml:space="preserve">Final report containing: </t>
  </si>
  <si>
    <t/>
  </si>
  <si>
    <t>Results of the implementation of the cacao trade strategy.</t>
  </si>
  <si>
    <t>Improvement plan and continuity plan for next year, including justification as to why the Sub-recipient should continue implementing the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</si>
</sst>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quot;$&quot;\ #,##0;[Red]\-&quot;$&quot;\ #,##0"/>
    <numFmt numFmtId="165" formatCode="&quot;$&quot;\ #,##0.00;[Red]\-&quot;$&quot;\ #,##0.00"/>
    <numFmt numFmtId="166" formatCode="_-&quot;$&quot;\ * #,##0_-;\-&quot;$&quot;\ * #,##0_-;_-&quot;$&quot;\ * &quot;-&quot;_-;_-@_-"/>
    <numFmt numFmtId="167" formatCode="_-&quot;$&quot;\ * #,##0.00_-;\-&quot;$&quot;\ * #,##0.00_-;_-&quot;$&quot;\ * &quot;-&quot;??_-;_-@_-"/>
    <numFmt numFmtId="168" formatCode="_-* #,##0.00_-;\-* #,##0.00_-;_-* &quot;-&quot;??_-;_-@_-"/>
    <numFmt numFmtId="169" formatCode="&quot;$&quot;\ #,##0"/>
    <numFmt numFmtId="170" formatCode="_-[$$-240A]\ * #,##0.00_-;\-[$$-240A]\ * #,##0.00_-;_-[$$-240A]\ * &quot;-&quot;??_-;_-@_-"/>
    <numFmt numFmtId="171" formatCode="_-[$$-240A]\ * #,##0_-;\-[$$-240A]\ * #,##0_-;_-[$$-240A]\ * &quot;-&quot;??_-;_-@_-"/>
    <numFmt numFmtId="172" formatCode="_-* #,##0_-;\-* #,##0_-;_-* &quot;-&quot;??_-;_-@_-"/>
    <numFmt numFmtId="173" formatCode="_-&quot;$&quot;\ * #,##0_-;\-&quot;$&quot;\ * #,##0_-;_-&quot;$&quot;\ * &quot;-&quot;??_-;_-@_-"/>
    <numFmt numFmtId="174" formatCode="_-&quot;$&quot;\ * #,##0.0_-;\-&quot;$&quot;\ * #,##0.0_-;_-&quot;$&quot;\ * &quot;-&quot;??_-;_-@_-"/>
  </numFmts>
  <fonts count="12"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sz val="11"/>
      <color theme="0"/>
      <name val="Calibri"/>
      <family val="2"/>
      <scheme val="minor"/>
    </font>
    <font>
      <sz val="11"/>
      <name val="Calibri"/>
      <family val="2"/>
      <scheme val="minor"/>
    </font>
    <font>
      <b/>
      <sz val="11"/>
      <color rgb="FFFF0000"/>
      <name val="Calibri"/>
      <family val="2"/>
      <scheme val="minor"/>
    </font>
    <font>
      <b/>
      <sz val="14"/>
      <color theme="1"/>
      <name val="Calibri"/>
      <family val="2"/>
      <scheme val="minor"/>
    </font>
    <font>
      <b/>
      <sz val="11"/>
      <name val="Calibri"/>
      <family val="2"/>
      <scheme val="minor"/>
    </font>
    <font>
      <b/>
      <sz val="11"/>
      <color rgb="FF000000"/>
      <name val="Calibri"/>
      <family val="2"/>
      <scheme val="minor"/>
    </font>
    <font>
      <b/>
      <sz val="11"/>
      <name val="Arial"/>
      <family val="2"/>
    </font>
    <font>
      <sz val="10"/>
      <name val="Times New Roman"/>
      <family val="1"/>
    </font>
  </fonts>
  <fills count="21">
    <fill>
      <patternFill patternType="none"/>
    </fill>
    <fill>
      <patternFill patternType="gray125"/>
    </fill>
    <fill>
      <patternFill patternType="solid">
        <fgColor theme="2" tint="-9.9978637043366805E-2"/>
        <bgColor indexed="64"/>
      </patternFill>
    </fill>
    <fill>
      <patternFill patternType="solid">
        <fgColor rgb="FF002060"/>
        <bgColor indexed="64"/>
      </patternFill>
    </fill>
    <fill>
      <patternFill patternType="solid">
        <fgColor theme="4" tint="0.39997558519241921"/>
        <bgColor indexed="64"/>
      </patternFill>
    </fill>
    <fill>
      <patternFill patternType="solid">
        <fgColor theme="6" tint="-0.249977111117893"/>
        <bgColor indexed="64"/>
      </patternFill>
    </fill>
    <fill>
      <patternFill patternType="solid">
        <fgColor theme="0"/>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9" tint="-0.499984740745262"/>
        <bgColor indexed="64"/>
      </patternFill>
    </fill>
    <fill>
      <patternFill patternType="solid">
        <fgColor rgb="FFBDD6EE"/>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92D050"/>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167" fontId="3" fillId="0" borderId="0" applyFont="0" applyFill="0" applyBorder="0" applyAlignment="0" applyProtection="0"/>
    <xf numFmtId="9"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cellStyleXfs>
  <cellXfs count="294">
    <xf numFmtId="0" fontId="0" fillId="0" borderId="0" xfId="0"/>
    <xf numFmtId="0" fontId="0" fillId="0" borderId="1" xfId="0" applyBorder="1"/>
    <xf numFmtId="0" fontId="1" fillId="2" borderId="1" xfId="0" applyFont="1" applyFill="1" applyBorder="1"/>
    <xf numFmtId="0" fontId="1" fillId="0" borderId="1" xfId="0" applyFont="1" applyBorder="1" applyAlignment="1">
      <alignment horizontal="center" vertical="center" wrapText="1"/>
    </xf>
    <xf numFmtId="0" fontId="1" fillId="4" borderId="1" xfId="0" applyFont="1" applyFill="1" applyBorder="1" applyAlignment="1">
      <alignment horizontal="center"/>
    </xf>
    <xf numFmtId="0" fontId="2" fillId="7" borderId="1" xfId="0" applyFont="1" applyFill="1" applyBorder="1" applyAlignment="1">
      <alignment horizontal="center"/>
    </xf>
    <xf numFmtId="171" fontId="1" fillId="0" borderId="1" xfId="0" applyNumberFormat="1" applyFont="1" applyBorder="1" applyAlignment="1">
      <alignment horizontal="center" vertical="center" wrapText="1"/>
    </xf>
    <xf numFmtId="171" fontId="0" fillId="0" borderId="0" xfId="0" applyNumberFormat="1"/>
    <xf numFmtId="171" fontId="1" fillId="0" borderId="1" xfId="1" applyNumberFormat="1" applyFont="1" applyBorder="1" applyAlignment="1">
      <alignment horizontal="center" vertical="center" wrapText="1"/>
    </xf>
    <xf numFmtId="0" fontId="1" fillId="6" borderId="1" xfId="0" applyFont="1" applyFill="1" applyBorder="1" applyAlignment="1">
      <alignment horizontal="center"/>
    </xf>
    <xf numFmtId="0" fontId="0" fillId="6" borderId="0" xfId="0" applyFill="1" applyAlignment="1">
      <alignment horizontal="center"/>
    </xf>
    <xf numFmtId="0" fontId="0" fillId="6" borderId="1" xfId="0" applyFill="1" applyBorder="1" applyAlignment="1">
      <alignment horizontal="center"/>
    </xf>
    <xf numFmtId="0" fontId="0" fillId="6" borderId="1" xfId="0" applyFill="1" applyBorder="1" applyAlignment="1">
      <alignment horizontal="center" vertical="center"/>
    </xf>
    <xf numFmtId="0" fontId="0" fillId="6" borderId="0" xfId="0" applyFill="1" applyAlignment="1">
      <alignment horizontal="center" vertical="center"/>
    </xf>
    <xf numFmtId="0" fontId="1" fillId="6" borderId="1" xfId="0" applyFont="1" applyFill="1" applyBorder="1" applyAlignment="1">
      <alignment horizontal="center" vertical="center" wrapText="1"/>
    </xf>
    <xf numFmtId="167" fontId="0" fillId="6" borderId="1" xfId="1" applyFont="1" applyFill="1" applyBorder="1" applyAlignment="1">
      <alignment horizontal="center"/>
    </xf>
    <xf numFmtId="170" fontId="0" fillId="6" borderId="1" xfId="0" applyNumberFormat="1" applyFill="1" applyBorder="1"/>
    <xf numFmtId="167" fontId="1" fillId="6" borderId="1" xfId="1" applyFont="1" applyFill="1" applyBorder="1" applyAlignment="1">
      <alignment horizontal="center"/>
    </xf>
    <xf numFmtId="167" fontId="0" fillId="6" borderId="1" xfId="0" applyNumberFormat="1" applyFill="1" applyBorder="1" applyAlignment="1">
      <alignment horizontal="center"/>
    </xf>
    <xf numFmtId="167" fontId="0" fillId="6" borderId="1" xfId="0" applyNumberFormat="1" applyFill="1" applyBorder="1"/>
    <xf numFmtId="170" fontId="0" fillId="6" borderId="1" xfId="0" applyNumberFormat="1" applyFill="1" applyBorder="1" applyAlignment="1">
      <alignment horizontal="center"/>
    </xf>
    <xf numFmtId="170" fontId="1" fillId="6" borderId="1" xfId="0" applyNumberFormat="1" applyFont="1" applyFill="1" applyBorder="1"/>
    <xf numFmtId="171" fontId="1" fillId="6" borderId="3" xfId="1" applyNumberFormat="1" applyFont="1" applyFill="1" applyBorder="1" applyAlignment="1">
      <alignment horizontal="center" vertical="center" wrapText="1"/>
    </xf>
    <xf numFmtId="167" fontId="5" fillId="6" borderId="1" xfId="1" applyFont="1" applyFill="1" applyBorder="1" applyAlignment="1">
      <alignment horizontal="center"/>
    </xf>
    <xf numFmtId="170" fontId="5" fillId="6" borderId="1" xfId="0" applyNumberFormat="1" applyFont="1" applyFill="1" applyBorder="1"/>
    <xf numFmtId="170" fontId="1" fillId="6" borderId="1" xfId="0" applyNumberFormat="1" applyFont="1" applyFill="1" applyBorder="1" applyAlignment="1">
      <alignment horizontal="center" vertical="center" wrapText="1"/>
    </xf>
    <xf numFmtId="0" fontId="0" fillId="0" borderId="1" xfId="0" applyBorder="1" applyAlignment="1">
      <alignment horizontal="center" vertical="center"/>
    </xf>
    <xf numFmtId="9" fontId="0" fillId="0" borderId="1" xfId="0" applyNumberFormat="1" applyBorder="1" applyAlignment="1">
      <alignment horizontal="center" vertical="center"/>
    </xf>
    <xf numFmtId="0" fontId="0" fillId="2" borderId="1" xfId="0" applyFill="1" applyBorder="1" applyAlignment="1">
      <alignment horizontal="center" vertical="center"/>
    </xf>
    <xf numFmtId="171" fontId="1" fillId="4" borderId="1" xfId="1" applyNumberFormat="1" applyFont="1" applyFill="1" applyBorder="1" applyAlignment="1">
      <alignment horizontal="center" vertical="center"/>
    </xf>
    <xf numFmtId="171" fontId="1" fillId="6" borderId="1" xfId="1" applyNumberFormat="1" applyFont="1" applyFill="1" applyBorder="1" applyAlignment="1">
      <alignment horizontal="center" vertical="center"/>
    </xf>
    <xf numFmtId="171" fontId="0" fillId="6" borderId="3" xfId="1" applyNumberFormat="1" applyFont="1" applyFill="1" applyBorder="1" applyAlignment="1">
      <alignment horizontal="center" vertical="center"/>
    </xf>
    <xf numFmtId="171" fontId="0" fillId="6" borderId="6" xfId="1" applyNumberFormat="1" applyFont="1" applyFill="1" applyBorder="1" applyAlignment="1">
      <alignment horizontal="center" vertical="center"/>
    </xf>
    <xf numFmtId="171" fontId="1" fillId="6" borderId="6" xfId="1" applyNumberFormat="1" applyFont="1" applyFill="1" applyBorder="1" applyAlignment="1">
      <alignment horizontal="center" vertical="center"/>
    </xf>
    <xf numFmtId="9" fontId="2" fillId="7" borderId="1" xfId="2" applyFont="1" applyFill="1" applyBorder="1" applyAlignment="1">
      <alignment horizontal="center" vertical="center"/>
    </xf>
    <xf numFmtId="0" fontId="0" fillId="0" borderId="0" xfId="0" applyAlignment="1">
      <alignment vertical="center"/>
    </xf>
    <xf numFmtId="0" fontId="0" fillId="6" borderId="0" xfId="0" applyFill="1" applyAlignment="1">
      <alignment vertical="center"/>
    </xf>
    <xf numFmtId="170" fontId="0" fillId="6" borderId="0" xfId="0" applyNumberFormat="1" applyFill="1" applyAlignment="1">
      <alignment vertical="center"/>
    </xf>
    <xf numFmtId="171" fontId="0" fillId="2" borderId="1" xfId="0" applyNumberFormat="1" applyFill="1" applyBorder="1" applyAlignment="1">
      <alignment vertical="center"/>
    </xf>
    <xf numFmtId="0" fontId="2" fillId="7" borderId="1"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171" fontId="0" fillId="0" borderId="1" xfId="0" applyNumberFormat="1" applyBorder="1" applyAlignment="1">
      <alignment vertical="center"/>
    </xf>
    <xf numFmtId="171" fontId="0" fillId="0" borderId="1" xfId="1" applyNumberFormat="1" applyFont="1" applyBorder="1" applyAlignment="1">
      <alignment vertical="center"/>
    </xf>
    <xf numFmtId="9" fontId="0" fillId="6" borderId="0" xfId="2" applyFont="1" applyFill="1" applyAlignment="1">
      <alignment vertical="center"/>
    </xf>
    <xf numFmtId="171" fontId="1" fillId="4" borderId="1" xfId="1" applyNumberFormat="1" applyFont="1" applyFill="1" applyBorder="1" applyAlignment="1">
      <alignment vertical="center"/>
    </xf>
    <xf numFmtId="0" fontId="1" fillId="0" borderId="1" xfId="0" applyFont="1" applyBorder="1" applyAlignment="1">
      <alignment vertical="center"/>
    </xf>
    <xf numFmtId="171" fontId="1" fillId="6" borderId="1" xfId="1" applyNumberFormat="1" applyFont="1" applyFill="1" applyBorder="1" applyAlignment="1">
      <alignment vertical="center"/>
    </xf>
    <xf numFmtId="171" fontId="2" fillId="3" borderId="1" xfId="0" applyNumberFormat="1" applyFont="1" applyFill="1" applyBorder="1" applyAlignment="1">
      <alignment vertical="center"/>
    </xf>
    <xf numFmtId="9" fontId="2" fillId="3" borderId="1" xfId="2" applyFont="1" applyFill="1" applyBorder="1" applyAlignment="1">
      <alignment horizontal="center" vertical="center"/>
    </xf>
    <xf numFmtId="171" fontId="0" fillId="6" borderId="0" xfId="0" applyNumberFormat="1" applyFill="1" applyAlignment="1">
      <alignment vertical="center"/>
    </xf>
    <xf numFmtId="171" fontId="1" fillId="6" borderId="1" xfId="0" applyNumberFormat="1" applyFont="1" applyFill="1" applyBorder="1" applyAlignment="1">
      <alignment vertical="center"/>
    </xf>
    <xf numFmtId="0" fontId="0" fillId="0" borderId="1" xfId="0" applyBorder="1" applyAlignment="1">
      <alignment horizontal="left" vertical="center" wrapText="1"/>
    </xf>
    <xf numFmtId="9" fontId="0" fillId="2" borderId="1" xfId="0" applyNumberFormat="1" applyFill="1" applyBorder="1" applyAlignment="1">
      <alignment horizontal="center" vertical="center"/>
    </xf>
    <xf numFmtId="10" fontId="5" fillId="2" borderId="1" xfId="0" applyNumberFormat="1" applyFont="1" applyFill="1" applyBorder="1" applyAlignment="1">
      <alignment horizontal="center" vertical="center"/>
    </xf>
    <xf numFmtId="171" fontId="5" fillId="6" borderId="0" xfId="1" applyNumberFormat="1" applyFont="1" applyFill="1" applyBorder="1" applyAlignment="1">
      <alignment horizontal="center" vertical="center"/>
    </xf>
    <xf numFmtId="0" fontId="1" fillId="2" borderId="2" xfId="0" applyFont="1" applyFill="1" applyBorder="1"/>
    <xf numFmtId="172" fontId="0" fillId="0" borderId="1" xfId="3" applyNumberFormat="1" applyFont="1" applyBorder="1"/>
    <xf numFmtId="0" fontId="1" fillId="2" borderId="0" xfId="0" applyFont="1" applyFill="1"/>
    <xf numFmtId="168" fontId="1" fillId="2" borderId="0" xfId="3" applyFont="1" applyFill="1" applyBorder="1" applyAlignment="1"/>
    <xf numFmtId="10" fontId="0" fillId="2" borderId="1" xfId="0" applyNumberFormat="1" applyFill="1" applyBorder="1" applyAlignment="1">
      <alignment horizontal="center" vertical="center"/>
    </xf>
    <xf numFmtId="0" fontId="0" fillId="0" borderId="0" xfId="0" applyAlignment="1">
      <alignment horizontal="center" vertical="center"/>
    </xf>
    <xf numFmtId="171" fontId="0" fillId="0" borderId="0" xfId="0" applyNumberFormat="1" applyAlignment="1">
      <alignment vertical="center"/>
    </xf>
    <xf numFmtId="171" fontId="0" fillId="0" borderId="1" xfId="1" applyNumberFormat="1" applyFont="1" applyFill="1" applyBorder="1" applyAlignment="1">
      <alignment vertical="center"/>
    </xf>
    <xf numFmtId="9" fontId="0" fillId="0" borderId="1" xfId="2" applyFont="1" applyBorder="1" applyAlignment="1">
      <alignment horizontal="center" vertical="center"/>
    </xf>
    <xf numFmtId="0" fontId="0" fillId="3" borderId="1" xfId="0" applyFill="1" applyBorder="1" applyAlignment="1">
      <alignment horizontal="center" vertical="center"/>
    </xf>
    <xf numFmtId="0" fontId="1" fillId="6" borderId="1" xfId="0" applyFont="1" applyFill="1" applyBorder="1" applyAlignment="1">
      <alignment horizontal="center" vertical="center"/>
    </xf>
    <xf numFmtId="171" fontId="0" fillId="6" borderId="1" xfId="1" applyNumberFormat="1" applyFont="1" applyFill="1" applyBorder="1" applyAlignment="1">
      <alignment vertical="center"/>
    </xf>
    <xf numFmtId="171" fontId="1" fillId="3" borderId="1" xfId="1" applyNumberFormat="1" applyFont="1" applyFill="1" applyBorder="1" applyAlignment="1">
      <alignment vertical="center"/>
    </xf>
    <xf numFmtId="9" fontId="0" fillId="0" borderId="1" xfId="2" applyFont="1" applyBorder="1" applyAlignment="1">
      <alignment horizontal="center"/>
    </xf>
    <xf numFmtId="9" fontId="2" fillId="7" borderId="1" xfId="2" applyFont="1" applyFill="1" applyBorder="1" applyAlignment="1">
      <alignment horizontal="center"/>
    </xf>
    <xf numFmtId="0" fontId="0" fillId="0" borderId="1" xfId="0" applyBorder="1" applyAlignment="1">
      <alignment horizontal="center"/>
    </xf>
    <xf numFmtId="166" fontId="2" fillId="7" borderId="1" xfId="4" applyFont="1" applyFill="1" applyBorder="1" applyAlignment="1">
      <alignment horizontal="center"/>
    </xf>
    <xf numFmtId="167" fontId="0" fillId="0" borderId="0" xfId="1" applyFont="1" applyAlignment="1">
      <alignment vertical="center"/>
    </xf>
    <xf numFmtId="0" fontId="2" fillId="7" borderId="1" xfId="0" applyFont="1" applyFill="1" applyBorder="1" applyAlignment="1">
      <alignment horizontal="center" wrapText="1"/>
    </xf>
    <xf numFmtId="170" fontId="0" fillId="0" borderId="1" xfId="0" applyNumberFormat="1" applyBorder="1" applyAlignment="1">
      <alignment wrapText="1"/>
    </xf>
    <xf numFmtId="170" fontId="0" fillId="0" borderId="1" xfId="0" applyNumberFormat="1" applyBorder="1" applyAlignment="1">
      <alignment vertical="center" wrapText="1"/>
    </xf>
    <xf numFmtId="166" fontId="2" fillId="7" borderId="1" xfId="4" applyFont="1" applyFill="1" applyBorder="1" applyAlignment="1">
      <alignment horizontal="right" wrapText="1"/>
    </xf>
    <xf numFmtId="170" fontId="0" fillId="0" borderId="0" xfId="0" applyNumberFormat="1" applyAlignment="1">
      <alignment vertical="center"/>
    </xf>
    <xf numFmtId="0" fontId="4" fillId="6" borderId="0" xfId="0" applyFont="1" applyFill="1" applyAlignment="1">
      <alignment horizontal="center" vertical="center"/>
    </xf>
    <xf numFmtId="171" fontId="4" fillId="6" borderId="0" xfId="1" applyNumberFormat="1" applyFont="1" applyFill="1" applyBorder="1" applyAlignment="1">
      <alignment horizontal="center" vertical="center"/>
    </xf>
    <xf numFmtId="0" fontId="0" fillId="0" borderId="1" xfId="0" applyBorder="1" applyAlignment="1">
      <alignment wrapText="1"/>
    </xf>
    <xf numFmtId="9" fontId="0" fillId="0" borderId="1" xfId="2" applyFont="1" applyFill="1" applyBorder="1" applyAlignment="1">
      <alignment horizontal="center" vertical="center"/>
    </xf>
    <xf numFmtId="9" fontId="0" fillId="0" borderId="1" xfId="2" applyFont="1" applyFill="1" applyBorder="1" applyAlignment="1">
      <alignment horizontal="center"/>
    </xf>
    <xf numFmtId="0" fontId="0" fillId="8" borderId="1" xfId="0" applyFill="1" applyBorder="1" applyAlignment="1">
      <alignment horizontal="center" vertical="center"/>
    </xf>
    <xf numFmtId="9" fontId="0" fillId="8" borderId="1" xfId="0" applyNumberFormat="1" applyFill="1" applyBorder="1" applyAlignment="1">
      <alignment horizontal="center" vertical="center"/>
    </xf>
    <xf numFmtId="0" fontId="0" fillId="6" borderId="1" xfId="0" applyFill="1" applyBorder="1" applyAlignment="1">
      <alignment vertical="center" wrapText="1"/>
    </xf>
    <xf numFmtId="170" fontId="5" fillId="0" borderId="1" xfId="0" applyNumberFormat="1" applyFont="1" applyBorder="1" applyAlignment="1">
      <alignment vertical="center" wrapText="1"/>
    </xf>
    <xf numFmtId="172" fontId="0" fillId="0" borderId="1" xfId="3"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5" borderId="1" xfId="0" applyFont="1" applyFill="1" applyBorder="1" applyAlignment="1">
      <alignment horizontal="center" vertical="center"/>
    </xf>
    <xf numFmtId="171" fontId="0" fillId="0" borderId="0" xfId="0" applyNumberFormat="1" applyAlignment="1">
      <alignment horizontal="center"/>
    </xf>
    <xf numFmtId="171" fontId="0" fillId="0" borderId="0" xfId="0" applyNumberFormat="1" applyAlignment="1">
      <alignment horizontal="center" vertical="center"/>
    </xf>
    <xf numFmtId="167" fontId="0" fillId="0" borderId="0" xfId="0" applyNumberFormat="1" applyAlignment="1">
      <alignment vertical="center"/>
    </xf>
    <xf numFmtId="167" fontId="0" fillId="0" borderId="0" xfId="1" applyFont="1" applyAlignment="1">
      <alignment horizontal="center" vertical="center"/>
    </xf>
    <xf numFmtId="171" fontId="1" fillId="0" borderId="1" xfId="0" applyNumberFormat="1" applyFont="1" applyBorder="1" applyAlignment="1">
      <alignment vertical="center"/>
    </xf>
    <xf numFmtId="171" fontId="0" fillId="11" borderId="1" xfId="0" applyNumberFormat="1" applyFill="1" applyBorder="1" applyAlignment="1">
      <alignment vertical="center"/>
    </xf>
    <xf numFmtId="171" fontId="1" fillId="10" borderId="1" xfId="0" applyNumberFormat="1" applyFont="1" applyFill="1" applyBorder="1" applyAlignment="1">
      <alignment horizontal="center" vertical="center"/>
    </xf>
    <xf numFmtId="0" fontId="8" fillId="11" borderId="1" xfId="0" applyFont="1" applyFill="1" applyBorder="1" applyAlignment="1">
      <alignment horizontal="center" vertical="center" wrapText="1"/>
    </xf>
    <xf numFmtId="169" fontId="0" fillId="0" borderId="0" xfId="0" applyNumberFormat="1" applyAlignment="1">
      <alignment horizontal="center" vertical="center"/>
    </xf>
    <xf numFmtId="9" fontId="0" fillId="6" borderId="1" xfId="2" applyFont="1" applyFill="1" applyBorder="1" applyAlignment="1">
      <alignment horizontal="center" vertical="center"/>
    </xf>
    <xf numFmtId="170" fontId="0" fillId="0" borderId="1" xfId="0" applyNumberFormat="1" applyBorder="1" applyAlignment="1">
      <alignment horizontal="center" vertical="center"/>
    </xf>
    <xf numFmtId="10" fontId="0" fillId="0" borderId="1" xfId="2" applyNumberFormat="1" applyFont="1" applyFill="1" applyBorder="1" applyAlignment="1">
      <alignment horizontal="center" vertical="center"/>
    </xf>
    <xf numFmtId="9" fontId="5" fillId="0" borderId="1" xfId="2" applyFont="1" applyBorder="1" applyAlignment="1">
      <alignment horizontal="center" vertical="center"/>
    </xf>
    <xf numFmtId="9" fontId="5" fillId="6" borderId="1" xfId="2" applyFont="1" applyFill="1" applyBorder="1" applyAlignment="1">
      <alignment horizontal="center" vertical="center"/>
    </xf>
    <xf numFmtId="169" fontId="0" fillId="6" borderId="0" xfId="0" applyNumberFormat="1" applyFill="1" applyAlignment="1">
      <alignment horizontal="center" vertical="center"/>
    </xf>
    <xf numFmtId="170" fontId="4" fillId="6" borderId="0" xfId="0" applyNumberFormat="1" applyFont="1" applyFill="1" applyAlignment="1">
      <alignment horizontal="center" vertical="center"/>
    </xf>
    <xf numFmtId="170" fontId="5" fillId="6" borderId="0" xfId="0" applyNumberFormat="1" applyFont="1" applyFill="1" applyAlignment="1">
      <alignment horizontal="center" vertical="center"/>
    </xf>
    <xf numFmtId="0" fontId="5" fillId="6" borderId="0" xfId="0" applyFont="1" applyFill="1" applyAlignment="1">
      <alignment horizontal="center" vertical="center"/>
    </xf>
    <xf numFmtId="169" fontId="5" fillId="6" borderId="0" xfId="0" applyNumberFormat="1" applyFont="1" applyFill="1" applyAlignment="1">
      <alignment horizontal="center" vertical="center"/>
    </xf>
    <xf numFmtId="171" fontId="5" fillId="6" borderId="0" xfId="0" applyNumberFormat="1" applyFont="1" applyFill="1" applyAlignment="1">
      <alignment horizontal="center" vertical="center"/>
    </xf>
    <xf numFmtId="171" fontId="0" fillId="2" borderId="1" xfId="0" applyNumberFormat="1" applyFill="1" applyBorder="1" applyAlignment="1">
      <alignment horizontal="center" vertical="center"/>
    </xf>
    <xf numFmtId="171" fontId="1" fillId="9" borderId="1" xfId="1" applyNumberFormat="1" applyFont="1" applyFill="1" applyBorder="1" applyAlignment="1">
      <alignment horizontal="center" vertical="center"/>
    </xf>
    <xf numFmtId="171" fontId="1" fillId="10" borderId="1" xfId="1" applyNumberFormat="1" applyFont="1" applyFill="1" applyBorder="1" applyAlignment="1">
      <alignment horizontal="center" vertical="center"/>
    </xf>
    <xf numFmtId="171" fontId="1" fillId="9" borderId="1" xfId="0" applyNumberFormat="1" applyFont="1" applyFill="1" applyBorder="1" applyAlignment="1">
      <alignment horizontal="center" vertical="center"/>
    </xf>
    <xf numFmtId="171" fontId="0" fillId="0" borderId="1" xfId="0" applyNumberFormat="1" applyBorder="1" applyAlignment="1">
      <alignment horizontal="center" vertical="center"/>
    </xf>
    <xf numFmtId="171" fontId="0" fillId="11" borderId="1" xfId="0" applyNumberFormat="1" applyFill="1" applyBorder="1" applyAlignment="1">
      <alignment horizontal="center" vertical="center"/>
    </xf>
    <xf numFmtId="171" fontId="0" fillId="12" borderId="1" xfId="0" applyNumberFormat="1" applyFill="1" applyBorder="1" applyAlignment="1">
      <alignment horizontal="center" vertical="center"/>
    </xf>
    <xf numFmtId="171" fontId="0" fillId="0" borderId="1" xfId="1" applyNumberFormat="1" applyFont="1" applyFill="1" applyBorder="1" applyAlignment="1">
      <alignment horizontal="center" vertical="center"/>
    </xf>
    <xf numFmtId="171" fontId="0" fillId="0" borderId="3" xfId="1" applyNumberFormat="1" applyFont="1" applyFill="1" applyBorder="1" applyAlignment="1">
      <alignment horizontal="center" vertical="center"/>
    </xf>
    <xf numFmtId="171" fontId="5" fillId="11" borderId="1" xfId="0" applyNumberFormat="1" applyFont="1" applyFill="1" applyBorder="1" applyAlignment="1">
      <alignment horizontal="center" vertical="center"/>
    </xf>
    <xf numFmtId="171" fontId="0" fillId="6" borderId="7" xfId="1" applyNumberFormat="1" applyFont="1" applyFill="1" applyBorder="1" applyAlignment="1">
      <alignment horizontal="center" vertical="center"/>
    </xf>
    <xf numFmtId="171" fontId="0" fillId="0" borderId="1" xfId="1" applyNumberFormat="1" applyFont="1" applyBorder="1" applyAlignment="1">
      <alignment horizontal="center" vertical="center"/>
    </xf>
    <xf numFmtId="171" fontId="0" fillId="9" borderId="1" xfId="0" applyNumberFormat="1" applyFill="1" applyBorder="1" applyAlignment="1">
      <alignment horizontal="center" vertical="center"/>
    </xf>
    <xf numFmtId="171" fontId="0" fillId="10" borderId="1" xfId="0" applyNumberFormat="1" applyFill="1" applyBorder="1" applyAlignment="1">
      <alignment horizontal="center" vertical="center"/>
    </xf>
    <xf numFmtId="171" fontId="6" fillId="0" borderId="1" xfId="0" applyNumberFormat="1" applyFont="1" applyBorder="1" applyAlignment="1">
      <alignment horizontal="center" vertical="center"/>
    </xf>
    <xf numFmtId="171" fontId="5" fillId="0" borderId="1" xfId="0" applyNumberFormat="1" applyFont="1" applyBorder="1" applyAlignment="1">
      <alignment horizontal="center" vertical="center"/>
    </xf>
    <xf numFmtId="171" fontId="5" fillId="0" borderId="1" xfId="1" applyNumberFormat="1" applyFont="1" applyBorder="1" applyAlignment="1">
      <alignment horizontal="center" vertical="center"/>
    </xf>
    <xf numFmtId="171" fontId="0" fillId="8" borderId="1" xfId="0" applyNumberFormat="1" applyFill="1" applyBorder="1" applyAlignment="1">
      <alignment horizontal="center" vertical="center"/>
    </xf>
    <xf numFmtId="171" fontId="1" fillId="6" borderId="3" xfId="1" applyNumberFormat="1" applyFont="1" applyFill="1" applyBorder="1" applyAlignment="1">
      <alignment horizontal="center" vertical="center"/>
    </xf>
    <xf numFmtId="171" fontId="1" fillId="6" borderId="7" xfId="1" applyNumberFormat="1" applyFont="1" applyFill="1" applyBorder="1" applyAlignment="1">
      <alignment horizontal="center" vertical="center"/>
    </xf>
    <xf numFmtId="0" fontId="1" fillId="0" borderId="1" xfId="0" applyFont="1" applyBorder="1" applyAlignment="1">
      <alignment horizontal="center" vertical="center"/>
    </xf>
    <xf numFmtId="171" fontId="2" fillId="3" borderId="1" xfId="1" applyNumberFormat="1" applyFont="1" applyFill="1" applyBorder="1" applyAlignment="1">
      <alignment horizontal="center" vertical="center"/>
    </xf>
    <xf numFmtId="171" fontId="2" fillId="3" borderId="1" xfId="0" applyNumberFormat="1" applyFont="1" applyFill="1" applyBorder="1" applyAlignment="1">
      <alignment horizontal="center" vertical="center"/>
    </xf>
    <xf numFmtId="171" fontId="0" fillId="6" borderId="0" xfId="0" applyNumberFormat="1" applyFill="1" applyAlignment="1">
      <alignment horizontal="center" vertical="center"/>
    </xf>
    <xf numFmtId="171" fontId="4" fillId="6" borderId="0" xfId="0" applyNumberFormat="1" applyFont="1" applyFill="1" applyAlignment="1">
      <alignment horizontal="center" vertical="center"/>
    </xf>
    <xf numFmtId="171" fontId="4" fillId="6" borderId="0" xfId="1" applyNumberFormat="1" applyFont="1" applyFill="1" applyAlignment="1">
      <alignment horizontal="center" vertical="center"/>
    </xf>
    <xf numFmtId="169" fontId="1" fillId="12" borderId="1" xfId="0" applyNumberFormat="1" applyFont="1" applyFill="1" applyBorder="1" applyAlignment="1">
      <alignment horizontal="center" vertical="center" wrapText="1"/>
    </xf>
    <xf numFmtId="173" fontId="0" fillId="12" borderId="1" xfId="0" applyNumberFormat="1" applyFill="1" applyBorder="1" applyAlignment="1">
      <alignment horizontal="center" vertical="center"/>
    </xf>
    <xf numFmtId="170" fontId="0" fillId="6" borderId="1" xfId="0" applyNumberFormat="1" applyFill="1" applyBorder="1" applyAlignment="1">
      <alignment horizontal="center" vertical="center"/>
    </xf>
    <xf numFmtId="0" fontId="0" fillId="6" borderId="1" xfId="0" applyFill="1" applyBorder="1" applyAlignment="1">
      <alignment vertical="center"/>
    </xf>
    <xf numFmtId="171" fontId="2" fillId="13" borderId="1" xfId="0" applyNumberFormat="1" applyFont="1" applyFill="1" applyBorder="1" applyAlignment="1">
      <alignment horizontal="center" vertical="center"/>
    </xf>
    <xf numFmtId="171" fontId="2" fillId="14" borderId="1" xfId="0" applyNumberFormat="1" applyFont="1" applyFill="1" applyBorder="1" applyAlignment="1">
      <alignment horizontal="center" vertical="center"/>
    </xf>
    <xf numFmtId="171" fontId="8" fillId="9" borderId="1" xfId="0" applyNumberFormat="1" applyFont="1" applyFill="1" applyBorder="1" applyAlignment="1">
      <alignment horizontal="center" vertical="center"/>
    </xf>
    <xf numFmtId="171" fontId="8" fillId="10"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173" fontId="5" fillId="6" borderId="0" xfId="1" applyNumberFormat="1" applyFont="1" applyFill="1" applyAlignment="1">
      <alignment horizontal="center" vertical="center"/>
    </xf>
    <xf numFmtId="171" fontId="2" fillId="15" borderId="1" xfId="0" applyNumberFormat="1" applyFont="1" applyFill="1" applyBorder="1" applyAlignment="1">
      <alignment vertical="center"/>
    </xf>
    <xf numFmtId="171" fontId="2" fillId="14" borderId="1" xfId="0" applyNumberFormat="1" applyFont="1" applyFill="1" applyBorder="1" applyAlignment="1">
      <alignment vertical="center"/>
    </xf>
    <xf numFmtId="171" fontId="2" fillId="13" borderId="1" xfId="0" applyNumberFormat="1" applyFont="1" applyFill="1" applyBorder="1" applyAlignment="1">
      <alignment vertical="center"/>
    </xf>
    <xf numFmtId="170" fontId="2" fillId="14" borderId="1" xfId="0" applyNumberFormat="1" applyFont="1" applyFill="1" applyBorder="1" applyAlignment="1">
      <alignment vertical="center"/>
    </xf>
    <xf numFmtId="170" fontId="0" fillId="12" borderId="1" xfId="0" applyNumberFormat="1" applyFill="1" applyBorder="1" applyAlignment="1">
      <alignment vertical="center"/>
    </xf>
    <xf numFmtId="170" fontId="0" fillId="0" borderId="1" xfId="2" applyNumberFormat="1" applyFont="1" applyFill="1" applyBorder="1" applyAlignment="1">
      <alignment horizontal="center" vertical="center"/>
    </xf>
    <xf numFmtId="0" fontId="2" fillId="3" borderId="1" xfId="0" applyFont="1" applyFill="1" applyBorder="1" applyAlignment="1">
      <alignment horizontal="center"/>
    </xf>
    <xf numFmtId="0" fontId="2" fillId="5" borderId="1" xfId="0" applyFont="1" applyFill="1" applyBorder="1" applyAlignment="1">
      <alignment horizontal="center"/>
    </xf>
    <xf numFmtId="0" fontId="1" fillId="4" borderId="1" xfId="0" applyFont="1" applyFill="1" applyBorder="1" applyAlignment="1">
      <alignment horizontal="center" vertical="center"/>
    </xf>
    <xf numFmtId="0" fontId="5" fillId="0" borderId="1" xfId="0" applyFont="1" applyBorder="1" applyAlignment="1">
      <alignment horizontal="center" vertical="center"/>
    </xf>
    <xf numFmtId="171" fontId="5" fillId="12" borderId="1" xfId="0" applyNumberFormat="1" applyFont="1" applyFill="1" applyBorder="1" applyAlignment="1">
      <alignment horizontal="center" vertical="center"/>
    </xf>
    <xf numFmtId="171" fontId="5" fillId="0" borderId="1" xfId="1" applyNumberFormat="1" applyFont="1" applyFill="1" applyBorder="1" applyAlignment="1">
      <alignment horizontal="center" vertical="center"/>
    </xf>
    <xf numFmtId="171" fontId="5" fillId="0" borderId="3" xfId="1" applyNumberFormat="1" applyFont="1" applyFill="1" applyBorder="1" applyAlignment="1">
      <alignment horizontal="center" vertical="center"/>
    </xf>
    <xf numFmtId="172" fontId="5" fillId="0" borderId="1" xfId="3" applyNumberFormat="1" applyFont="1" applyFill="1" applyBorder="1" applyAlignment="1">
      <alignment horizontal="center" vertical="center"/>
    </xf>
    <xf numFmtId="9" fontId="5" fillId="0" borderId="1" xfId="2" applyFont="1" applyFill="1" applyBorder="1" applyAlignment="1">
      <alignment horizontal="center" vertical="center"/>
    </xf>
    <xf numFmtId="173" fontId="5" fillId="12" borderId="1" xfId="0" applyNumberFormat="1" applyFont="1" applyFill="1" applyBorder="1" applyAlignment="1">
      <alignment horizontal="center" vertical="center"/>
    </xf>
    <xf numFmtId="170" fontId="5" fillId="0" borderId="1" xfId="0" applyNumberFormat="1" applyFont="1" applyBorder="1" applyAlignment="1">
      <alignment horizontal="center" vertical="center"/>
    </xf>
    <xf numFmtId="169" fontId="5" fillId="0" borderId="0" xfId="0" applyNumberFormat="1" applyFont="1" applyAlignment="1">
      <alignment horizontal="center" vertical="center"/>
    </xf>
    <xf numFmtId="171" fontId="2" fillId="3" borderId="3" xfId="1" applyNumberFormat="1" applyFont="1" applyFill="1" applyBorder="1" applyAlignment="1">
      <alignment horizontal="center" vertical="center"/>
    </xf>
    <xf numFmtId="9" fontId="0" fillId="6" borderId="0" xfId="2" applyFont="1" applyFill="1" applyAlignment="1">
      <alignment horizontal="center" vertical="center"/>
    </xf>
    <xf numFmtId="9" fontId="0" fillId="6" borderId="0" xfId="2" applyFont="1" applyFill="1" applyBorder="1" applyAlignment="1">
      <alignment horizontal="center" vertical="center"/>
    </xf>
    <xf numFmtId="171" fontId="2" fillId="3" borderId="7" xfId="1" applyNumberFormat="1" applyFont="1" applyFill="1" applyBorder="1" applyAlignment="1">
      <alignment horizontal="center" vertical="center"/>
    </xf>
    <xf numFmtId="171" fontId="2" fillId="3" borderId="5" xfId="1" applyNumberFormat="1" applyFont="1" applyFill="1" applyBorder="1" applyAlignment="1">
      <alignment horizontal="center" vertical="center"/>
    </xf>
    <xf numFmtId="0" fontId="1" fillId="0" borderId="0" xfId="0" applyFont="1" applyAlignment="1">
      <alignment horizontal="center" vertical="center"/>
    </xf>
    <xf numFmtId="10" fontId="0" fillId="0" borderId="0" xfId="2" applyNumberFormat="1" applyFont="1" applyFill="1" applyBorder="1" applyAlignment="1">
      <alignment horizontal="center" vertical="center"/>
    </xf>
    <xf numFmtId="9" fontId="1" fillId="6" borderId="1" xfId="0" applyNumberFormat="1" applyFont="1" applyFill="1" applyBorder="1" applyAlignment="1">
      <alignment vertical="center"/>
    </xf>
    <xf numFmtId="0" fontId="1" fillId="8" borderId="1" xfId="0" applyFont="1" applyFill="1" applyBorder="1" applyAlignment="1">
      <alignment horizontal="center" vertical="center" wrapText="1"/>
    </xf>
    <xf numFmtId="0" fontId="1" fillId="8" borderId="2" xfId="0" applyFont="1" applyFill="1" applyBorder="1" applyAlignment="1">
      <alignment horizontal="center" vertical="center" wrapText="1"/>
    </xf>
    <xf numFmtId="173" fontId="0" fillId="0" borderId="1" xfId="1" applyNumberFormat="1" applyFont="1" applyBorder="1"/>
    <xf numFmtId="173" fontId="1" fillId="2" borderId="2" xfId="1" applyNumberFormat="1" applyFont="1" applyFill="1" applyBorder="1"/>
    <xf numFmtId="173" fontId="1" fillId="2" borderId="1" xfId="1" applyNumberFormat="1" applyFont="1" applyFill="1" applyBorder="1"/>
    <xf numFmtId="0" fontId="1" fillId="6" borderId="9" xfId="0" applyFont="1" applyFill="1" applyBorder="1" applyAlignment="1">
      <alignment vertical="center" wrapText="1"/>
    </xf>
    <xf numFmtId="0" fontId="1" fillId="6" borderId="10" xfId="0" applyFont="1" applyFill="1" applyBorder="1" applyAlignment="1">
      <alignment horizontal="center" vertical="center" wrapText="1"/>
    </xf>
    <xf numFmtId="170" fontId="0" fillId="6" borderId="10" xfId="0" applyNumberFormat="1" applyFill="1" applyBorder="1"/>
    <xf numFmtId="170" fontId="5" fillId="6" borderId="10" xfId="0" applyNumberFormat="1" applyFont="1" applyFill="1" applyBorder="1"/>
    <xf numFmtId="167" fontId="0" fillId="6" borderId="0" xfId="1" applyFont="1" applyFill="1" applyBorder="1" applyAlignment="1">
      <alignment horizontal="center"/>
    </xf>
    <xf numFmtId="167" fontId="1" fillId="6" borderId="10" xfId="1" applyFont="1" applyFill="1" applyBorder="1" applyAlignment="1">
      <alignment horizontal="center"/>
    </xf>
    <xf numFmtId="0" fontId="0" fillId="6" borderId="11" xfId="0" applyFill="1" applyBorder="1"/>
    <xf numFmtId="0" fontId="0" fillId="6" borderId="12" xfId="0" applyFill="1" applyBorder="1" applyAlignment="1">
      <alignment horizontal="center"/>
    </xf>
    <xf numFmtId="170" fontId="0" fillId="6" borderId="12" xfId="0" applyNumberFormat="1" applyFill="1" applyBorder="1" applyAlignment="1">
      <alignment horizontal="center"/>
    </xf>
    <xf numFmtId="167" fontId="0" fillId="6" borderId="12" xfId="0" applyNumberFormat="1" applyFill="1" applyBorder="1"/>
    <xf numFmtId="167" fontId="1" fillId="6" borderId="12" xfId="1" applyFont="1" applyFill="1" applyBorder="1" applyAlignment="1">
      <alignment horizontal="center"/>
    </xf>
    <xf numFmtId="0" fontId="0" fillId="6" borderId="13" xfId="0" applyFill="1" applyBorder="1"/>
    <xf numFmtId="0" fontId="0" fillId="6" borderId="14" xfId="0" applyFill="1" applyBorder="1"/>
    <xf numFmtId="0" fontId="0" fillId="6" borderId="9" xfId="0" applyFill="1" applyBorder="1" applyAlignment="1">
      <alignment wrapText="1"/>
    </xf>
    <xf numFmtId="174" fontId="0" fillId="6" borderId="1" xfId="1" applyNumberFormat="1" applyFont="1" applyFill="1" applyBorder="1" applyAlignment="1">
      <alignment horizontal="center"/>
    </xf>
    <xf numFmtId="174" fontId="0" fillId="6" borderId="1" xfId="1" applyNumberFormat="1" applyFont="1" applyFill="1" applyBorder="1"/>
    <xf numFmtId="165" fontId="0" fillId="6" borderId="1" xfId="0" applyNumberFormat="1" applyFill="1" applyBorder="1"/>
    <xf numFmtId="165" fontId="0" fillId="6" borderId="1" xfId="0" applyNumberFormat="1" applyFill="1" applyBorder="1" applyAlignment="1">
      <alignment horizontal="center"/>
    </xf>
    <xf numFmtId="165" fontId="0" fillId="6" borderId="12" xfId="0" applyNumberFormat="1" applyFill="1" applyBorder="1" applyAlignment="1">
      <alignment horizontal="center"/>
    </xf>
    <xf numFmtId="165" fontId="0" fillId="6" borderId="12" xfId="0" applyNumberFormat="1" applyFill="1" applyBorder="1"/>
    <xf numFmtId="0" fontId="0" fillId="6" borderId="1" xfId="0" applyFill="1" applyBorder="1" applyAlignment="1">
      <alignment wrapText="1"/>
    </xf>
    <xf numFmtId="0" fontId="1" fillId="19" borderId="1" xfId="0" applyFont="1" applyFill="1" applyBorder="1" applyAlignment="1">
      <alignment horizontal="center"/>
    </xf>
    <xf numFmtId="0" fontId="4" fillId="0" borderId="0" xfId="0" applyFont="1" applyAlignment="1">
      <alignment vertical="center" wrapText="1"/>
    </xf>
    <xf numFmtId="0" fontId="1" fillId="2" borderId="1" xfId="0" applyFont="1" applyFill="1" applyBorder="1" applyAlignment="1">
      <alignment vertical="center" wrapText="1"/>
    </xf>
    <xf numFmtId="0" fontId="5" fillId="6" borderId="1" xfId="0" applyFont="1" applyFill="1" applyBorder="1" applyAlignment="1">
      <alignment vertical="center" wrapText="1"/>
    </xf>
    <xf numFmtId="173" fontId="1" fillId="6" borderId="1" xfId="1" applyNumberFormat="1" applyFont="1" applyFill="1" applyBorder="1"/>
    <xf numFmtId="173" fontId="0" fillId="6" borderId="0" xfId="1" applyNumberFormat="1" applyFont="1" applyFill="1" applyBorder="1" applyAlignment="1">
      <alignment horizontal="center"/>
    </xf>
    <xf numFmtId="173" fontId="0" fillId="6" borderId="0" xfId="1" applyNumberFormat="1" applyFont="1" applyFill="1" applyBorder="1"/>
    <xf numFmtId="174" fontId="0" fillId="6" borderId="0" xfId="1" applyNumberFormat="1" applyFont="1" applyFill="1" applyBorder="1"/>
    <xf numFmtId="173" fontId="0" fillId="6" borderId="0" xfId="0" applyNumberFormat="1" applyFill="1"/>
    <xf numFmtId="164" fontId="1" fillId="6" borderId="12" xfId="0" applyNumberFormat="1" applyFont="1" applyFill="1" applyBorder="1"/>
    <xf numFmtId="167" fontId="7" fillId="9" borderId="12" xfId="0" applyNumberFormat="1" applyFont="1" applyFill="1" applyBorder="1"/>
    <xf numFmtId="0" fontId="1" fillId="2" borderId="1" xfId="0" applyFont="1" applyFill="1" applyBorder="1" applyAlignment="1">
      <alignment horizontal="center"/>
    </xf>
    <xf numFmtId="0" fontId="1" fillId="2" borderId="1" xfId="0" applyFont="1" applyFill="1" applyBorder="1" applyAlignment="1">
      <alignment horizontal="center" vertical="center"/>
    </xf>
    <xf numFmtId="167" fontId="0" fillId="6" borderId="1" xfId="1" applyFont="1" applyFill="1" applyBorder="1" applyAlignment="1">
      <alignment horizontal="center" vertical="center"/>
    </xf>
    <xf numFmtId="167" fontId="0" fillId="6" borderId="1" xfId="1" applyFont="1" applyFill="1" applyBorder="1" applyAlignment="1">
      <alignment vertical="center"/>
    </xf>
    <xf numFmtId="167" fontId="0" fillId="6" borderId="10" xfId="1" applyFont="1" applyFill="1" applyBorder="1" applyAlignment="1">
      <alignment vertical="center"/>
    </xf>
    <xf numFmtId="0" fontId="0" fillId="6" borderId="9" xfId="0" applyFill="1" applyBorder="1" applyAlignment="1">
      <alignment vertical="center" wrapText="1"/>
    </xf>
    <xf numFmtId="164" fontId="1" fillId="6" borderId="10" xfId="0" applyNumberFormat="1" applyFont="1" applyFill="1" applyBorder="1"/>
    <xf numFmtId="0" fontId="1" fillId="2" borderId="1" xfId="0" applyFont="1" applyFill="1" applyBorder="1" applyAlignment="1">
      <alignment horizontal="center" wrapText="1"/>
    </xf>
    <xf numFmtId="0" fontId="1" fillId="2" borderId="1" xfId="0" applyFont="1" applyFill="1" applyBorder="1" applyAlignment="1">
      <alignment wrapText="1"/>
    </xf>
    <xf numFmtId="0" fontId="0" fillId="6" borderId="8" xfId="0" applyFill="1" applyBorder="1" applyAlignment="1">
      <alignment wrapText="1"/>
    </xf>
    <xf numFmtId="0" fontId="5" fillId="6" borderId="9" xfId="0" applyFont="1" applyFill="1" applyBorder="1" applyAlignment="1">
      <alignment wrapText="1"/>
    </xf>
    <xf numFmtId="0" fontId="1" fillId="6" borderId="9" xfId="0" applyFont="1" applyFill="1" applyBorder="1" applyAlignment="1">
      <alignment horizontal="center" vertical="center" wrapText="1"/>
    </xf>
    <xf numFmtId="0" fontId="0" fillId="6" borderId="16" xfId="0" applyFill="1" applyBorder="1" applyAlignment="1">
      <alignment wrapText="1"/>
    </xf>
    <xf numFmtId="167" fontId="0" fillId="6" borderId="1" xfId="0" applyNumberFormat="1" applyFill="1" applyBorder="1" applyAlignment="1">
      <alignment vertical="center"/>
    </xf>
    <xf numFmtId="170" fontId="1" fillId="6" borderId="1" xfId="0" applyNumberFormat="1" applyFont="1" applyFill="1" applyBorder="1" applyAlignment="1">
      <alignment vertical="center"/>
    </xf>
    <xf numFmtId="0" fontId="0" fillId="6" borderId="11" xfId="0" applyFill="1" applyBorder="1" applyAlignment="1">
      <alignment vertical="center"/>
    </xf>
    <xf numFmtId="165" fontId="0" fillId="6" borderId="1" xfId="0" applyNumberFormat="1" applyFill="1" applyBorder="1" applyAlignment="1">
      <alignment horizontal="center" vertical="center"/>
    </xf>
    <xf numFmtId="173" fontId="1" fillId="6" borderId="1" xfId="0" applyNumberFormat="1" applyFont="1" applyFill="1" applyBorder="1" applyAlignment="1">
      <alignment vertical="center"/>
    </xf>
    <xf numFmtId="0" fontId="0" fillId="6" borderId="8" xfId="0" applyFill="1" applyBorder="1" applyAlignment="1">
      <alignment vertical="center" wrapText="1"/>
    </xf>
    <xf numFmtId="173" fontId="0" fillId="6" borderId="0" xfId="0" applyNumberFormat="1" applyFill="1" applyAlignment="1">
      <alignment vertical="center"/>
    </xf>
    <xf numFmtId="0" fontId="0" fillId="6" borderId="23" xfId="0" applyFill="1" applyBorder="1" applyAlignment="1">
      <alignment wrapText="1"/>
    </xf>
    <xf numFmtId="0" fontId="1" fillId="11"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0" fillId="0" borderId="1" xfId="0" applyBorder="1" applyAlignment="1">
      <alignment horizontal="justify" vertical="center" wrapText="1"/>
    </xf>
    <xf numFmtId="0" fontId="9" fillId="16" borderId="1" xfId="0" applyFont="1" applyFill="1" applyBorder="1" applyAlignment="1">
      <alignment horizontal="center" vertical="center" wrapText="1"/>
    </xf>
    <xf numFmtId="0" fontId="0" fillId="0" borderId="1" xfId="0" applyBorder="1" applyAlignment="1">
      <alignment horizontal="center" vertical="center" wrapText="1"/>
    </xf>
    <xf numFmtId="0" fontId="9" fillId="0" borderId="1" xfId="0" applyFont="1" applyBorder="1" applyAlignment="1">
      <alignment horizontal="center" vertical="center" wrapText="1"/>
    </xf>
    <xf numFmtId="167" fontId="0" fillId="6" borderId="0" xfId="0" applyNumberFormat="1" applyFill="1" applyAlignment="1">
      <alignment vertical="center"/>
    </xf>
    <xf numFmtId="9" fontId="1" fillId="2" borderId="1" xfId="0" applyNumberFormat="1" applyFont="1" applyFill="1" applyBorder="1" applyAlignment="1">
      <alignment vertical="center" wrapText="1"/>
    </xf>
    <xf numFmtId="171" fontId="0" fillId="6" borderId="1" xfId="0" applyNumberFormat="1" applyFill="1" applyBorder="1" applyAlignment="1">
      <alignment horizontal="center" vertical="center"/>
    </xf>
    <xf numFmtId="9" fontId="0" fillId="11" borderId="1" xfId="2" applyFont="1" applyFill="1" applyBorder="1" applyAlignment="1">
      <alignment horizontal="center" vertical="center"/>
    </xf>
    <xf numFmtId="9" fontId="5" fillId="11" borderId="1" xfId="2" applyFont="1" applyFill="1" applyBorder="1" applyAlignment="1">
      <alignment horizontal="center" vertical="center"/>
    </xf>
    <xf numFmtId="9" fontId="0" fillId="12" borderId="1" xfId="2" applyFont="1" applyFill="1" applyBorder="1" applyAlignment="1">
      <alignment horizontal="center" vertical="center"/>
    </xf>
    <xf numFmtId="9" fontId="5" fillId="12" borderId="1" xfId="2" applyFont="1" applyFill="1" applyBorder="1" applyAlignment="1">
      <alignment horizontal="center" vertical="center"/>
    </xf>
    <xf numFmtId="0" fontId="8" fillId="12" borderId="1" xfId="0" applyFont="1" applyFill="1" applyBorder="1" applyAlignment="1">
      <alignment horizontal="center" vertical="center" wrapText="1"/>
    </xf>
    <xf numFmtId="0" fontId="2" fillId="10" borderId="1" xfId="0" applyFont="1" applyFill="1" applyBorder="1" applyAlignment="1">
      <alignment horizontal="center" vertical="center"/>
    </xf>
    <xf numFmtId="171" fontId="5" fillId="6" borderId="1" xfId="0" applyNumberFormat="1" applyFont="1" applyFill="1" applyBorder="1" applyAlignment="1">
      <alignment horizontal="center" vertical="center"/>
    </xf>
    <xf numFmtId="171" fontId="0" fillId="6" borderId="1" xfId="1" applyNumberFormat="1" applyFont="1" applyFill="1" applyBorder="1" applyAlignment="1">
      <alignment horizontal="center" vertical="center"/>
    </xf>
    <xf numFmtId="171" fontId="5" fillId="6" borderId="1" xfId="1" applyNumberFormat="1" applyFont="1" applyFill="1" applyBorder="1" applyAlignment="1">
      <alignment horizontal="center" vertical="center"/>
    </xf>
    <xf numFmtId="9" fontId="2" fillId="6" borderId="1" xfId="2" applyFont="1" applyFill="1" applyBorder="1" applyAlignment="1">
      <alignment horizontal="center" vertical="center"/>
    </xf>
    <xf numFmtId="0" fontId="5" fillId="11" borderId="1" xfId="0" applyFont="1" applyFill="1" applyBorder="1" applyAlignment="1">
      <alignment horizontal="center" vertical="center"/>
    </xf>
    <xf numFmtId="171" fontId="5" fillId="11" borderId="4" xfId="0" applyNumberFormat="1" applyFont="1" applyFill="1" applyBorder="1" applyAlignment="1">
      <alignment horizontal="center" vertical="center"/>
    </xf>
    <xf numFmtId="171" fontId="2" fillId="13" borderId="5" xfId="0" applyNumberFormat="1" applyFont="1" applyFill="1" applyBorder="1" applyAlignment="1">
      <alignment horizontal="center" vertical="center"/>
    </xf>
    <xf numFmtId="0" fontId="5" fillId="11" borderId="2" xfId="0" applyFont="1" applyFill="1" applyBorder="1" applyAlignment="1">
      <alignment horizontal="center" vertical="center"/>
    </xf>
    <xf numFmtId="173" fontId="0" fillId="12" borderId="25" xfId="0" applyNumberFormat="1" applyFill="1" applyBorder="1" applyAlignment="1">
      <alignment horizontal="center" vertical="center"/>
    </xf>
    <xf numFmtId="170" fontId="0" fillId="6" borderId="4" xfId="0" applyNumberFormat="1" applyFill="1" applyBorder="1" applyAlignment="1">
      <alignment horizontal="center" vertical="center" wrapText="1"/>
    </xf>
    <xf numFmtId="170" fontId="0" fillId="6" borderId="3" xfId="0" applyNumberFormat="1" applyFill="1" applyBorder="1" applyAlignment="1">
      <alignment horizontal="center" vertical="center" wrapText="1"/>
    </xf>
    <xf numFmtId="170" fontId="0" fillId="6" borderId="5" xfId="0" applyNumberFormat="1" applyFill="1" applyBorder="1" applyAlignment="1">
      <alignment horizontal="center" vertical="center" wrapText="1"/>
    </xf>
    <xf numFmtId="0" fontId="1" fillId="10" borderId="2" xfId="0" applyFont="1" applyFill="1" applyBorder="1" applyAlignment="1">
      <alignment horizontal="center" vertical="center"/>
    </xf>
    <xf numFmtId="0" fontId="1" fillId="10" borderId="24" xfId="0" applyFont="1" applyFill="1" applyBorder="1" applyAlignment="1">
      <alignment horizontal="center" vertical="center"/>
    </xf>
    <xf numFmtId="0" fontId="1" fillId="10" borderId="25" xfId="0" applyFont="1" applyFill="1" applyBorder="1" applyAlignment="1">
      <alignment horizontal="center" vertical="center"/>
    </xf>
    <xf numFmtId="0" fontId="1" fillId="10" borderId="17" xfId="0" applyFont="1" applyFill="1" applyBorder="1" applyAlignment="1">
      <alignment horizontal="center" vertical="center"/>
    </xf>
    <xf numFmtId="0" fontId="1" fillId="10" borderId="18" xfId="0" applyFont="1" applyFill="1" applyBorder="1" applyAlignment="1">
      <alignment horizontal="center" vertical="center"/>
    </xf>
    <xf numFmtId="0" fontId="1" fillId="10" borderId="22" xfId="0" applyFont="1" applyFill="1" applyBorder="1" applyAlignment="1">
      <alignment horizontal="center" vertical="center"/>
    </xf>
    <xf numFmtId="0" fontId="1" fillId="6" borderId="5" xfId="0" applyFont="1" applyFill="1" applyBorder="1" applyAlignment="1">
      <alignment horizontal="center"/>
    </xf>
    <xf numFmtId="0" fontId="1" fillId="6" borderId="17" xfId="0" applyFont="1" applyFill="1" applyBorder="1" applyAlignment="1">
      <alignment horizontal="center"/>
    </xf>
    <xf numFmtId="0" fontId="1" fillId="6" borderId="18" xfId="0" applyFont="1" applyFill="1" applyBorder="1" applyAlignment="1">
      <alignment horizontal="center"/>
    </xf>
    <xf numFmtId="0" fontId="1" fillId="6" borderId="19" xfId="0" applyFont="1" applyFill="1" applyBorder="1" applyAlignment="1">
      <alignment horizontal="center"/>
    </xf>
    <xf numFmtId="0" fontId="0" fillId="6" borderId="4" xfId="0" applyFill="1" applyBorder="1" applyAlignment="1">
      <alignment horizontal="center" vertical="center"/>
    </xf>
    <xf numFmtId="0" fontId="0" fillId="6" borderId="5" xfId="0" applyFill="1" applyBorder="1" applyAlignment="1">
      <alignment horizontal="center" vertical="center"/>
    </xf>
    <xf numFmtId="0" fontId="0" fillId="6" borderId="4" xfId="0" applyFill="1" applyBorder="1" applyAlignment="1">
      <alignment horizontal="center" vertical="center" wrapText="1"/>
    </xf>
    <xf numFmtId="0" fontId="0" fillId="6" borderId="5" xfId="0" applyFill="1" applyBorder="1" applyAlignment="1">
      <alignment horizontal="center" vertical="center" wrapText="1"/>
    </xf>
    <xf numFmtId="0" fontId="1" fillId="17" borderId="15" xfId="0" applyFont="1" applyFill="1" applyBorder="1" applyAlignment="1">
      <alignment horizontal="center"/>
    </xf>
    <xf numFmtId="0" fontId="1" fillId="17" borderId="20" xfId="0" applyFont="1" applyFill="1" applyBorder="1" applyAlignment="1">
      <alignment horizontal="center"/>
    </xf>
    <xf numFmtId="0" fontId="1" fillId="17" borderId="21" xfId="0" applyFont="1" applyFill="1" applyBorder="1" applyAlignment="1">
      <alignment horizontal="center"/>
    </xf>
    <xf numFmtId="0" fontId="1" fillId="18" borderId="15" xfId="0" applyFont="1" applyFill="1" applyBorder="1" applyAlignment="1">
      <alignment horizontal="center"/>
    </xf>
    <xf numFmtId="0" fontId="1" fillId="18" borderId="20" xfId="0" applyFont="1" applyFill="1" applyBorder="1" applyAlignment="1">
      <alignment horizontal="center"/>
    </xf>
    <xf numFmtId="0" fontId="1" fillId="18" borderId="21" xfId="0" applyFont="1" applyFill="1" applyBorder="1" applyAlignment="1">
      <alignment horizontal="center"/>
    </xf>
    <xf numFmtId="0" fontId="1" fillId="6" borderId="22" xfId="0" applyFont="1" applyFill="1" applyBorder="1" applyAlignment="1">
      <alignment horizontal="center"/>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5" xfId="0" applyFont="1" applyBorder="1" applyAlignment="1">
      <alignment horizontal="center" vertical="center" wrapText="1"/>
    </xf>
    <xf numFmtId="0" fontId="1" fillId="2" borderId="5" xfId="0" applyFont="1" applyFill="1" applyBorder="1" applyAlignment="1">
      <alignment wrapText="1"/>
    </xf>
    <xf numFmtId="0" fontId="10" fillId="0" borderId="1" xfId="0" applyFont="1" applyBorder="1" applyAlignment="1">
      <alignment horizontal="left" vertical="center"/>
    </xf>
    <xf numFmtId="49" fontId="11" fillId="0" borderId="1" xfId="0" applyNumberFormat="1" applyFont="1" applyBorder="1"/>
    <xf numFmtId="0" fontId="0" fillId="11" borderId="1" xfId="0" applyFill="1" applyBorder="1" applyAlignment="1">
      <alignment wrapText="1"/>
    </xf>
    <xf numFmtId="0" fontId="0" fillId="20" borderId="1" xfId="0" applyFill="1" applyBorder="1" applyAlignment="1">
      <alignment wrapText="1"/>
    </xf>
    <xf numFmtId="49" fontId="11" fillId="20" borderId="1" xfId="0" applyNumberFormat="1" applyFont="1" applyFill="1" applyBorder="1"/>
    <xf numFmtId="0" fontId="0" fillId="20" borderId="1" xfId="0" applyFill="1" applyBorder="1"/>
    <xf numFmtId="0" fontId="0" fillId="20" borderId="1" xfId="0" applyFill="1" applyBorder="1" applyAlignment="1">
      <alignment vertical="center"/>
    </xf>
    <xf numFmtId="0" fontId="0" fillId="20" borderId="1" xfId="0" applyFill="1" applyBorder="1" applyAlignment="1">
      <alignment vertical="center" wrapText="1"/>
    </xf>
    <xf numFmtId="0" fontId="10" fillId="0" borderId="0" xfId="0" applyFont="1" applyAlignment="1">
      <alignment horizontal="left" vertical="center"/>
    </xf>
    <xf numFmtId="0" fontId="10" fillId="0" borderId="25" xfId="0" applyFont="1" applyBorder="1" applyAlignment="1">
      <alignment horizontal="left" vertical="center"/>
    </xf>
  </cellXfs>
  <cellStyles count="5">
    <cellStyle name="Comma" xfId="3" builtinId="3"/>
    <cellStyle name="Currency" xfId="1" builtinId="4"/>
    <cellStyle name="Currency [0]" xfId="4" builtinId="7"/>
    <cellStyle name="Normal" xfId="0" builtinId="0"/>
    <cellStyle name="Percent" xfId="2"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4"/>
  <sheetViews>
    <sheetView tabSelected="1" topLeftCell="E3" workbookViewId="0">
      <selection activeCell="M75" sqref="M75"/>
    </sheetView>
  </sheetViews>
  <sheetFormatPr defaultRowHeight="14.5" x14ac:dyDescent="0.35"/>
  <cols>
    <col min="1" max="4" width="21.81640625" customWidth="1"/>
    <col min="5" max="5" width="48.54296875" bestFit="1" customWidth="1"/>
    <col min="6" max="6" width="12.453125" customWidth="1"/>
    <col min="7" max="7" width="8.453125" customWidth="1"/>
    <col min="8" max="8" width="13.26953125" customWidth="1"/>
    <col min="9" max="9" width="9.7265625" customWidth="1"/>
    <col min="10" max="10" width="20.6328125" customWidth="1"/>
    <col min="11" max="11" width="13.81640625" customWidth="1"/>
    <col min="12" max="12" width="16.7265625" customWidth="1"/>
    <col min="13" max="13" width="12.26953125" customWidth="1"/>
    <col min="14" max="14" width="8.453125" bestFit="1" customWidth="1"/>
    <col min="15" max="15" width="17.453125" bestFit="1" customWidth="1"/>
    <col min="16" max="16" width="12.26953125" bestFit="1" customWidth="1"/>
    <col min="17" max="17" width="8.453125" bestFit="1" customWidth="1"/>
    <col min="18" max="18" width="7" bestFit="1" customWidth="1"/>
    <col min="19" max="19" width="10.54296875" bestFit="1" customWidth="1"/>
  </cols>
  <sheetData>
    <row r="1" spans="1:20" x14ac:dyDescent="0.35">
      <c r="A1" s="284" t="s">
        <v>0</v>
      </c>
      <c r="B1" s="284" t="s">
        <v>1</v>
      </c>
      <c r="C1" s="292"/>
    </row>
    <row r="2" spans="1:20" x14ac:dyDescent="0.35">
      <c r="A2" s="284" t="s">
        <v>2</v>
      </c>
      <c r="B2" s="284" t="s">
        <v>3</v>
      </c>
      <c r="C2" s="292"/>
    </row>
    <row r="3" spans="1:20" ht="20.5" customHeight="1" x14ac:dyDescent="0.35">
      <c r="A3" s="284" t="s">
        <v>4</v>
      </c>
      <c r="B3" s="284" t="s">
        <v>5</v>
      </c>
      <c r="C3" s="292"/>
    </row>
    <row r="4" spans="1:20" ht="20.5" customHeight="1" x14ac:dyDescent="0.35">
      <c r="A4" s="284" t="s">
        <v>6</v>
      </c>
      <c r="B4" s="284" t="s">
        <v>7</v>
      </c>
      <c r="C4" s="292"/>
    </row>
    <row r="5" spans="1:20" ht="20.5" customHeight="1" x14ac:dyDescent="0.35">
      <c r="A5" s="284" t="s">
        <v>8</v>
      </c>
      <c r="B5" s="284" t="s">
        <v>9</v>
      </c>
      <c r="C5" s="293"/>
      <c r="D5" s="282"/>
      <c r="E5" s="3" t="s">
        <v>10</v>
      </c>
      <c r="F5" s="3" t="s">
        <v>11</v>
      </c>
      <c r="G5" s="3" t="s">
        <v>12</v>
      </c>
      <c r="H5" s="6" t="s">
        <v>13</v>
      </c>
      <c r="I5" s="6" t="s">
        <v>14</v>
      </c>
      <c r="J5" s="8" t="s">
        <v>15</v>
      </c>
      <c r="K5" s="8" t="s">
        <v>16</v>
      </c>
      <c r="L5" s="3" t="s">
        <v>17</v>
      </c>
      <c r="M5" s="3" t="s">
        <v>18</v>
      </c>
      <c r="N5" s="3" t="s">
        <v>19</v>
      </c>
      <c r="O5" s="3" t="s">
        <v>20</v>
      </c>
      <c r="P5" s="3" t="s">
        <v>21</v>
      </c>
      <c r="Q5" s="3" t="s">
        <v>22</v>
      </c>
      <c r="R5" s="3" t="s">
        <v>23</v>
      </c>
      <c r="S5" s="3" t="s">
        <v>24</v>
      </c>
    </row>
    <row r="6" spans="1:20" ht="29" x14ac:dyDescent="0.35">
      <c r="A6" s="283" t="s">
        <v>25</v>
      </c>
      <c r="B6" s="283" t="s">
        <v>26</v>
      </c>
      <c r="C6" s="2" t="s">
        <v>27</v>
      </c>
      <c r="D6" s="2" t="s">
        <v>28</v>
      </c>
      <c r="E6" s="2" t="s">
        <v>29</v>
      </c>
      <c r="F6" s="28"/>
      <c r="G6" s="28"/>
      <c r="H6" s="38"/>
      <c r="I6" s="38"/>
      <c r="J6" s="48">
        <f>+SUM(J7:J24)</f>
        <v>1606446288</v>
      </c>
      <c r="K6" s="48">
        <f>SUM(K7:K24)</f>
        <v>364956.27602658025</v>
      </c>
      <c r="L6" s="149">
        <f>+SUM(L7:L24)</f>
        <v>1418576688</v>
      </c>
      <c r="M6" s="149">
        <f>SUM(M7:M24)</f>
        <v>322275.61492588167</v>
      </c>
      <c r="N6" s="65"/>
      <c r="O6" s="150">
        <f>+SUM(O7:O24)</f>
        <v>187869600</v>
      </c>
      <c r="P6" s="150">
        <f>SUM(P7:P24)</f>
        <v>42680.661100698584</v>
      </c>
      <c r="Q6" s="5"/>
      <c r="R6" s="5"/>
      <c r="S6" s="74"/>
    </row>
    <row r="7" spans="1:20" ht="20.5" customHeight="1" x14ac:dyDescent="0.35">
      <c r="A7" s="287" t="s">
        <v>30</v>
      </c>
      <c r="B7" s="288">
        <v>89050</v>
      </c>
      <c r="C7" s="288" t="s">
        <v>31</v>
      </c>
      <c r="D7" s="287" t="s">
        <v>32</v>
      </c>
      <c r="E7" s="287" t="s">
        <v>33</v>
      </c>
      <c r="F7" s="26" t="s">
        <v>34</v>
      </c>
      <c r="G7" s="26">
        <f>+'Detailed Budget'!AO4</f>
        <v>28</v>
      </c>
      <c r="H7" s="42">
        <f>+(('Detailed Budget'!D4*'Detailed Budget'!C4)+('Detailed Budget'!Q4*'Detailed Budget'!P4)+('Detailed Budget'!AD4*'Detailed Budget'!AC4))/G7</f>
        <v>2139428.5714285714</v>
      </c>
      <c r="I7" s="42">
        <f t="shared" ref="I7:I24" si="0">+H7/$E$73</f>
        <v>486.04045468928751</v>
      </c>
      <c r="J7" s="63">
        <f>+H7*G7</f>
        <v>59904000</v>
      </c>
      <c r="K7" s="63">
        <f t="shared" ref="K7:K24" si="1">+J7/$E$73</f>
        <v>13609.132731300051</v>
      </c>
      <c r="L7" s="96">
        <f>+J7*N7</f>
        <v>0</v>
      </c>
      <c r="M7" s="96">
        <f t="shared" ref="M7:M24" si="2">+L7/$E$73</f>
        <v>0</v>
      </c>
      <c r="N7" s="82">
        <f>+'Detailed Budget'!F4</f>
        <v>0</v>
      </c>
      <c r="O7" s="151">
        <f>+J7*Q7</f>
        <v>59904000</v>
      </c>
      <c r="P7" s="151">
        <f t="shared" ref="P7:P24" si="3">+O7/$E$73</f>
        <v>13609.132731300051</v>
      </c>
      <c r="Q7" s="83">
        <f>+'Detailed Budget'!I4</f>
        <v>1</v>
      </c>
      <c r="R7" s="83">
        <f>+'Detailed Budget'!AV4</f>
        <v>0.2</v>
      </c>
      <c r="S7" s="75" t="s">
        <v>35</v>
      </c>
      <c r="T7" s="7"/>
    </row>
    <row r="8" spans="1:20" ht="20.5" customHeight="1" x14ac:dyDescent="0.35">
      <c r="A8" s="81" t="s">
        <v>30</v>
      </c>
      <c r="B8" s="285">
        <v>89050</v>
      </c>
      <c r="C8" s="285" t="s">
        <v>31</v>
      </c>
      <c r="D8" s="81" t="s">
        <v>36</v>
      </c>
      <c r="E8" s="1" t="s">
        <v>37</v>
      </c>
      <c r="F8" s="26" t="s">
        <v>34</v>
      </c>
      <c r="G8" s="26">
        <f>+'Detailed Budget'!AO5</f>
        <v>28</v>
      </c>
      <c r="H8" s="42">
        <f>+(('Detailed Budget'!D5*'Detailed Budget'!C5)+('Detailed Budget'!Q5*'Detailed Budget'!P5)+('Detailed Budget'!AD5*'Detailed Budget'!AC5))/G8</f>
        <v>4409362.2857142854</v>
      </c>
      <c r="I8" s="42">
        <f t="shared" si="0"/>
        <v>1001.7293771146216</v>
      </c>
      <c r="J8" s="63">
        <f t="shared" ref="J8:J24" si="4">+H8*G8</f>
        <v>123462144</v>
      </c>
      <c r="K8" s="63">
        <f t="shared" si="1"/>
        <v>28048.422559209404</v>
      </c>
      <c r="L8" s="96">
        <f>+J8*N8</f>
        <v>123462144</v>
      </c>
      <c r="M8" s="96">
        <f t="shared" si="2"/>
        <v>28048.422559209404</v>
      </c>
      <c r="N8" s="82">
        <f>+'Detailed Budget'!F5</f>
        <v>1</v>
      </c>
      <c r="O8" s="151">
        <f t="shared" ref="O8:O20" si="5">+J8*Q8</f>
        <v>0</v>
      </c>
      <c r="P8" s="151">
        <f t="shared" si="3"/>
        <v>0</v>
      </c>
      <c r="Q8" s="83">
        <f>+'Detailed Budget'!I5</f>
        <v>0</v>
      </c>
      <c r="R8" s="83">
        <f>+'Detailed Budget'!AV5</f>
        <v>1</v>
      </c>
      <c r="S8" s="75" t="s">
        <v>38</v>
      </c>
    </row>
    <row r="9" spans="1:20" ht="20.5" customHeight="1" x14ac:dyDescent="0.35">
      <c r="A9" s="81" t="s">
        <v>30</v>
      </c>
      <c r="B9" s="285">
        <v>89050</v>
      </c>
      <c r="C9" s="285" t="s">
        <v>31</v>
      </c>
      <c r="D9" s="81" t="s">
        <v>39</v>
      </c>
      <c r="E9" s="1" t="s">
        <v>40</v>
      </c>
      <c r="F9" s="26" t="s">
        <v>34</v>
      </c>
      <c r="G9" s="26">
        <f>+'Detailed Budget'!AO6</f>
        <v>28</v>
      </c>
      <c r="H9" s="42">
        <f>+(('Detailed Budget'!D6*'Detailed Budget'!C6)+('Detailed Budget'!Q6*'Detailed Budget'!P6)+('Detailed Budget'!AD6*'Detailed Budget'!AC6))/G9</f>
        <v>4409362.2857142854</v>
      </c>
      <c r="I9" s="42">
        <f t="shared" si="0"/>
        <v>1001.7293771146216</v>
      </c>
      <c r="J9" s="63">
        <f t="shared" si="4"/>
        <v>123462144</v>
      </c>
      <c r="K9" s="63">
        <f t="shared" si="1"/>
        <v>28048.422559209404</v>
      </c>
      <c r="L9" s="96">
        <f>+J9*N9</f>
        <v>123462144</v>
      </c>
      <c r="M9" s="96">
        <f t="shared" si="2"/>
        <v>28048.422559209404</v>
      </c>
      <c r="N9" s="82">
        <f>+'Detailed Budget'!F6</f>
        <v>1</v>
      </c>
      <c r="O9" s="151">
        <f t="shared" si="5"/>
        <v>0</v>
      </c>
      <c r="P9" s="151">
        <f t="shared" si="3"/>
        <v>0</v>
      </c>
      <c r="Q9" s="83">
        <f>+'Detailed Budget'!I6</f>
        <v>0</v>
      </c>
      <c r="R9" s="83">
        <f>+'Detailed Budget'!AV6</f>
        <v>1</v>
      </c>
      <c r="S9" s="75" t="s">
        <v>41</v>
      </c>
    </row>
    <row r="10" spans="1:20" ht="20.5" customHeight="1" x14ac:dyDescent="0.35">
      <c r="A10" s="81" t="s">
        <v>30</v>
      </c>
      <c r="B10" s="285">
        <v>89050</v>
      </c>
      <c r="C10" s="285" t="s">
        <v>31</v>
      </c>
      <c r="D10" s="81" t="s">
        <v>42</v>
      </c>
      <c r="E10" s="1" t="s">
        <v>43</v>
      </c>
      <c r="F10" s="26" t="s">
        <v>34</v>
      </c>
      <c r="G10" s="26">
        <f>+'Detailed Budget'!AO7</f>
        <v>28</v>
      </c>
      <c r="H10" s="42">
        <f>+(('Detailed Budget'!D7*'Detailed Budget'!C7)+('Detailed Budget'!Q7*'Detailed Budget'!P7)+('Detailed Budget'!AD7*'Detailed Budget'!AC7))/G10</f>
        <v>3423085.7142857141</v>
      </c>
      <c r="I10" s="42">
        <f t="shared" si="0"/>
        <v>777.66472750286005</v>
      </c>
      <c r="J10" s="63">
        <f t="shared" si="4"/>
        <v>95846400</v>
      </c>
      <c r="K10" s="63">
        <f t="shared" si="1"/>
        <v>21774.612370080082</v>
      </c>
      <c r="L10" s="96">
        <f>+J10*N10</f>
        <v>71884800</v>
      </c>
      <c r="M10" s="96">
        <f t="shared" si="2"/>
        <v>16330.959277560061</v>
      </c>
      <c r="N10" s="64">
        <f>+'Detailed Budget'!F7</f>
        <v>0.75</v>
      </c>
      <c r="O10" s="151">
        <f>+J10*Q10</f>
        <v>23961600</v>
      </c>
      <c r="P10" s="151">
        <f t="shared" si="3"/>
        <v>5443.6530925200204</v>
      </c>
      <c r="Q10" s="69">
        <f>+'Detailed Budget'!I7</f>
        <v>0.25</v>
      </c>
      <c r="R10" s="69">
        <f>+'Detailed Budget'!AV7</f>
        <v>0.8</v>
      </c>
      <c r="S10" s="75" t="s">
        <v>44</v>
      </c>
    </row>
    <row r="11" spans="1:20" ht="20.5" customHeight="1" x14ac:dyDescent="0.35">
      <c r="A11" s="81" t="s">
        <v>30</v>
      </c>
      <c r="B11" s="285">
        <v>89050</v>
      </c>
      <c r="C11" s="285" t="s">
        <v>31</v>
      </c>
      <c r="D11" s="81" t="s">
        <v>45</v>
      </c>
      <c r="E11" s="1" t="s">
        <v>46</v>
      </c>
      <c r="F11" s="26" t="s">
        <v>34</v>
      </c>
      <c r="G11" s="26">
        <f>+'Detailed Budget'!AO8</f>
        <v>28</v>
      </c>
      <c r="H11" s="42">
        <f>+(('Detailed Budget'!D8*'Detailed Budget'!C8)+('Detailed Budget'!Q8*'Detailed Budget'!P8)+('Detailed Budget'!AD8*'Detailed Budget'!AC8))/G11</f>
        <v>2032457.142857143</v>
      </c>
      <c r="I11" s="42">
        <f t="shared" si="0"/>
        <v>461.73843195482317</v>
      </c>
      <c r="J11" s="63">
        <f t="shared" si="4"/>
        <v>56908800</v>
      </c>
      <c r="K11" s="63">
        <f t="shared" si="1"/>
        <v>12928.676094735049</v>
      </c>
      <c r="L11" s="96">
        <f>+J11*N11</f>
        <v>56908800</v>
      </c>
      <c r="M11" s="96">
        <f t="shared" si="2"/>
        <v>12928.676094735049</v>
      </c>
      <c r="N11" s="82">
        <f>+'Detailed Budget'!F8</f>
        <v>1</v>
      </c>
      <c r="O11" s="151">
        <f t="shared" si="5"/>
        <v>0</v>
      </c>
      <c r="P11" s="151">
        <f t="shared" si="3"/>
        <v>0</v>
      </c>
      <c r="Q11" s="83">
        <f>+'Detailed Budget'!I8</f>
        <v>0</v>
      </c>
      <c r="R11" s="83">
        <f>+'Detailed Budget'!AV8</f>
        <v>0.5</v>
      </c>
      <c r="S11" s="75" t="s">
        <v>47</v>
      </c>
    </row>
    <row r="12" spans="1:20" ht="20.5" customHeight="1" x14ac:dyDescent="0.35">
      <c r="A12" s="81" t="s">
        <v>30</v>
      </c>
      <c r="B12" s="285">
        <v>89050</v>
      </c>
      <c r="C12" s="285" t="s">
        <v>31</v>
      </c>
      <c r="D12" s="286" t="s">
        <v>48</v>
      </c>
      <c r="E12" s="1" t="s">
        <v>49</v>
      </c>
      <c r="F12" s="26" t="s">
        <v>34</v>
      </c>
      <c r="G12" s="26">
        <f>+'Detailed Budget'!AO9</f>
        <v>27</v>
      </c>
      <c r="H12" s="42">
        <f>+(('Detailed Budget'!D9*'Detailed Budget'!C9)+('Detailed Budget'!Q9*'Detailed Budget'!P9)+('Detailed Budget'!AD9*'Detailed Budget'!AC9))/G12</f>
        <v>3728666.6666666665</v>
      </c>
      <c r="I12" s="42">
        <f t="shared" si="0"/>
        <v>847.08733268964988</v>
      </c>
      <c r="J12" s="63">
        <f t="shared" si="4"/>
        <v>100674000</v>
      </c>
      <c r="K12" s="63">
        <f t="shared" si="1"/>
        <v>22871.35798262055</v>
      </c>
      <c r="L12" s="96">
        <f t="shared" ref="L12:L20" si="6">+J12*N12</f>
        <v>100674000</v>
      </c>
      <c r="M12" s="96">
        <f t="shared" si="2"/>
        <v>22871.35798262055</v>
      </c>
      <c r="N12" s="64">
        <f>+'Detailed Budget'!F9</f>
        <v>1</v>
      </c>
      <c r="O12" s="151">
        <f t="shared" si="5"/>
        <v>0</v>
      </c>
      <c r="P12" s="151">
        <f t="shared" si="3"/>
        <v>0</v>
      </c>
      <c r="Q12" s="69">
        <f>+'Detailed Budget'!I9</f>
        <v>0</v>
      </c>
      <c r="R12" s="69">
        <f>+'Detailed Budget'!AV9</f>
        <v>1</v>
      </c>
      <c r="S12" s="75" t="s">
        <v>50</v>
      </c>
    </row>
    <row r="13" spans="1:20" ht="20.5" customHeight="1" x14ac:dyDescent="0.35">
      <c r="A13" s="81" t="s">
        <v>30</v>
      </c>
      <c r="B13" s="285">
        <v>89050</v>
      </c>
      <c r="C13" s="285" t="s">
        <v>31</v>
      </c>
      <c r="D13" s="286" t="s">
        <v>48</v>
      </c>
      <c r="E13" s="1" t="s">
        <v>51</v>
      </c>
      <c r="F13" s="26" t="s">
        <v>34</v>
      </c>
      <c r="G13" s="26">
        <f>+'Detailed Budget'!AO10</f>
        <v>24</v>
      </c>
      <c r="H13" s="42">
        <f>+(('Detailed Budget'!D10*'Detailed Budget'!C10)+('Detailed Budget'!Q10*'Detailed Budget'!P10)+('Detailed Budget'!AD10*'Detailed Budget'!AC10))/G13</f>
        <v>3675000</v>
      </c>
      <c r="I13" s="42">
        <f t="shared" si="0"/>
        <v>834.89521213153864</v>
      </c>
      <c r="J13" s="63">
        <f t="shared" si="4"/>
        <v>88200000</v>
      </c>
      <c r="K13" s="63">
        <f t="shared" si="1"/>
        <v>20037.485091156927</v>
      </c>
      <c r="L13" s="96">
        <f t="shared" si="6"/>
        <v>88200000</v>
      </c>
      <c r="M13" s="96">
        <f t="shared" si="2"/>
        <v>20037.485091156927</v>
      </c>
      <c r="N13" s="64">
        <f>+'Detailed Budget'!F10</f>
        <v>1</v>
      </c>
      <c r="O13" s="151">
        <f t="shared" si="5"/>
        <v>0</v>
      </c>
      <c r="P13" s="151">
        <f t="shared" si="3"/>
        <v>0</v>
      </c>
      <c r="Q13" s="69">
        <f>+'Detailed Budget'!I10</f>
        <v>0</v>
      </c>
      <c r="R13" s="69">
        <f>+'Detailed Budget'!AV10</f>
        <v>1</v>
      </c>
      <c r="S13" s="75" t="s">
        <v>50</v>
      </c>
    </row>
    <row r="14" spans="1:20" ht="20.5" customHeight="1" x14ac:dyDescent="0.35">
      <c r="A14" s="81" t="s">
        <v>30</v>
      </c>
      <c r="B14" s="285">
        <v>89050</v>
      </c>
      <c r="C14" s="285" t="s">
        <v>31</v>
      </c>
      <c r="D14" s="286" t="s">
        <v>48</v>
      </c>
      <c r="E14" s="1" t="s">
        <v>52</v>
      </c>
      <c r="F14" s="26" t="s">
        <v>34</v>
      </c>
      <c r="G14" s="26">
        <f>+'Detailed Budget'!AO11</f>
        <v>27</v>
      </c>
      <c r="H14" s="42">
        <f>+(('Detailed Budget'!D11*'Detailed Budget'!C11)+('Detailed Budget'!Q11*'Detailed Budget'!P11)+('Detailed Budget'!AD11*'Detailed Budget'!AC11))/G14</f>
        <v>3728666.6666666665</v>
      </c>
      <c r="I14" s="42">
        <f t="shared" si="0"/>
        <v>847.08733268964988</v>
      </c>
      <c r="J14" s="63">
        <f t="shared" si="4"/>
        <v>100674000</v>
      </c>
      <c r="K14" s="63">
        <f t="shared" si="1"/>
        <v>22871.35798262055</v>
      </c>
      <c r="L14" s="96">
        <f t="shared" si="6"/>
        <v>100674000</v>
      </c>
      <c r="M14" s="96">
        <f t="shared" si="2"/>
        <v>22871.35798262055</v>
      </c>
      <c r="N14" s="64">
        <f>+'Detailed Budget'!F11</f>
        <v>1</v>
      </c>
      <c r="O14" s="151">
        <f t="shared" si="5"/>
        <v>0</v>
      </c>
      <c r="P14" s="151">
        <f t="shared" si="3"/>
        <v>0</v>
      </c>
      <c r="Q14" s="69">
        <f>+'Detailed Budget'!I11</f>
        <v>0</v>
      </c>
      <c r="R14" s="69">
        <f>+'Detailed Budget'!AV11</f>
        <v>1</v>
      </c>
      <c r="S14" s="75" t="s">
        <v>50</v>
      </c>
    </row>
    <row r="15" spans="1:20" ht="20.5" customHeight="1" x14ac:dyDescent="0.35">
      <c r="A15" s="81" t="s">
        <v>30</v>
      </c>
      <c r="B15" s="285">
        <v>89050</v>
      </c>
      <c r="C15" s="285" t="s">
        <v>31</v>
      </c>
      <c r="D15" s="286" t="s">
        <v>48</v>
      </c>
      <c r="E15" s="1" t="s">
        <v>53</v>
      </c>
      <c r="F15" s="26" t="s">
        <v>34</v>
      </c>
      <c r="G15" s="26">
        <f>+'Detailed Budget'!AO12</f>
        <v>27</v>
      </c>
      <c r="H15" s="42">
        <f>+(('Detailed Budget'!D12*'Detailed Budget'!C12)+('Detailed Budget'!Q12*'Detailed Budget'!P12)+('Detailed Budget'!AD12*'Detailed Budget'!AC12))/G15</f>
        <v>3728666.6666666665</v>
      </c>
      <c r="I15" s="42">
        <f t="shared" si="0"/>
        <v>847.08733268964988</v>
      </c>
      <c r="J15" s="63">
        <f t="shared" si="4"/>
        <v>100674000</v>
      </c>
      <c r="K15" s="63">
        <f t="shared" si="1"/>
        <v>22871.35798262055</v>
      </c>
      <c r="L15" s="96">
        <f t="shared" si="6"/>
        <v>100674000</v>
      </c>
      <c r="M15" s="96">
        <f t="shared" si="2"/>
        <v>22871.35798262055</v>
      </c>
      <c r="N15" s="64">
        <f>+'Detailed Budget'!F12</f>
        <v>1</v>
      </c>
      <c r="O15" s="151">
        <f t="shared" si="5"/>
        <v>0</v>
      </c>
      <c r="P15" s="151">
        <f t="shared" si="3"/>
        <v>0</v>
      </c>
      <c r="Q15" s="69">
        <f>+'Detailed Budget'!I12</f>
        <v>0</v>
      </c>
      <c r="R15" s="69">
        <f>+'Detailed Budget'!AV12</f>
        <v>1</v>
      </c>
      <c r="S15" s="75" t="s">
        <v>50</v>
      </c>
    </row>
    <row r="16" spans="1:20" ht="20.5" customHeight="1" x14ac:dyDescent="0.35">
      <c r="A16" s="81" t="s">
        <v>30</v>
      </c>
      <c r="B16" s="285">
        <v>89050</v>
      </c>
      <c r="C16" s="285" t="s">
        <v>31</v>
      </c>
      <c r="D16" s="286" t="s">
        <v>48</v>
      </c>
      <c r="E16" s="1" t="s">
        <v>54</v>
      </c>
      <c r="F16" s="26" t="s">
        <v>34</v>
      </c>
      <c r="G16" s="26">
        <f>+'Detailed Budget'!AO13</f>
        <v>27</v>
      </c>
      <c r="H16" s="42">
        <f>+(('Detailed Budget'!D13*'Detailed Budget'!C13)+('Detailed Budget'!Q13*'Detailed Budget'!P13)+('Detailed Budget'!AD13*'Detailed Budget'!AC13))/G16</f>
        <v>3728666.6666666665</v>
      </c>
      <c r="I16" s="42">
        <f t="shared" si="0"/>
        <v>847.08733268964988</v>
      </c>
      <c r="J16" s="63">
        <f t="shared" si="4"/>
        <v>100674000</v>
      </c>
      <c r="K16" s="63">
        <f t="shared" si="1"/>
        <v>22871.35798262055</v>
      </c>
      <c r="L16" s="96">
        <f t="shared" si="6"/>
        <v>100674000</v>
      </c>
      <c r="M16" s="96">
        <f t="shared" si="2"/>
        <v>22871.35798262055</v>
      </c>
      <c r="N16" s="64">
        <f>+'Detailed Budget'!F13</f>
        <v>1</v>
      </c>
      <c r="O16" s="151">
        <f t="shared" si="5"/>
        <v>0</v>
      </c>
      <c r="P16" s="151">
        <f t="shared" si="3"/>
        <v>0</v>
      </c>
      <c r="Q16" s="69">
        <f>+'Detailed Budget'!I13</f>
        <v>0</v>
      </c>
      <c r="R16" s="69">
        <f>+'Detailed Budget'!AV13</f>
        <v>1</v>
      </c>
      <c r="S16" s="75" t="s">
        <v>50</v>
      </c>
    </row>
    <row r="17" spans="1:20" ht="20.5" customHeight="1" x14ac:dyDescent="0.35">
      <c r="A17" s="81" t="s">
        <v>30</v>
      </c>
      <c r="B17" s="285">
        <v>89050</v>
      </c>
      <c r="C17" s="285" t="s">
        <v>31</v>
      </c>
      <c r="D17" s="286" t="s">
        <v>48</v>
      </c>
      <c r="E17" s="1" t="s">
        <v>55</v>
      </c>
      <c r="F17" s="26" t="s">
        <v>34</v>
      </c>
      <c r="G17" s="26">
        <f>+'Detailed Budget'!AO14</f>
        <v>24</v>
      </c>
      <c r="H17" s="42">
        <f>+(('Detailed Budget'!D14*'Detailed Budget'!C14)+('Detailed Budget'!Q14*'Detailed Budget'!P14)+('Detailed Budget'!AD14*'Detailed Budget'!AC14))/G17</f>
        <v>3675000</v>
      </c>
      <c r="I17" s="42">
        <f t="shared" si="0"/>
        <v>834.89521213153864</v>
      </c>
      <c r="J17" s="63">
        <f t="shared" si="4"/>
        <v>88200000</v>
      </c>
      <c r="K17" s="63">
        <f t="shared" si="1"/>
        <v>20037.485091156927</v>
      </c>
      <c r="L17" s="96">
        <f t="shared" ref="L17" si="7">+J17*N17</f>
        <v>88200000</v>
      </c>
      <c r="M17" s="96">
        <f t="shared" si="2"/>
        <v>20037.485091156927</v>
      </c>
      <c r="N17" s="64">
        <f>+'Detailed Budget'!F14</f>
        <v>1</v>
      </c>
      <c r="O17" s="151">
        <f t="shared" ref="O17" si="8">+J17*Q17</f>
        <v>0</v>
      </c>
      <c r="P17" s="151">
        <f t="shared" si="3"/>
        <v>0</v>
      </c>
      <c r="Q17" s="69">
        <f>+'Detailed Budget'!I14</f>
        <v>0</v>
      </c>
      <c r="R17" s="69">
        <f>+'Detailed Budget'!AV14</f>
        <v>1</v>
      </c>
      <c r="S17" s="75" t="s">
        <v>50</v>
      </c>
    </row>
    <row r="18" spans="1:20" ht="20.5" customHeight="1" x14ac:dyDescent="0.35">
      <c r="A18" s="81" t="s">
        <v>30</v>
      </c>
      <c r="B18" s="285">
        <v>89050</v>
      </c>
      <c r="C18" s="285" t="s">
        <v>31</v>
      </c>
      <c r="D18" s="286" t="s">
        <v>48</v>
      </c>
      <c r="E18" s="1" t="s">
        <v>56</v>
      </c>
      <c r="F18" s="26" t="s">
        <v>34</v>
      </c>
      <c r="G18" s="26">
        <f>+'Detailed Budget'!AO15</f>
        <v>27</v>
      </c>
      <c r="H18" s="42">
        <f>+(('Detailed Budget'!D15*'Detailed Budget'!C15)+('Detailed Budget'!Q15*'Detailed Budget'!P15)+('Detailed Budget'!AD15*'Detailed Budget'!AC15))/G18</f>
        <v>3728666.6666666665</v>
      </c>
      <c r="I18" s="42">
        <f t="shared" si="0"/>
        <v>847.08733268964988</v>
      </c>
      <c r="J18" s="63">
        <f t="shared" si="4"/>
        <v>100674000</v>
      </c>
      <c r="K18" s="63">
        <f t="shared" si="1"/>
        <v>22871.35798262055</v>
      </c>
      <c r="L18" s="96">
        <f t="shared" si="6"/>
        <v>100674000</v>
      </c>
      <c r="M18" s="96">
        <f t="shared" si="2"/>
        <v>22871.35798262055</v>
      </c>
      <c r="N18" s="64">
        <f>+'Detailed Budget'!F15</f>
        <v>1</v>
      </c>
      <c r="O18" s="151">
        <f t="shared" si="5"/>
        <v>0</v>
      </c>
      <c r="P18" s="151">
        <f t="shared" si="3"/>
        <v>0</v>
      </c>
      <c r="Q18" s="69">
        <f>+'Detailed Budget'!I15</f>
        <v>0</v>
      </c>
      <c r="R18" s="69">
        <f>+'Detailed Budget'!AV15</f>
        <v>1</v>
      </c>
      <c r="S18" s="75" t="s">
        <v>50</v>
      </c>
    </row>
    <row r="19" spans="1:20" ht="20.5" customHeight="1" x14ac:dyDescent="0.35">
      <c r="A19" s="81" t="s">
        <v>30</v>
      </c>
      <c r="B19" s="285">
        <v>89050</v>
      </c>
      <c r="C19" s="285" t="s">
        <v>31</v>
      </c>
      <c r="D19" s="286" t="s">
        <v>48</v>
      </c>
      <c r="E19" s="1" t="s">
        <v>57</v>
      </c>
      <c r="F19" s="26" t="s">
        <v>34</v>
      </c>
      <c r="G19" s="26">
        <f>+'Detailed Budget'!AO16</f>
        <v>27</v>
      </c>
      <c r="H19" s="42">
        <f>+(('Detailed Budget'!D16*'Detailed Budget'!C16)+('Detailed Budget'!Q16*'Detailed Budget'!P16)+('Detailed Budget'!AD16*'Detailed Budget'!AC16))/G19</f>
        <v>3728666.6666666665</v>
      </c>
      <c r="I19" s="42">
        <f t="shared" si="0"/>
        <v>847.08733268964988</v>
      </c>
      <c r="J19" s="63">
        <f t="shared" si="4"/>
        <v>100674000</v>
      </c>
      <c r="K19" s="63">
        <f t="shared" si="1"/>
        <v>22871.35798262055</v>
      </c>
      <c r="L19" s="96">
        <f t="shared" si="6"/>
        <v>100674000</v>
      </c>
      <c r="M19" s="96">
        <f t="shared" si="2"/>
        <v>22871.35798262055</v>
      </c>
      <c r="N19" s="64">
        <f>+'Detailed Budget'!F16</f>
        <v>1</v>
      </c>
      <c r="O19" s="151">
        <f t="shared" si="5"/>
        <v>0</v>
      </c>
      <c r="P19" s="151">
        <f t="shared" si="3"/>
        <v>0</v>
      </c>
      <c r="Q19" s="69">
        <f>+'Detailed Budget'!I16</f>
        <v>0</v>
      </c>
      <c r="R19" s="69">
        <f>+'Detailed Budget'!AV16</f>
        <v>1</v>
      </c>
      <c r="S19" s="75" t="s">
        <v>50</v>
      </c>
    </row>
    <row r="20" spans="1:20" ht="20.5" customHeight="1" x14ac:dyDescent="0.35">
      <c r="A20" s="81" t="s">
        <v>30</v>
      </c>
      <c r="B20" s="285">
        <v>89050</v>
      </c>
      <c r="C20" s="285" t="s">
        <v>31</v>
      </c>
      <c r="D20" s="286" t="s">
        <v>48</v>
      </c>
      <c r="E20" s="1" t="s">
        <v>58</v>
      </c>
      <c r="F20" s="26" t="s">
        <v>34</v>
      </c>
      <c r="G20" s="26">
        <f>+'Detailed Budget'!AO17</f>
        <v>27</v>
      </c>
      <c r="H20" s="42">
        <f>+(('Detailed Budget'!D17*'Detailed Budget'!C17)+('Detailed Budget'!Q17*'Detailed Budget'!P17)+('Detailed Budget'!AD17*'Detailed Budget'!AC17))/G20</f>
        <v>3728666.6666666665</v>
      </c>
      <c r="I20" s="42">
        <f t="shared" si="0"/>
        <v>847.08733268964988</v>
      </c>
      <c r="J20" s="63">
        <f t="shared" si="4"/>
        <v>100674000</v>
      </c>
      <c r="K20" s="63">
        <f t="shared" si="1"/>
        <v>22871.35798262055</v>
      </c>
      <c r="L20" s="96">
        <f t="shared" si="6"/>
        <v>100674000</v>
      </c>
      <c r="M20" s="96">
        <f t="shared" si="2"/>
        <v>22871.35798262055</v>
      </c>
      <c r="N20" s="64">
        <f>+'Detailed Budget'!F17</f>
        <v>1</v>
      </c>
      <c r="O20" s="151">
        <f t="shared" si="5"/>
        <v>0</v>
      </c>
      <c r="P20" s="151">
        <f t="shared" si="3"/>
        <v>0</v>
      </c>
      <c r="Q20" s="69">
        <f>+'Detailed Budget'!I17</f>
        <v>0</v>
      </c>
      <c r="R20" s="69">
        <f>+'Detailed Budget'!AV17</f>
        <v>1</v>
      </c>
      <c r="S20" s="75" t="s">
        <v>50</v>
      </c>
    </row>
    <row r="21" spans="1:20" ht="20.5" customHeight="1" x14ac:dyDescent="0.35">
      <c r="A21" s="287" t="s">
        <v>30</v>
      </c>
      <c r="B21" s="288">
        <v>89050</v>
      </c>
      <c r="C21" s="288" t="s">
        <v>31</v>
      </c>
      <c r="D21" s="287" t="s">
        <v>48</v>
      </c>
      <c r="E21" s="289" t="s">
        <v>59</v>
      </c>
      <c r="F21" s="26" t="s">
        <v>34</v>
      </c>
      <c r="G21" s="26">
        <f>+'Detailed Budget'!AO18</f>
        <v>24</v>
      </c>
      <c r="H21" s="42">
        <f>+(('Detailed Budget'!D18*'Detailed Budget'!C18)+('Detailed Budget'!Q18*'Detailed Budget'!P18)+('Detailed Budget'!AD18*'Detailed Budget'!AC18))/G21</f>
        <v>1837500</v>
      </c>
      <c r="I21" s="42">
        <f t="shared" si="0"/>
        <v>417.44760606576932</v>
      </c>
      <c r="J21" s="63">
        <f t="shared" si="4"/>
        <v>44100000</v>
      </c>
      <c r="K21" s="63">
        <f t="shared" si="1"/>
        <v>10018.742545578463</v>
      </c>
      <c r="L21" s="96">
        <f t="shared" ref="L21:L24" si="9">+J21*N21</f>
        <v>0</v>
      </c>
      <c r="M21" s="96">
        <f t="shared" si="2"/>
        <v>0</v>
      </c>
      <c r="N21" s="64">
        <f>+'Detailed Budget'!F18</f>
        <v>0</v>
      </c>
      <c r="O21" s="151">
        <f t="shared" ref="O21:O24" si="10">+J21*Q21</f>
        <v>44100000</v>
      </c>
      <c r="P21" s="151">
        <f t="shared" si="3"/>
        <v>10018.742545578463</v>
      </c>
      <c r="Q21" s="69">
        <f>+'Detailed Budget'!I18</f>
        <v>1</v>
      </c>
      <c r="R21" s="69">
        <f>+'Detailed Budget'!AV18</f>
        <v>0.5</v>
      </c>
      <c r="S21" s="75" t="s">
        <v>50</v>
      </c>
    </row>
    <row r="22" spans="1:20" ht="20.5" customHeight="1" x14ac:dyDescent="0.35">
      <c r="A22" s="287" t="s">
        <v>30</v>
      </c>
      <c r="B22" s="288">
        <v>89050</v>
      </c>
      <c r="C22" s="288" t="s">
        <v>31</v>
      </c>
      <c r="D22" s="287" t="s">
        <v>60</v>
      </c>
      <c r="E22" s="289" t="s">
        <v>61</v>
      </c>
      <c r="F22" s="26" t="s">
        <v>34</v>
      </c>
      <c r="G22" s="26">
        <f>+'Detailed Budget'!AO19</f>
        <v>28</v>
      </c>
      <c r="H22" s="42">
        <f>+(('Detailed Budget'!D19*'Detailed Budget'!C19)+('Detailed Budget'!Q19*'Detailed Budget'!P19)+('Detailed Budget'!AD19*'Detailed Budget'!AC19))/G22</f>
        <v>2139428.5714285714</v>
      </c>
      <c r="I22" s="42">
        <f t="shared" si="0"/>
        <v>486.04045468928751</v>
      </c>
      <c r="J22" s="63">
        <f t="shared" si="4"/>
        <v>59904000</v>
      </c>
      <c r="K22" s="63">
        <f t="shared" si="1"/>
        <v>13609.132731300051</v>
      </c>
      <c r="L22" s="96">
        <f t="shared" si="9"/>
        <v>0</v>
      </c>
      <c r="M22" s="96">
        <f t="shared" si="2"/>
        <v>0</v>
      </c>
      <c r="N22" s="82">
        <f>+'Detailed Budget'!F19</f>
        <v>0</v>
      </c>
      <c r="O22" s="151">
        <f t="shared" si="10"/>
        <v>59904000</v>
      </c>
      <c r="P22" s="151">
        <f t="shared" si="3"/>
        <v>13609.132731300051</v>
      </c>
      <c r="Q22" s="83">
        <f>+'Detailed Budget'!I19</f>
        <v>1</v>
      </c>
      <c r="R22" s="83">
        <f>+'Detailed Budget'!AV19</f>
        <v>0.25</v>
      </c>
      <c r="S22" s="75" t="s">
        <v>62</v>
      </c>
    </row>
    <row r="23" spans="1:20" ht="20.5" customHeight="1" x14ac:dyDescent="0.35">
      <c r="A23" s="81" t="s">
        <v>30</v>
      </c>
      <c r="B23" s="285">
        <v>89050</v>
      </c>
      <c r="C23" s="285" t="s">
        <v>31</v>
      </c>
      <c r="D23" s="81" t="s">
        <v>63</v>
      </c>
      <c r="E23" s="1" t="s">
        <v>64</v>
      </c>
      <c r="F23" s="26" t="s">
        <v>34</v>
      </c>
      <c r="G23" s="26">
        <f>+'Detailed Budget'!AO20</f>
        <v>28</v>
      </c>
      <c r="H23" s="42">
        <f>+(('Detailed Budget'!D20*'Detailed Budget'!C20)+('Detailed Budget'!Q20*'Detailed Budget'!P20)+('Detailed Budget'!AD20*'Detailed Budget'!AC20))/G23</f>
        <v>3209142.8571428573</v>
      </c>
      <c r="I23" s="42">
        <f t="shared" si="0"/>
        <v>729.06068203393136</v>
      </c>
      <c r="J23" s="63">
        <f t="shared" si="4"/>
        <v>89856000</v>
      </c>
      <c r="K23" s="63">
        <f t="shared" si="1"/>
        <v>20413.699096950077</v>
      </c>
      <c r="L23" s="96">
        <f t="shared" si="9"/>
        <v>89856000</v>
      </c>
      <c r="M23" s="96">
        <f t="shared" si="2"/>
        <v>20413.699096950077</v>
      </c>
      <c r="N23" s="64">
        <f>+'Detailed Budget'!F20</f>
        <v>1</v>
      </c>
      <c r="O23" s="151">
        <f t="shared" si="10"/>
        <v>0</v>
      </c>
      <c r="P23" s="151">
        <f t="shared" si="3"/>
        <v>0</v>
      </c>
      <c r="Q23" s="69">
        <f>+'Detailed Budget'!I20</f>
        <v>0</v>
      </c>
      <c r="R23" s="69">
        <f>+'Detailed Budget'!AV20</f>
        <v>1</v>
      </c>
      <c r="S23" s="75" t="s">
        <v>65</v>
      </c>
    </row>
    <row r="24" spans="1:20" ht="20.5" customHeight="1" x14ac:dyDescent="0.35">
      <c r="A24" s="81" t="s">
        <v>30</v>
      </c>
      <c r="B24" s="285">
        <v>89050</v>
      </c>
      <c r="C24" s="285" t="s">
        <v>31</v>
      </c>
      <c r="D24" s="81" t="s">
        <v>66</v>
      </c>
      <c r="E24" s="1" t="s">
        <v>67</v>
      </c>
      <c r="F24" s="26" t="s">
        <v>34</v>
      </c>
      <c r="G24" s="26">
        <f>+'Detailed Budget'!AO21</f>
        <v>28</v>
      </c>
      <c r="H24" s="42">
        <f>+(('Detailed Budget'!D21*'Detailed Budget'!C21)+('Detailed Budget'!Q21*'Detailed Budget'!P21)+('Detailed Budget'!AD21*'Detailed Budget'!AC21))/G24</f>
        <v>2567314.2857142859</v>
      </c>
      <c r="I24" s="42">
        <f t="shared" si="0"/>
        <v>583.24854562714506</v>
      </c>
      <c r="J24" s="63">
        <f t="shared" si="4"/>
        <v>71884800</v>
      </c>
      <c r="K24" s="63">
        <f t="shared" si="1"/>
        <v>16330.959277560061</v>
      </c>
      <c r="L24" s="96">
        <f t="shared" si="9"/>
        <v>71884800</v>
      </c>
      <c r="M24" s="96">
        <f t="shared" si="2"/>
        <v>16330.959277560061</v>
      </c>
      <c r="N24" s="64">
        <f>+'Detailed Budget'!F21</f>
        <v>1</v>
      </c>
      <c r="O24" s="151">
        <f t="shared" si="10"/>
        <v>0</v>
      </c>
      <c r="P24" s="151">
        <f t="shared" si="3"/>
        <v>0</v>
      </c>
      <c r="Q24" s="69">
        <f>+'Detailed Budget'!I21</f>
        <v>0</v>
      </c>
      <c r="R24" s="69">
        <f>+'Detailed Budget'!AV21</f>
        <v>1</v>
      </c>
      <c r="S24" s="75" t="s">
        <v>65</v>
      </c>
    </row>
    <row r="25" spans="1:20" ht="20.5" customHeight="1" x14ac:dyDescent="0.35">
      <c r="A25" s="2"/>
      <c r="B25" s="2"/>
      <c r="C25" s="2"/>
      <c r="D25" s="2"/>
      <c r="E25" s="2" t="s">
        <v>68</v>
      </c>
      <c r="F25" s="28"/>
      <c r="G25" s="60">
        <v>0.58289999999999997</v>
      </c>
      <c r="H25" s="38"/>
      <c r="I25" s="38"/>
      <c r="J25" s="48">
        <f>+SUM(J26:J43)</f>
        <v>922123616.1552</v>
      </c>
      <c r="K25" s="48">
        <f>SUM(K26:K43)</f>
        <v>209490.22914867953</v>
      </c>
      <c r="L25" s="149">
        <f>+SUM(L26:L43)</f>
        <v>816472243.91520011</v>
      </c>
      <c r="M25" s="149">
        <f>SUM(M26:M43)</f>
        <v>185488.09994097805</v>
      </c>
      <c r="N25" s="65"/>
      <c r="O25" s="150">
        <f>+SUM(O26:O43)</f>
        <v>105651372.24000001</v>
      </c>
      <c r="P25" s="150">
        <f>SUM(P26:P43)</f>
        <v>24002.12920770148</v>
      </c>
      <c r="Q25" s="5"/>
      <c r="R25" s="5"/>
      <c r="S25" s="74"/>
      <c r="T25" s="7"/>
    </row>
    <row r="26" spans="1:20" ht="20.5" customHeight="1" x14ac:dyDescent="0.35">
      <c r="A26" s="287" t="s">
        <v>30</v>
      </c>
      <c r="B26" s="288">
        <v>89050</v>
      </c>
      <c r="C26" s="288" t="s">
        <v>31</v>
      </c>
      <c r="D26" s="287" t="s">
        <v>69</v>
      </c>
      <c r="E26" s="289" t="str">
        <f t="shared" ref="E26:E40" si="11">+E7</f>
        <v>1.1. Program Coordinator</v>
      </c>
      <c r="F26" s="26" t="s">
        <v>70</v>
      </c>
      <c r="G26" s="26">
        <f>+'Detailed Budget'!AO23</f>
        <v>28</v>
      </c>
      <c r="H26" s="42">
        <f>+(('Detailed Budget'!D23*'Detailed Budget'!C23)+('Detailed Budget'!Q23*'Detailed Budget'!P23)+('Detailed Budget'!AC23*'Detailed Budget'!AD23))/G26</f>
        <v>1247072.9142857143</v>
      </c>
      <c r="I26" s="42">
        <f t="shared" ref="I26:I43" si="12">+H26/$E$73</f>
        <v>283.31298103838571</v>
      </c>
      <c r="J26" s="63">
        <f>+H26*G26</f>
        <v>34918041.600000001</v>
      </c>
      <c r="K26" s="63">
        <f t="shared" ref="K26:K43" si="13">+J26/$E$73</f>
        <v>7932.7634690748</v>
      </c>
      <c r="L26" s="96">
        <f>+J26*N26</f>
        <v>0</v>
      </c>
      <c r="M26" s="96">
        <f t="shared" ref="M26:M43" si="14">+L26/$E$73</f>
        <v>0</v>
      </c>
      <c r="N26" s="64">
        <f t="shared" ref="N26:N40" si="15">+N7</f>
        <v>0</v>
      </c>
      <c r="O26" s="151">
        <f>+J26*Q26</f>
        <v>34918041.600000001</v>
      </c>
      <c r="P26" s="151">
        <f t="shared" ref="P26:P43" si="16">+O26/$E$73</f>
        <v>7932.7634690748</v>
      </c>
      <c r="Q26" s="69">
        <v>1</v>
      </c>
      <c r="R26" s="69">
        <f t="shared" ref="R26:R40" si="17">+R7</f>
        <v>0.2</v>
      </c>
      <c r="S26" s="255" t="s">
        <v>71</v>
      </c>
    </row>
    <row r="27" spans="1:20" ht="20.5" customHeight="1" x14ac:dyDescent="0.35">
      <c r="A27" s="81" t="s">
        <v>30</v>
      </c>
      <c r="B27" s="285">
        <v>89050</v>
      </c>
      <c r="C27" s="285" t="s">
        <v>31</v>
      </c>
      <c r="D27" s="81" t="s">
        <v>72</v>
      </c>
      <c r="E27" s="1" t="str">
        <f t="shared" si="11"/>
        <v>1.2. Business Strengthening Coordinator</v>
      </c>
      <c r="F27" s="26" t="s">
        <v>70</v>
      </c>
      <c r="G27" s="26">
        <f>+'Detailed Budget'!AO24</f>
        <v>28</v>
      </c>
      <c r="H27" s="42">
        <f>+(('Detailed Budget'!D24*'Detailed Budget'!C24)+('Detailed Budget'!Q24*'Detailed Budget'!P24)+('Detailed Budget'!AC24*'Detailed Budget'!AD24))/G27</f>
        <v>2570217.2763428567</v>
      </c>
      <c r="I27" s="42">
        <f t="shared" si="12"/>
        <v>583.90805392011282</v>
      </c>
      <c r="J27" s="63">
        <f t="shared" ref="J27:J43" si="18">+H27*G27</f>
        <v>71966083.737599984</v>
      </c>
      <c r="K27" s="63">
        <f t="shared" si="13"/>
        <v>16349.425509763159</v>
      </c>
      <c r="L27" s="96">
        <f t="shared" ref="L27:L39" si="19">+J27*N27</f>
        <v>71966083.737599984</v>
      </c>
      <c r="M27" s="96">
        <f t="shared" si="14"/>
        <v>16349.425509763159</v>
      </c>
      <c r="N27" s="64">
        <f t="shared" si="15"/>
        <v>1</v>
      </c>
      <c r="O27" s="151">
        <f t="shared" ref="O27:O48" si="20">+J27*Q27</f>
        <v>0</v>
      </c>
      <c r="P27" s="151">
        <f t="shared" si="16"/>
        <v>0</v>
      </c>
      <c r="Q27" s="69">
        <v>0</v>
      </c>
      <c r="R27" s="69">
        <f t="shared" si="17"/>
        <v>1</v>
      </c>
      <c r="S27" s="256"/>
    </row>
    <row r="28" spans="1:20" ht="20.5" customHeight="1" x14ac:dyDescent="0.35">
      <c r="A28" s="81" t="s">
        <v>30</v>
      </c>
      <c r="B28" s="285">
        <v>89050</v>
      </c>
      <c r="C28" s="285" t="s">
        <v>31</v>
      </c>
      <c r="D28" s="81" t="s">
        <v>73</v>
      </c>
      <c r="E28" s="1" t="str">
        <f t="shared" si="11"/>
        <v>1.3. Cacao technical specialist</v>
      </c>
      <c r="F28" s="26" t="s">
        <v>70</v>
      </c>
      <c r="G28" s="26">
        <f>+'Detailed Budget'!AO25</f>
        <v>28</v>
      </c>
      <c r="H28" s="42">
        <f>+(('Detailed Budget'!D25*'Detailed Budget'!C25)+('Detailed Budget'!Q25*'Detailed Budget'!P25)+('Detailed Budget'!AC25*'Detailed Budget'!AD25))/G28</f>
        <v>2570217.2763428567</v>
      </c>
      <c r="I28" s="42">
        <f t="shared" si="12"/>
        <v>583.90805392011282</v>
      </c>
      <c r="J28" s="63">
        <f t="shared" si="18"/>
        <v>71966083.737599984</v>
      </c>
      <c r="K28" s="63">
        <f t="shared" si="13"/>
        <v>16349.425509763159</v>
      </c>
      <c r="L28" s="96">
        <f t="shared" si="19"/>
        <v>71966083.737599984</v>
      </c>
      <c r="M28" s="96">
        <f t="shared" si="14"/>
        <v>16349.425509763159</v>
      </c>
      <c r="N28" s="64">
        <f t="shared" si="15"/>
        <v>1</v>
      </c>
      <c r="O28" s="151">
        <f t="shared" si="20"/>
        <v>0</v>
      </c>
      <c r="P28" s="151">
        <f t="shared" si="16"/>
        <v>0</v>
      </c>
      <c r="Q28" s="69">
        <v>0</v>
      </c>
      <c r="R28" s="69">
        <f t="shared" si="17"/>
        <v>1</v>
      </c>
      <c r="S28" s="256"/>
    </row>
    <row r="29" spans="1:20" ht="20.5" customHeight="1" x14ac:dyDescent="0.35">
      <c r="A29" s="81" t="s">
        <v>30</v>
      </c>
      <c r="B29" s="285">
        <v>89050</v>
      </c>
      <c r="C29" s="285" t="s">
        <v>31</v>
      </c>
      <c r="D29" s="81" t="s">
        <v>74</v>
      </c>
      <c r="E29" s="1" t="str">
        <f t="shared" si="11"/>
        <v>1.4. Organizational Professional</v>
      </c>
      <c r="F29" s="26" t="s">
        <v>70</v>
      </c>
      <c r="G29" s="26">
        <f>+'Detailed Budget'!AO26</f>
        <v>28</v>
      </c>
      <c r="H29" s="42">
        <f>+(('Detailed Budget'!D26*'Detailed Budget'!C26)+('Detailed Budget'!Q26*'Detailed Budget'!P26)+('Detailed Budget'!AC26*'Detailed Budget'!AD26))/G29</f>
        <v>1995316.662857143</v>
      </c>
      <c r="I29" s="42">
        <f t="shared" si="12"/>
        <v>453.30076966141718</v>
      </c>
      <c r="J29" s="63">
        <f t="shared" si="18"/>
        <v>55868866.560000002</v>
      </c>
      <c r="K29" s="63">
        <f t="shared" si="13"/>
        <v>12692.421550519681</v>
      </c>
      <c r="L29" s="96">
        <f t="shared" si="19"/>
        <v>41901649.920000002</v>
      </c>
      <c r="M29" s="96">
        <f t="shared" si="14"/>
        <v>9519.3161628897597</v>
      </c>
      <c r="N29" s="64">
        <f t="shared" si="15"/>
        <v>0.75</v>
      </c>
      <c r="O29" s="151">
        <f t="shared" si="20"/>
        <v>13967216.640000001</v>
      </c>
      <c r="P29" s="151">
        <f t="shared" si="16"/>
        <v>3173.1053876299202</v>
      </c>
      <c r="Q29" s="69">
        <v>0.25</v>
      </c>
      <c r="R29" s="69">
        <f t="shared" si="17"/>
        <v>0.8</v>
      </c>
      <c r="S29" s="256"/>
    </row>
    <row r="30" spans="1:20" ht="20.5" customHeight="1" x14ac:dyDescent="0.35">
      <c r="A30" s="81" t="s">
        <v>30</v>
      </c>
      <c r="B30" s="285">
        <v>89050</v>
      </c>
      <c r="C30" s="285" t="s">
        <v>31</v>
      </c>
      <c r="D30" s="81" t="s">
        <v>75</v>
      </c>
      <c r="E30" s="1" t="str">
        <f t="shared" si="11"/>
        <v>1.5. F&amp;A Specialist</v>
      </c>
      <c r="F30" s="26" t="s">
        <v>70</v>
      </c>
      <c r="G30" s="26">
        <f>+'Detailed Budget'!AO27</f>
        <v>28</v>
      </c>
      <c r="H30" s="42">
        <f>+(('Detailed Budget'!D27*'Detailed Budget'!C27)+('Detailed Budget'!Q27*'Detailed Budget'!P27)+('Detailed Budget'!AC27*'Detailed Budget'!AD27))/G30</f>
        <v>1184719.2685714285</v>
      </c>
      <c r="I30" s="42">
        <f t="shared" si="12"/>
        <v>269.14733198646638</v>
      </c>
      <c r="J30" s="63">
        <f t="shared" si="18"/>
        <v>33172139.519999996</v>
      </c>
      <c r="K30" s="63">
        <f t="shared" si="13"/>
        <v>7536.1252956210592</v>
      </c>
      <c r="L30" s="96">
        <f t="shared" si="19"/>
        <v>33172139.519999996</v>
      </c>
      <c r="M30" s="96">
        <f t="shared" si="14"/>
        <v>7536.1252956210592</v>
      </c>
      <c r="N30" s="64">
        <f t="shared" si="15"/>
        <v>1</v>
      </c>
      <c r="O30" s="151">
        <f t="shared" si="20"/>
        <v>0</v>
      </c>
      <c r="P30" s="151">
        <f t="shared" si="16"/>
        <v>0</v>
      </c>
      <c r="Q30" s="69">
        <v>0</v>
      </c>
      <c r="R30" s="69">
        <f t="shared" si="17"/>
        <v>0.5</v>
      </c>
      <c r="S30" s="256"/>
    </row>
    <row r="31" spans="1:20" ht="20.5" customHeight="1" x14ac:dyDescent="0.35">
      <c r="A31" s="81" t="s">
        <v>30</v>
      </c>
      <c r="B31" s="285">
        <v>89050</v>
      </c>
      <c r="C31" s="285" t="s">
        <v>31</v>
      </c>
      <c r="D31" s="286" t="s">
        <v>76</v>
      </c>
      <c r="E31" s="1" t="str">
        <f t="shared" si="11"/>
        <v>1.6. Business Partner Professional Antioquia, Córdoba 1</v>
      </c>
      <c r="F31" s="26" t="s">
        <v>70</v>
      </c>
      <c r="G31" s="26">
        <f>+'Detailed Budget'!AO28</f>
        <v>27</v>
      </c>
      <c r="H31" s="42">
        <f>+(('Detailed Budget'!D28*'Detailed Budget'!C28)+('Detailed Budget'!Q28*'Detailed Budget'!P28)+('Detailed Budget'!AC28*'Detailed Budget'!AD28))/G31</f>
        <v>2173439.8000000003</v>
      </c>
      <c r="I31" s="42">
        <f t="shared" si="12"/>
        <v>493.76720622479701</v>
      </c>
      <c r="J31" s="63">
        <f t="shared" si="18"/>
        <v>58682874.600000009</v>
      </c>
      <c r="K31" s="63">
        <f t="shared" si="13"/>
        <v>13331.714568069519</v>
      </c>
      <c r="L31" s="96">
        <f t="shared" si="19"/>
        <v>58682874.600000009</v>
      </c>
      <c r="M31" s="96">
        <f t="shared" si="14"/>
        <v>13331.714568069519</v>
      </c>
      <c r="N31" s="64">
        <f t="shared" si="15"/>
        <v>1</v>
      </c>
      <c r="O31" s="151">
        <f t="shared" si="20"/>
        <v>0</v>
      </c>
      <c r="P31" s="151">
        <f t="shared" si="16"/>
        <v>0</v>
      </c>
      <c r="Q31" s="69">
        <v>0</v>
      </c>
      <c r="R31" s="69">
        <f t="shared" si="17"/>
        <v>1</v>
      </c>
      <c r="S31" s="256"/>
    </row>
    <row r="32" spans="1:20" ht="20.5" customHeight="1" x14ac:dyDescent="0.35">
      <c r="A32" s="81" t="s">
        <v>30</v>
      </c>
      <c r="B32" s="285">
        <v>89050</v>
      </c>
      <c r="C32" s="285" t="s">
        <v>31</v>
      </c>
      <c r="D32" s="286" t="s">
        <v>76</v>
      </c>
      <c r="E32" s="1" t="str">
        <f t="shared" si="11"/>
        <v>1.7. Business Partner Professional Antioquia, Córdoba 2</v>
      </c>
      <c r="F32" s="26" t="s">
        <v>70</v>
      </c>
      <c r="G32" s="26">
        <f>+'Detailed Budget'!AO29</f>
        <v>24</v>
      </c>
      <c r="H32" s="42">
        <f>+(('Detailed Budget'!D29*'Detailed Budget'!C29)+('Detailed Budget'!Q29*'Detailed Budget'!P29)+('Detailed Budget'!AC29*'Detailed Budget'!AD29))/G32</f>
        <v>2142157.5</v>
      </c>
      <c r="I32" s="42">
        <f t="shared" si="12"/>
        <v>486.66041915147383</v>
      </c>
      <c r="J32" s="63">
        <f t="shared" si="18"/>
        <v>51411780</v>
      </c>
      <c r="K32" s="63">
        <f t="shared" si="13"/>
        <v>11679.850059635372</v>
      </c>
      <c r="L32" s="96">
        <f t="shared" si="19"/>
        <v>51411780</v>
      </c>
      <c r="M32" s="96">
        <f t="shared" si="14"/>
        <v>11679.850059635372</v>
      </c>
      <c r="N32" s="64">
        <f t="shared" si="15"/>
        <v>1</v>
      </c>
      <c r="O32" s="151">
        <f t="shared" si="20"/>
        <v>0</v>
      </c>
      <c r="P32" s="151">
        <f t="shared" si="16"/>
        <v>0</v>
      </c>
      <c r="Q32" s="69">
        <v>0</v>
      </c>
      <c r="R32" s="69">
        <f t="shared" si="17"/>
        <v>1</v>
      </c>
      <c r="S32" s="256"/>
    </row>
    <row r="33" spans="1:19" ht="20.5" customHeight="1" x14ac:dyDescent="0.35">
      <c r="A33" s="81" t="s">
        <v>30</v>
      </c>
      <c r="B33" s="285">
        <v>89050</v>
      </c>
      <c r="C33" s="285" t="s">
        <v>31</v>
      </c>
      <c r="D33" s="286" t="s">
        <v>76</v>
      </c>
      <c r="E33" s="1" t="str">
        <f t="shared" si="11"/>
        <v>1.8. Business Partner Professional Caldas</v>
      </c>
      <c r="F33" s="26" t="s">
        <v>70</v>
      </c>
      <c r="G33" s="26">
        <f>+'Detailed Budget'!AO30</f>
        <v>27</v>
      </c>
      <c r="H33" s="42">
        <f>+(('Detailed Budget'!D30*'Detailed Budget'!C30)+('Detailed Budget'!Q30*'Detailed Budget'!P30)+('Detailed Budget'!AC30*'Detailed Budget'!AD30))/G33</f>
        <v>2173439.8000000003</v>
      </c>
      <c r="I33" s="42">
        <f t="shared" si="12"/>
        <v>493.76720622479701</v>
      </c>
      <c r="J33" s="63">
        <f t="shared" si="18"/>
        <v>58682874.600000009</v>
      </c>
      <c r="K33" s="63">
        <f t="shared" si="13"/>
        <v>13331.714568069519</v>
      </c>
      <c r="L33" s="96">
        <f t="shared" si="19"/>
        <v>58682874.600000009</v>
      </c>
      <c r="M33" s="96">
        <f t="shared" si="14"/>
        <v>13331.714568069519</v>
      </c>
      <c r="N33" s="64">
        <f t="shared" si="15"/>
        <v>1</v>
      </c>
      <c r="O33" s="151">
        <f t="shared" si="20"/>
        <v>0</v>
      </c>
      <c r="P33" s="151">
        <f t="shared" si="16"/>
        <v>0</v>
      </c>
      <c r="Q33" s="69">
        <v>0</v>
      </c>
      <c r="R33" s="69">
        <f t="shared" si="17"/>
        <v>1</v>
      </c>
      <c r="S33" s="256"/>
    </row>
    <row r="34" spans="1:19" ht="20.5" customHeight="1" x14ac:dyDescent="0.35">
      <c r="A34" s="81" t="s">
        <v>30</v>
      </c>
      <c r="B34" s="285">
        <v>89050</v>
      </c>
      <c r="C34" s="285" t="s">
        <v>31</v>
      </c>
      <c r="D34" s="286" t="s">
        <v>76</v>
      </c>
      <c r="E34" s="1" t="str">
        <f t="shared" si="11"/>
        <v>1.9. Business Partner Professional Guajira, Cesar, Magdalena</v>
      </c>
      <c r="F34" s="26" t="s">
        <v>70</v>
      </c>
      <c r="G34" s="26">
        <f>+'Detailed Budget'!AO31</f>
        <v>27</v>
      </c>
      <c r="H34" s="42">
        <f>+(('Detailed Budget'!D31*'Detailed Budget'!C31)+('Detailed Budget'!Q31*'Detailed Budget'!P31)+('Detailed Budget'!AC31*'Detailed Budget'!AD31))/G34</f>
        <v>2173439.8000000003</v>
      </c>
      <c r="I34" s="42">
        <f t="shared" si="12"/>
        <v>493.76720622479701</v>
      </c>
      <c r="J34" s="63">
        <f t="shared" si="18"/>
        <v>58682874.600000009</v>
      </c>
      <c r="K34" s="63">
        <f t="shared" si="13"/>
        <v>13331.714568069519</v>
      </c>
      <c r="L34" s="96">
        <f t="shared" si="19"/>
        <v>58682874.600000009</v>
      </c>
      <c r="M34" s="96">
        <f t="shared" si="14"/>
        <v>13331.714568069519</v>
      </c>
      <c r="N34" s="64">
        <f t="shared" si="15"/>
        <v>1</v>
      </c>
      <c r="O34" s="151">
        <f t="shared" si="20"/>
        <v>0</v>
      </c>
      <c r="P34" s="151">
        <f t="shared" si="16"/>
        <v>0</v>
      </c>
      <c r="Q34" s="69">
        <v>0</v>
      </c>
      <c r="R34" s="69">
        <f t="shared" si="17"/>
        <v>1</v>
      </c>
      <c r="S34" s="256"/>
    </row>
    <row r="35" spans="1:19" ht="20.5" customHeight="1" x14ac:dyDescent="0.35">
      <c r="A35" s="81" t="s">
        <v>30</v>
      </c>
      <c r="B35" s="285">
        <v>89050</v>
      </c>
      <c r="C35" s="285" t="s">
        <v>31</v>
      </c>
      <c r="D35" s="286" t="s">
        <v>76</v>
      </c>
      <c r="E35" s="1" t="str">
        <f t="shared" si="11"/>
        <v>1.10. Business Partner Professional Huila</v>
      </c>
      <c r="F35" s="26" t="s">
        <v>70</v>
      </c>
      <c r="G35" s="26">
        <f>+'Detailed Budget'!AO32</f>
        <v>27</v>
      </c>
      <c r="H35" s="42">
        <f>+(('Detailed Budget'!D32*'Detailed Budget'!C32)+('Detailed Budget'!Q32*'Detailed Budget'!P32)+('Detailed Budget'!AC32*'Detailed Budget'!AD32))/G35</f>
        <v>2173439.8000000003</v>
      </c>
      <c r="I35" s="42">
        <f t="shared" si="12"/>
        <v>493.76720622479701</v>
      </c>
      <c r="J35" s="63">
        <f t="shared" si="18"/>
        <v>58682874.600000009</v>
      </c>
      <c r="K35" s="63">
        <f t="shared" si="13"/>
        <v>13331.714568069519</v>
      </c>
      <c r="L35" s="96">
        <f t="shared" si="19"/>
        <v>58682874.600000009</v>
      </c>
      <c r="M35" s="96">
        <f t="shared" si="14"/>
        <v>13331.714568069519</v>
      </c>
      <c r="N35" s="64">
        <f t="shared" si="15"/>
        <v>1</v>
      </c>
      <c r="O35" s="151">
        <f t="shared" si="20"/>
        <v>0</v>
      </c>
      <c r="P35" s="151">
        <f t="shared" si="16"/>
        <v>0</v>
      </c>
      <c r="Q35" s="69">
        <v>0</v>
      </c>
      <c r="R35" s="69">
        <f t="shared" si="17"/>
        <v>1</v>
      </c>
      <c r="S35" s="256"/>
    </row>
    <row r="36" spans="1:19" ht="20.5" customHeight="1" x14ac:dyDescent="0.35">
      <c r="A36" s="81" t="s">
        <v>30</v>
      </c>
      <c r="B36" s="285">
        <v>89050</v>
      </c>
      <c r="C36" s="285" t="s">
        <v>31</v>
      </c>
      <c r="D36" s="286" t="s">
        <v>76</v>
      </c>
      <c r="E36" s="1" t="str">
        <f t="shared" si="11"/>
        <v>1.11. Business Partner Professional Santander and Bolivar</v>
      </c>
      <c r="F36" s="26" t="s">
        <v>70</v>
      </c>
      <c r="G36" s="26">
        <f>+'Detailed Budget'!AO33</f>
        <v>24</v>
      </c>
      <c r="H36" s="42">
        <f>+(('Detailed Budget'!D33*'Detailed Budget'!C33)+('Detailed Budget'!Q33*'Detailed Budget'!P33)+('Detailed Budget'!AC33*'Detailed Budget'!AD33))/G36</f>
        <v>2142157.5</v>
      </c>
      <c r="I36" s="42">
        <f t="shared" si="12"/>
        <v>486.66041915147383</v>
      </c>
      <c r="J36" s="63">
        <f t="shared" si="18"/>
        <v>51411780</v>
      </c>
      <c r="K36" s="63">
        <f t="shared" si="13"/>
        <v>11679.850059635372</v>
      </c>
      <c r="L36" s="96">
        <f t="shared" si="19"/>
        <v>51411780</v>
      </c>
      <c r="M36" s="96">
        <f t="shared" si="14"/>
        <v>11679.850059635372</v>
      </c>
      <c r="N36" s="64">
        <f t="shared" si="15"/>
        <v>1</v>
      </c>
      <c r="O36" s="151">
        <f t="shared" si="20"/>
        <v>0</v>
      </c>
      <c r="P36" s="151">
        <f t="shared" si="16"/>
        <v>0</v>
      </c>
      <c r="Q36" s="69">
        <v>0</v>
      </c>
      <c r="R36" s="69">
        <f t="shared" si="17"/>
        <v>1</v>
      </c>
      <c r="S36" s="256"/>
    </row>
    <row r="37" spans="1:19" ht="20.5" customHeight="1" x14ac:dyDescent="0.35">
      <c r="A37" s="81" t="s">
        <v>30</v>
      </c>
      <c r="B37" s="285">
        <v>89050</v>
      </c>
      <c r="C37" s="285" t="s">
        <v>31</v>
      </c>
      <c r="D37" s="286" t="s">
        <v>76</v>
      </c>
      <c r="E37" s="1" t="str">
        <f t="shared" si="11"/>
        <v>1.12. Business Partner Professional Cauca</v>
      </c>
      <c r="F37" s="26" t="s">
        <v>70</v>
      </c>
      <c r="G37" s="26">
        <f>+'Detailed Budget'!AO34</f>
        <v>27</v>
      </c>
      <c r="H37" s="42">
        <f>+(('Detailed Budget'!D34*'Detailed Budget'!C34)+('Detailed Budget'!Q34*'Detailed Budget'!P34)+('Detailed Budget'!AC34*'Detailed Budget'!AD34))/G37</f>
        <v>2173439.8000000003</v>
      </c>
      <c r="I37" s="42">
        <f t="shared" si="12"/>
        <v>493.76720622479701</v>
      </c>
      <c r="J37" s="63">
        <f t="shared" si="18"/>
        <v>58682874.600000009</v>
      </c>
      <c r="K37" s="63">
        <f t="shared" si="13"/>
        <v>13331.714568069519</v>
      </c>
      <c r="L37" s="96">
        <f t="shared" si="19"/>
        <v>58682874.600000009</v>
      </c>
      <c r="M37" s="96">
        <f t="shared" si="14"/>
        <v>13331.714568069519</v>
      </c>
      <c r="N37" s="64">
        <f t="shared" si="15"/>
        <v>1</v>
      </c>
      <c r="O37" s="151">
        <f t="shared" si="20"/>
        <v>0</v>
      </c>
      <c r="P37" s="151">
        <f t="shared" si="16"/>
        <v>0</v>
      </c>
      <c r="Q37" s="69">
        <v>0</v>
      </c>
      <c r="R37" s="69">
        <f t="shared" si="17"/>
        <v>1</v>
      </c>
      <c r="S37" s="256"/>
    </row>
    <row r="38" spans="1:19" ht="20.5" customHeight="1" x14ac:dyDescent="0.35">
      <c r="A38" s="81" t="s">
        <v>30</v>
      </c>
      <c r="B38" s="285">
        <v>89050</v>
      </c>
      <c r="C38" s="285" t="s">
        <v>31</v>
      </c>
      <c r="D38" s="286" t="s">
        <v>76</v>
      </c>
      <c r="E38" s="1" t="str">
        <f t="shared" si="11"/>
        <v>1.13. Business Partner Professional Tolima 1</v>
      </c>
      <c r="F38" s="26" t="s">
        <v>70</v>
      </c>
      <c r="G38" s="26">
        <f>+'Detailed Budget'!AO35</f>
        <v>27</v>
      </c>
      <c r="H38" s="42">
        <f>+(('Detailed Budget'!D35*'Detailed Budget'!C35)+('Detailed Budget'!Q35*'Detailed Budget'!P35)+('Detailed Budget'!AC35*'Detailed Budget'!AD35))/G38</f>
        <v>2173439.8000000003</v>
      </c>
      <c r="I38" s="42">
        <f t="shared" si="12"/>
        <v>493.76720622479701</v>
      </c>
      <c r="J38" s="63">
        <f t="shared" si="18"/>
        <v>58682874.600000009</v>
      </c>
      <c r="K38" s="63">
        <f t="shared" si="13"/>
        <v>13331.714568069519</v>
      </c>
      <c r="L38" s="96">
        <f t="shared" si="19"/>
        <v>58682874.600000009</v>
      </c>
      <c r="M38" s="96">
        <f t="shared" si="14"/>
        <v>13331.714568069519</v>
      </c>
      <c r="N38" s="64">
        <f t="shared" si="15"/>
        <v>1</v>
      </c>
      <c r="O38" s="151">
        <f t="shared" si="20"/>
        <v>0</v>
      </c>
      <c r="P38" s="151">
        <f t="shared" si="16"/>
        <v>0</v>
      </c>
      <c r="Q38" s="69">
        <v>0</v>
      </c>
      <c r="R38" s="69">
        <f t="shared" si="17"/>
        <v>1</v>
      </c>
      <c r="S38" s="256"/>
    </row>
    <row r="39" spans="1:19" ht="20.5" customHeight="1" x14ac:dyDescent="0.35">
      <c r="A39" s="81" t="s">
        <v>30</v>
      </c>
      <c r="B39" s="285">
        <v>89050</v>
      </c>
      <c r="C39" s="285" t="s">
        <v>31</v>
      </c>
      <c r="D39" s="286" t="s">
        <v>76</v>
      </c>
      <c r="E39" s="1" t="str">
        <f t="shared" si="11"/>
        <v>1.14. Business Partner Professional Tolima 2</v>
      </c>
      <c r="F39" s="26" t="s">
        <v>70</v>
      </c>
      <c r="G39" s="26">
        <f>+'Detailed Budget'!AO36</f>
        <v>27</v>
      </c>
      <c r="H39" s="42">
        <f>+(('Detailed Budget'!D36*'Detailed Budget'!C36)+('Detailed Budget'!Q36*'Detailed Budget'!P36)+('Detailed Budget'!AC36*'Detailed Budget'!AD36))/G39</f>
        <v>2173439.8000000003</v>
      </c>
      <c r="I39" s="42">
        <f t="shared" si="12"/>
        <v>493.76720622479701</v>
      </c>
      <c r="J39" s="63">
        <f t="shared" si="18"/>
        <v>58682874.600000009</v>
      </c>
      <c r="K39" s="63">
        <f t="shared" si="13"/>
        <v>13331.714568069519</v>
      </c>
      <c r="L39" s="96">
        <f t="shared" si="19"/>
        <v>58682874.600000009</v>
      </c>
      <c r="M39" s="96">
        <f t="shared" si="14"/>
        <v>13331.714568069519</v>
      </c>
      <c r="N39" s="64">
        <f t="shared" si="15"/>
        <v>1</v>
      </c>
      <c r="O39" s="151">
        <f t="shared" si="20"/>
        <v>0</v>
      </c>
      <c r="P39" s="151">
        <f t="shared" si="16"/>
        <v>0</v>
      </c>
      <c r="Q39" s="69">
        <v>0</v>
      </c>
      <c r="R39" s="69">
        <f t="shared" si="17"/>
        <v>1</v>
      </c>
      <c r="S39" s="256"/>
    </row>
    <row r="40" spans="1:19" ht="20.5" customHeight="1" x14ac:dyDescent="0.35">
      <c r="A40" s="287" t="s">
        <v>30</v>
      </c>
      <c r="B40" s="288">
        <v>89050</v>
      </c>
      <c r="C40" s="288" t="s">
        <v>31</v>
      </c>
      <c r="D40" s="287" t="s">
        <v>76</v>
      </c>
      <c r="E40" s="289" t="str">
        <f t="shared" si="11"/>
        <v>1.15. Business Partner Professional Tolima 3</v>
      </c>
      <c r="F40" s="26" t="s">
        <v>70</v>
      </c>
      <c r="G40" s="26">
        <f>+'Detailed Budget'!AO37</f>
        <v>24</v>
      </c>
      <c r="H40" s="42">
        <f>+(('Detailed Budget'!D37*'Detailed Budget'!C37)+('Detailed Budget'!Q37*'Detailed Budget'!P37)+('Detailed Budget'!AC37*'Detailed Budget'!AD37))/G40</f>
        <v>1071078.75</v>
      </c>
      <c r="I40" s="42">
        <f t="shared" si="12"/>
        <v>243.33020957573692</v>
      </c>
      <c r="J40" s="63">
        <f t="shared" si="18"/>
        <v>25705890</v>
      </c>
      <c r="K40" s="63">
        <f t="shared" si="13"/>
        <v>5839.9250298176858</v>
      </c>
      <c r="L40" s="96">
        <f t="shared" ref="L40:L41" si="21">+J40*N40</f>
        <v>0</v>
      </c>
      <c r="M40" s="96">
        <f t="shared" si="14"/>
        <v>0</v>
      </c>
      <c r="N40" s="64">
        <f t="shared" si="15"/>
        <v>0</v>
      </c>
      <c r="O40" s="151">
        <f t="shared" ref="O40:O41" si="22">+J40*Q40</f>
        <v>25705890</v>
      </c>
      <c r="P40" s="151">
        <f t="shared" si="16"/>
        <v>5839.9250298176858</v>
      </c>
      <c r="Q40" s="69">
        <v>1</v>
      </c>
      <c r="R40" s="69">
        <f t="shared" si="17"/>
        <v>0.5</v>
      </c>
      <c r="S40" s="256"/>
    </row>
    <row r="41" spans="1:19" ht="20.5" customHeight="1" x14ac:dyDescent="0.35">
      <c r="A41" s="287" t="s">
        <v>30</v>
      </c>
      <c r="B41" s="288">
        <v>89050</v>
      </c>
      <c r="C41" s="288" t="s">
        <v>31</v>
      </c>
      <c r="D41" s="287" t="s">
        <v>77</v>
      </c>
      <c r="E41" s="289" t="str">
        <f t="shared" ref="E41:E43" si="23">+E22</f>
        <v>1.16. Administrative Coordinator</v>
      </c>
      <c r="F41" s="26" t="s">
        <v>70</v>
      </c>
      <c r="G41" s="26">
        <f>+'Detailed Budget'!AO38</f>
        <v>28</v>
      </c>
      <c r="H41" s="42">
        <f>+(('Detailed Budget'!D38*'Detailed Budget'!C38)+('Detailed Budget'!Q38*'Detailed Budget'!P38)+('Detailed Budget'!AC38*'Detailed Budget'!AD38))/G41</f>
        <v>1109293.7142857143</v>
      </c>
      <c r="I41" s="42">
        <f t="shared" si="12"/>
        <v>252.0119757563956</v>
      </c>
      <c r="J41" s="63">
        <f t="shared" si="18"/>
        <v>31060224</v>
      </c>
      <c r="K41" s="63">
        <f t="shared" si="13"/>
        <v>7056.3353211790763</v>
      </c>
      <c r="L41" s="96">
        <f t="shared" si="21"/>
        <v>0</v>
      </c>
      <c r="M41" s="96">
        <f t="shared" si="14"/>
        <v>0</v>
      </c>
      <c r="N41" s="64">
        <f t="shared" ref="N41:N43" si="24">+N22</f>
        <v>0</v>
      </c>
      <c r="O41" s="151">
        <f t="shared" si="22"/>
        <v>31060224</v>
      </c>
      <c r="P41" s="151">
        <f t="shared" si="16"/>
        <v>7056.3353211790763</v>
      </c>
      <c r="Q41" s="69">
        <v>1</v>
      </c>
      <c r="R41" s="69">
        <f t="shared" ref="R41:R43" si="25">+R22</f>
        <v>0.25</v>
      </c>
      <c r="S41" s="256"/>
    </row>
    <row r="42" spans="1:19" ht="20.5" customHeight="1" x14ac:dyDescent="0.35">
      <c r="A42" s="81" t="s">
        <v>30</v>
      </c>
      <c r="B42" s="285">
        <v>89050</v>
      </c>
      <c r="C42" s="285" t="s">
        <v>31</v>
      </c>
      <c r="D42" s="81" t="s">
        <v>78</v>
      </c>
      <c r="E42" s="1" t="str">
        <f t="shared" si="23"/>
        <v>1.17. C4D-IC Project Coordinator</v>
      </c>
      <c r="F42" s="26" t="s">
        <v>70</v>
      </c>
      <c r="G42" s="26">
        <f>+'Detailed Budget'!AO39</f>
        <v>28</v>
      </c>
      <c r="H42" s="42">
        <f>+(('Detailed Budget'!D39*'Detailed Budget'!C39)+('Detailed Budget'!Q39*'Detailed Budget'!P39)+('Detailed Budget'!AC39*'Detailed Budget'!AD39))/G42</f>
        <v>1663940.5714285714</v>
      </c>
      <c r="I42" s="42">
        <f t="shared" si="12"/>
        <v>378.01796363459334</v>
      </c>
      <c r="J42" s="63">
        <f t="shared" si="18"/>
        <v>46590336</v>
      </c>
      <c r="K42" s="63">
        <f t="shared" si="13"/>
        <v>10584.502981768615</v>
      </c>
      <c r="L42" s="96">
        <f t="shared" ref="L42:L43" si="26">+J42*N42</f>
        <v>46590336</v>
      </c>
      <c r="M42" s="96">
        <f t="shared" si="14"/>
        <v>10584.502981768615</v>
      </c>
      <c r="N42" s="64">
        <f t="shared" si="24"/>
        <v>1</v>
      </c>
      <c r="O42" s="151">
        <f t="shared" ref="O42:O43" si="27">+J42*Q42</f>
        <v>0</v>
      </c>
      <c r="P42" s="151">
        <f t="shared" si="16"/>
        <v>0</v>
      </c>
      <c r="Q42" s="69">
        <v>0</v>
      </c>
      <c r="R42" s="69">
        <f t="shared" si="25"/>
        <v>1</v>
      </c>
      <c r="S42" s="256"/>
    </row>
    <row r="43" spans="1:19" ht="20.5" customHeight="1" x14ac:dyDescent="0.35">
      <c r="A43" s="81" t="s">
        <v>30</v>
      </c>
      <c r="B43" s="285">
        <v>89050</v>
      </c>
      <c r="C43" s="285" t="s">
        <v>31</v>
      </c>
      <c r="D43" s="81" t="s">
        <v>79</v>
      </c>
      <c r="E43" s="1" t="str">
        <f t="shared" si="23"/>
        <v>1.18. Administrative Assistant</v>
      </c>
      <c r="F43" s="26" t="s">
        <v>70</v>
      </c>
      <c r="G43" s="26">
        <f>+'Detailed Budget'!AO40</f>
        <v>28</v>
      </c>
      <c r="H43" s="42">
        <f>+(('Detailed Budget'!D40*'Detailed Budget'!C40)+('Detailed Budget'!Q40*'Detailed Budget'!P40)+('Detailed Budget'!AC40*'Detailed Budget'!AD40))/G43</f>
        <v>1331152.4571428571</v>
      </c>
      <c r="I43" s="42">
        <f t="shared" si="12"/>
        <v>302.41437090767471</v>
      </c>
      <c r="J43" s="67">
        <f t="shared" si="18"/>
        <v>37272268.799999997</v>
      </c>
      <c r="K43" s="63">
        <f t="shared" si="13"/>
        <v>8467.6023854148916</v>
      </c>
      <c r="L43" s="96">
        <f t="shared" si="26"/>
        <v>37272268.799999997</v>
      </c>
      <c r="M43" s="96">
        <f t="shared" si="14"/>
        <v>8467.6023854148916</v>
      </c>
      <c r="N43" s="64">
        <f t="shared" si="24"/>
        <v>1</v>
      </c>
      <c r="O43" s="151">
        <f t="shared" si="27"/>
        <v>0</v>
      </c>
      <c r="P43" s="151">
        <f t="shared" si="16"/>
        <v>0</v>
      </c>
      <c r="Q43" s="69">
        <v>0</v>
      </c>
      <c r="R43" s="69">
        <f t="shared" si="25"/>
        <v>1</v>
      </c>
      <c r="S43" s="257"/>
    </row>
    <row r="44" spans="1:19" ht="20.5" customHeight="1" x14ac:dyDescent="0.35">
      <c r="A44" s="2"/>
      <c r="B44" s="2"/>
      <c r="C44" s="2"/>
      <c r="D44" s="2"/>
      <c r="E44" s="2" t="s">
        <v>80</v>
      </c>
      <c r="F44" s="28"/>
      <c r="G44" s="28"/>
      <c r="H44" s="38"/>
      <c r="I44" s="38"/>
      <c r="J44" s="48">
        <f>+SUM(J45:J48)</f>
        <v>288300000</v>
      </c>
      <c r="K44" s="48">
        <f>SUM(K45:K48)</f>
        <v>65496.677457829275</v>
      </c>
      <c r="L44" s="149">
        <f>+SUM(L45:L48)</f>
        <v>288300000</v>
      </c>
      <c r="M44" s="149">
        <f>SUM(M45:M48)</f>
        <v>65496.677457829275</v>
      </c>
      <c r="N44" s="65"/>
      <c r="O44" s="150">
        <f>+SUM(O45:O48)</f>
        <v>0</v>
      </c>
      <c r="P44" s="150">
        <f>SUM(P45:P48)</f>
        <v>0</v>
      </c>
      <c r="Q44" s="5"/>
      <c r="R44" s="5"/>
      <c r="S44" s="74"/>
    </row>
    <row r="45" spans="1:19" ht="20.5" customHeight="1" x14ac:dyDescent="0.35">
      <c r="A45" s="81" t="s">
        <v>30</v>
      </c>
      <c r="B45" s="285">
        <v>89050</v>
      </c>
      <c r="C45" s="285" t="s">
        <v>31</v>
      </c>
      <c r="D45" s="41" t="s">
        <v>81</v>
      </c>
      <c r="E45" s="41" t="s">
        <v>82</v>
      </c>
      <c r="F45" s="26" t="s">
        <v>83</v>
      </c>
      <c r="G45" s="26">
        <f>('Detailed Budget'!C42+'Detailed Budget'!P42+'Detailed Budget'!AC42)</f>
        <v>51</v>
      </c>
      <c r="H45" s="42">
        <f>'Detailed Budget'!D42</f>
        <v>1000000</v>
      </c>
      <c r="I45" s="42">
        <f>+H45/$E$73</f>
        <v>227.1823706480377</v>
      </c>
      <c r="J45" s="43">
        <f>+G45*H45</f>
        <v>51000000</v>
      </c>
      <c r="K45" s="43">
        <f>+J45/$E$73</f>
        <v>11586.300903049923</v>
      </c>
      <c r="L45" s="96">
        <f>+J45*N45</f>
        <v>51000000</v>
      </c>
      <c r="M45" s="96">
        <f>+L45/$E$73</f>
        <v>11586.300903049923</v>
      </c>
      <c r="N45" s="64">
        <v>1</v>
      </c>
      <c r="O45" s="151">
        <f t="shared" si="20"/>
        <v>0</v>
      </c>
      <c r="P45" s="151">
        <f>+O45/$E$73</f>
        <v>0</v>
      </c>
      <c r="Q45" s="64">
        <v>0</v>
      </c>
      <c r="R45" s="26"/>
      <c r="S45" s="52" t="s">
        <v>84</v>
      </c>
    </row>
    <row r="46" spans="1:19" ht="20.5" customHeight="1" x14ac:dyDescent="0.35">
      <c r="A46" s="81" t="s">
        <v>30</v>
      </c>
      <c r="B46" s="285">
        <v>89050</v>
      </c>
      <c r="C46" s="285" t="s">
        <v>31</v>
      </c>
      <c r="D46" s="41" t="s">
        <v>85</v>
      </c>
      <c r="E46" s="41" t="s">
        <v>86</v>
      </c>
      <c r="F46" s="26" t="s">
        <v>87</v>
      </c>
      <c r="G46" s="26">
        <f>('Detailed Budget'!C43+'Detailed Budget'!P43+'Detailed Budget'!AC43)</f>
        <v>375</v>
      </c>
      <c r="H46" s="42">
        <f>'Detailed Budget'!D43</f>
        <v>150000</v>
      </c>
      <c r="I46" s="42">
        <f>+H46/$E$73</f>
        <v>34.07735559720566</v>
      </c>
      <c r="J46" s="43">
        <f>+G46*H46</f>
        <v>56250000</v>
      </c>
      <c r="K46" s="43">
        <f>+J46/$E$73</f>
        <v>12779.008348952122</v>
      </c>
      <c r="L46" s="96">
        <f>+J46*N46</f>
        <v>56250000</v>
      </c>
      <c r="M46" s="96">
        <f>+L46/$E$73</f>
        <v>12779.008348952122</v>
      </c>
      <c r="N46" s="64">
        <v>1</v>
      </c>
      <c r="O46" s="151">
        <f t="shared" si="20"/>
        <v>0</v>
      </c>
      <c r="P46" s="151">
        <f>+O46/$E$73</f>
        <v>0</v>
      </c>
      <c r="Q46" s="64">
        <v>0</v>
      </c>
      <c r="R46" s="26"/>
      <c r="S46" s="76" t="s">
        <v>88</v>
      </c>
    </row>
    <row r="47" spans="1:19" ht="20.5" customHeight="1" x14ac:dyDescent="0.35">
      <c r="A47" s="81" t="s">
        <v>30</v>
      </c>
      <c r="B47" s="285">
        <v>89050</v>
      </c>
      <c r="C47" s="285" t="s">
        <v>31</v>
      </c>
      <c r="D47" s="41" t="s">
        <v>89</v>
      </c>
      <c r="E47" s="41" t="s">
        <v>90</v>
      </c>
      <c r="F47" s="26" t="s">
        <v>91</v>
      </c>
      <c r="G47" s="26">
        <f>('Detailed Budget'!C44+'Detailed Budget'!P44+'Detailed Budget'!AC44)</f>
        <v>852</v>
      </c>
      <c r="H47" s="42">
        <f>'Detailed Budget'!D44</f>
        <v>100000</v>
      </c>
      <c r="I47" s="42">
        <f>+H47/$E$73</f>
        <v>22.71823706480377</v>
      </c>
      <c r="J47" s="43">
        <f>+G47*H47</f>
        <v>85200000</v>
      </c>
      <c r="K47" s="43">
        <f>+J47/$E$73</f>
        <v>19355.937979212813</v>
      </c>
      <c r="L47" s="96">
        <f>+J47*N47</f>
        <v>85200000</v>
      </c>
      <c r="M47" s="96">
        <f>+L47/$E$73</f>
        <v>19355.937979212813</v>
      </c>
      <c r="N47" s="64">
        <v>1</v>
      </c>
      <c r="O47" s="151">
        <f t="shared" si="20"/>
        <v>0</v>
      </c>
      <c r="P47" s="151">
        <f>+O47/$E$73</f>
        <v>0</v>
      </c>
      <c r="Q47" s="64">
        <v>0</v>
      </c>
      <c r="R47" s="26"/>
      <c r="S47" s="76" t="s">
        <v>92</v>
      </c>
    </row>
    <row r="48" spans="1:19" ht="20.5" customHeight="1" x14ac:dyDescent="0.35">
      <c r="A48" s="81" t="s">
        <v>30</v>
      </c>
      <c r="B48" s="285">
        <v>89050</v>
      </c>
      <c r="C48" s="285" t="s">
        <v>31</v>
      </c>
      <c r="D48" s="41" t="s">
        <v>93</v>
      </c>
      <c r="E48" s="41" t="s">
        <v>94</v>
      </c>
      <c r="F48" s="26" t="s">
        <v>95</v>
      </c>
      <c r="G48" s="26">
        <f>('Detailed Budget'!C45+'Detailed Budget'!P45+'Detailed Budget'!AC45)</f>
        <v>1065</v>
      </c>
      <c r="H48" s="42">
        <f>'Detailed Budget'!D45</f>
        <v>90000</v>
      </c>
      <c r="I48" s="42">
        <f>+H48/$E$73</f>
        <v>20.446413358323394</v>
      </c>
      <c r="J48" s="43">
        <f>+G48*H48</f>
        <v>95850000</v>
      </c>
      <c r="K48" s="43">
        <f>+J48/$E$73</f>
        <v>21775.430226614415</v>
      </c>
      <c r="L48" s="96">
        <f>+J48*N48</f>
        <v>95850000</v>
      </c>
      <c r="M48" s="96">
        <f>+L48/$E$73</f>
        <v>21775.430226614415</v>
      </c>
      <c r="N48" s="64">
        <v>1</v>
      </c>
      <c r="O48" s="151">
        <f t="shared" si="20"/>
        <v>0</v>
      </c>
      <c r="P48" s="151">
        <f>+O48/$E$73</f>
        <v>0</v>
      </c>
      <c r="Q48" s="64">
        <v>0</v>
      </c>
      <c r="R48" s="26"/>
      <c r="S48" s="76" t="s">
        <v>96</v>
      </c>
    </row>
    <row r="49" spans="1:19" ht="20.5" customHeight="1" x14ac:dyDescent="0.35">
      <c r="A49" s="2"/>
      <c r="B49" s="2"/>
      <c r="C49" s="2"/>
      <c r="D49" s="2"/>
      <c r="E49" s="2" t="s">
        <v>97</v>
      </c>
      <c r="F49" s="28"/>
      <c r="G49" s="28"/>
      <c r="H49" s="38"/>
      <c r="I49" s="38"/>
      <c r="J49" s="48">
        <f>+SUM(J50:J52)</f>
        <v>662000000</v>
      </c>
      <c r="K49" s="48">
        <f>SUM(K50:K52)</f>
        <v>150394.72936900094</v>
      </c>
      <c r="L49" s="149">
        <f>+SUM(L50:L52)</f>
        <v>599000000</v>
      </c>
      <c r="M49" s="149">
        <f>SUM(M50:M52)</f>
        <v>136082.24001817458</v>
      </c>
      <c r="N49" s="65"/>
      <c r="O49" s="150">
        <f>+SUM(O50:O51)</f>
        <v>63000000</v>
      </c>
      <c r="P49" s="150">
        <f>SUM(P50:P52)</f>
        <v>14312.489350826376</v>
      </c>
      <c r="Q49" s="5"/>
      <c r="R49" s="5"/>
      <c r="S49" s="74"/>
    </row>
    <row r="50" spans="1:19" ht="20.5" customHeight="1" x14ac:dyDescent="0.35">
      <c r="A50" s="81" t="s">
        <v>30</v>
      </c>
      <c r="B50" s="285">
        <v>89050</v>
      </c>
      <c r="C50" s="285" t="s">
        <v>31</v>
      </c>
      <c r="D50" s="40" t="s">
        <v>98</v>
      </c>
      <c r="E50" s="40" t="s">
        <v>99</v>
      </c>
      <c r="F50" s="26" t="s">
        <v>100</v>
      </c>
      <c r="G50" s="26">
        <f>'Detailed Budget'!C47+'Detailed Budget'!P47</f>
        <v>2</v>
      </c>
      <c r="H50" s="42">
        <f>'Detailed Budget'!D47</f>
        <v>283500000</v>
      </c>
      <c r="I50" s="42">
        <f>+H50/$E$73</f>
        <v>64406.202078718692</v>
      </c>
      <c r="J50" s="43">
        <f>+G50*H50</f>
        <v>567000000</v>
      </c>
      <c r="K50" s="43">
        <f>+J50/$E$73</f>
        <v>128812.40415743738</v>
      </c>
      <c r="L50" s="96">
        <f>+J50*N50</f>
        <v>567000000</v>
      </c>
      <c r="M50" s="96">
        <f>+L50/$E$73</f>
        <v>128812.40415743738</v>
      </c>
      <c r="N50" s="64">
        <v>1</v>
      </c>
      <c r="O50" s="151">
        <f>+J50*Q50</f>
        <v>0</v>
      </c>
      <c r="P50" s="151">
        <f>+O50/$E$73</f>
        <v>0</v>
      </c>
      <c r="Q50" s="64">
        <v>0</v>
      </c>
      <c r="R50" s="26"/>
      <c r="S50" s="40" t="s">
        <v>101</v>
      </c>
    </row>
    <row r="51" spans="1:19" ht="20.5" customHeight="1" x14ac:dyDescent="0.35">
      <c r="A51" s="287" t="s">
        <v>30</v>
      </c>
      <c r="B51" s="288">
        <v>89050</v>
      </c>
      <c r="C51" s="288" t="s">
        <v>31</v>
      </c>
      <c r="D51" s="290" t="s">
        <v>102</v>
      </c>
      <c r="E51" s="290" t="s">
        <v>103</v>
      </c>
      <c r="F51" s="26" t="s">
        <v>104</v>
      </c>
      <c r="G51" s="26">
        <f>'Detailed Budget'!P48</f>
        <v>15</v>
      </c>
      <c r="H51" s="42">
        <f>'Detailed Budget'!Q48</f>
        <v>4200000</v>
      </c>
      <c r="I51" s="42">
        <f>+H51/$E$73</f>
        <v>954.16595672175845</v>
      </c>
      <c r="J51" s="43">
        <f>+G51*H51</f>
        <v>63000000</v>
      </c>
      <c r="K51" s="43">
        <f>+J51/$E$73</f>
        <v>14312.489350826376</v>
      </c>
      <c r="L51" s="96">
        <f t="shared" ref="L51:L52" si="28">+J51*N51</f>
        <v>0</v>
      </c>
      <c r="M51" s="96">
        <f>+L51/$E$73</f>
        <v>0</v>
      </c>
      <c r="N51" s="64">
        <v>0</v>
      </c>
      <c r="O51" s="151">
        <f t="shared" ref="O51:O52" si="29">+J51*Q51</f>
        <v>63000000</v>
      </c>
      <c r="P51" s="151">
        <f>+O51/$E$73</f>
        <v>14312.489350826376</v>
      </c>
      <c r="Q51" s="64">
        <v>1</v>
      </c>
      <c r="R51" s="26"/>
      <c r="S51" s="76" t="s">
        <v>105</v>
      </c>
    </row>
    <row r="52" spans="1:19" ht="20.5" customHeight="1" x14ac:dyDescent="0.35">
      <c r="A52" s="81" t="s">
        <v>30</v>
      </c>
      <c r="B52" s="285">
        <v>89050</v>
      </c>
      <c r="C52" s="285" t="s">
        <v>31</v>
      </c>
      <c r="D52" s="40" t="s">
        <v>106</v>
      </c>
      <c r="E52" s="40" t="s">
        <v>107</v>
      </c>
      <c r="F52" s="26" t="s">
        <v>108</v>
      </c>
      <c r="G52" s="26">
        <f>'Detailed Budget'!P49</f>
        <v>10</v>
      </c>
      <c r="H52" s="42">
        <f>+'Detailed Budget'!Q49</f>
        <v>3200000</v>
      </c>
      <c r="I52" s="42">
        <f>+H52/$E$73</f>
        <v>726.98358607372063</v>
      </c>
      <c r="J52" s="43">
        <f>+G52*H52</f>
        <v>32000000</v>
      </c>
      <c r="K52" s="43">
        <f>+J52/$E$73</f>
        <v>7269.8358607372065</v>
      </c>
      <c r="L52" s="96">
        <f t="shared" si="28"/>
        <v>32000000</v>
      </c>
      <c r="M52" s="96">
        <f>+L52/$E$73</f>
        <v>7269.8358607372065</v>
      </c>
      <c r="N52" s="64">
        <v>1</v>
      </c>
      <c r="O52" s="151">
        <f t="shared" si="29"/>
        <v>0</v>
      </c>
      <c r="P52" s="151">
        <f>+O52/$E$73</f>
        <v>0</v>
      </c>
      <c r="Q52" s="64">
        <v>0</v>
      </c>
      <c r="R52" s="26"/>
      <c r="S52" s="76" t="s">
        <v>109</v>
      </c>
    </row>
    <row r="53" spans="1:19" ht="20.5" customHeight="1" x14ac:dyDescent="0.35">
      <c r="A53" s="2"/>
      <c r="B53" s="2"/>
      <c r="C53" s="2"/>
      <c r="D53" s="2"/>
      <c r="E53" s="2" t="s">
        <v>110</v>
      </c>
      <c r="F53" s="28"/>
      <c r="G53" s="28"/>
      <c r="H53" s="38"/>
      <c r="I53" s="38"/>
      <c r="J53" s="48">
        <f>+SUM(J54)</f>
        <v>73148400.000000015</v>
      </c>
      <c r="K53" s="48">
        <f>SUM(K54)</f>
        <v>16618.026921110926</v>
      </c>
      <c r="L53" s="149">
        <f>+SUM(L54)</f>
        <v>73148400.000000015</v>
      </c>
      <c r="M53" s="149">
        <f>SUM(M54)</f>
        <v>16618.026921110926</v>
      </c>
      <c r="N53" s="65"/>
      <c r="O53" s="150">
        <f>+SUM(O54)</f>
        <v>0</v>
      </c>
      <c r="P53" s="150">
        <f>SUM(P54)</f>
        <v>0</v>
      </c>
      <c r="Q53" s="5"/>
      <c r="R53" s="5"/>
      <c r="S53" s="74"/>
    </row>
    <row r="54" spans="1:19" ht="20.5" customHeight="1" x14ac:dyDescent="0.35">
      <c r="A54" s="81" t="s">
        <v>30</v>
      </c>
      <c r="B54" s="285">
        <v>89050</v>
      </c>
      <c r="C54" s="285" t="s">
        <v>31</v>
      </c>
      <c r="D54" s="41" t="s">
        <v>111</v>
      </c>
      <c r="E54" s="41" t="s">
        <v>112</v>
      </c>
      <c r="F54" s="26" t="s">
        <v>34</v>
      </c>
      <c r="G54" s="26">
        <f>('Detailed Budget'!C51+'Detailed Budget'!P51+'Detailed Budget'!AC51)</f>
        <v>28</v>
      </c>
      <c r="H54" s="42">
        <f>+('Detailed Budget'!L51+'Detailed Budget'!Y51+'Detailed Budget'!AL51)/G54</f>
        <v>2612442.8571428577</v>
      </c>
      <c r="I54" s="42">
        <f>+H54/$E$73</f>
        <v>593.5009614682474</v>
      </c>
      <c r="J54" s="43">
        <f>+G54*H54</f>
        <v>73148400.000000015</v>
      </c>
      <c r="K54" s="43">
        <f>+J54/$E$73</f>
        <v>16618.026921110926</v>
      </c>
      <c r="L54" s="96">
        <f>+'Detailed Budget'!AR51</f>
        <v>73148400.000000015</v>
      </c>
      <c r="M54" s="96">
        <f>+L54/$E$73</f>
        <v>16618.026921110926</v>
      </c>
      <c r="N54" s="64">
        <v>0.8</v>
      </c>
      <c r="O54" s="151">
        <f>+'Detailed Budget'!AT51</f>
        <v>0</v>
      </c>
      <c r="P54" s="151">
        <f>+O54/$E$73</f>
        <v>0</v>
      </c>
      <c r="Q54" s="64">
        <f>+O54/J54</f>
        <v>0</v>
      </c>
      <c r="R54" s="26"/>
      <c r="S54" s="76" t="s">
        <v>113</v>
      </c>
    </row>
    <row r="55" spans="1:19" ht="20.5" customHeight="1" x14ac:dyDescent="0.35">
      <c r="A55" s="2"/>
      <c r="B55" s="2"/>
      <c r="C55" s="2"/>
      <c r="D55" s="2"/>
      <c r="E55" s="2" t="s">
        <v>114</v>
      </c>
      <c r="F55" s="28"/>
      <c r="G55" s="28"/>
      <c r="H55" s="38"/>
      <c r="I55" s="38"/>
      <c r="J55" s="48">
        <f>+SUM(J56:J61)</f>
        <v>1350930000</v>
      </c>
      <c r="K55" s="48">
        <f>SUM(K56:K61)</f>
        <v>306907.47997955361</v>
      </c>
      <c r="L55" s="149">
        <f>+SUM(L56:L61)</f>
        <v>106930000</v>
      </c>
      <c r="M55" s="149">
        <f>SUM(M56:M61)</f>
        <v>24292.610893394671</v>
      </c>
      <c r="N55" s="65"/>
      <c r="O55" s="150">
        <f>+SUM(O56:O61)</f>
        <v>1244000000</v>
      </c>
      <c r="P55" s="150">
        <f>SUM(P56:P61)</f>
        <v>282614.86908615893</v>
      </c>
      <c r="Q55" s="5"/>
      <c r="R55" s="5"/>
      <c r="S55" s="74"/>
    </row>
    <row r="56" spans="1:19" ht="20.5" customHeight="1" x14ac:dyDescent="0.35">
      <c r="A56" s="81" t="s">
        <v>30</v>
      </c>
      <c r="B56" s="285">
        <v>89050</v>
      </c>
      <c r="C56" s="285" t="s">
        <v>31</v>
      </c>
      <c r="D56" s="86" t="s">
        <v>115</v>
      </c>
      <c r="E56" s="86" t="s">
        <v>116</v>
      </c>
      <c r="F56" s="26" t="s">
        <v>117</v>
      </c>
      <c r="G56" s="26">
        <f>+Travels!B41</f>
        <v>74</v>
      </c>
      <c r="H56" s="42">
        <f>+Travels!D41*Travels!C41</f>
        <v>390000</v>
      </c>
      <c r="I56" s="42">
        <f t="shared" ref="I56:I61" si="30">+H56/$E$73</f>
        <v>88.601124552734703</v>
      </c>
      <c r="J56" s="43">
        <f>+G56*H56</f>
        <v>28860000</v>
      </c>
      <c r="K56" s="43">
        <f t="shared" ref="K56:K61" si="31">+J56/$E$73</f>
        <v>6556.4832169023684</v>
      </c>
      <c r="L56" s="96">
        <f>+J56*N56</f>
        <v>28860000</v>
      </c>
      <c r="M56" s="96">
        <f t="shared" ref="M56:M61" si="32">+L56/$E$73</f>
        <v>6556.4832169023684</v>
      </c>
      <c r="N56" s="64">
        <v>1</v>
      </c>
      <c r="O56" s="151">
        <f>+J56*Q56</f>
        <v>0</v>
      </c>
      <c r="P56" s="151">
        <f t="shared" ref="P56:P61" si="33">+O56/$E$73</f>
        <v>0</v>
      </c>
      <c r="Q56" s="64">
        <v>0</v>
      </c>
      <c r="R56" s="26"/>
      <c r="S56" s="76" t="s">
        <v>118</v>
      </c>
    </row>
    <row r="57" spans="1:19" ht="20.5" customHeight="1" x14ac:dyDescent="0.35">
      <c r="A57" s="81" t="s">
        <v>30</v>
      </c>
      <c r="B57" s="285">
        <v>89050</v>
      </c>
      <c r="C57" s="285" t="s">
        <v>31</v>
      </c>
      <c r="D57" s="86" t="s">
        <v>119</v>
      </c>
      <c r="E57" s="86" t="s">
        <v>120</v>
      </c>
      <c r="F57" s="26" t="s">
        <v>117</v>
      </c>
      <c r="G57" s="26">
        <f>+Travels!B42</f>
        <v>74</v>
      </c>
      <c r="H57" s="42">
        <f>+Travels!D42*Travels!C42</f>
        <v>35000</v>
      </c>
      <c r="I57" s="42">
        <f t="shared" si="30"/>
        <v>7.9513829726813201</v>
      </c>
      <c r="J57" s="43">
        <f>+G57*H57</f>
        <v>2590000</v>
      </c>
      <c r="K57" s="43">
        <f t="shared" si="31"/>
        <v>588.40233997841767</v>
      </c>
      <c r="L57" s="96">
        <f>+J57*N57</f>
        <v>2590000</v>
      </c>
      <c r="M57" s="96">
        <f t="shared" si="32"/>
        <v>588.40233997841767</v>
      </c>
      <c r="N57" s="64">
        <v>1</v>
      </c>
      <c r="O57" s="151">
        <f>+J57*Q57</f>
        <v>0</v>
      </c>
      <c r="P57" s="151">
        <f t="shared" si="33"/>
        <v>0</v>
      </c>
      <c r="Q57" s="64">
        <v>0</v>
      </c>
      <c r="R57" s="26"/>
      <c r="S57" s="76" t="s">
        <v>121</v>
      </c>
    </row>
    <row r="58" spans="1:19" ht="20.5" customHeight="1" x14ac:dyDescent="0.35">
      <c r="A58" s="81" t="s">
        <v>30</v>
      </c>
      <c r="B58" s="285">
        <v>89050</v>
      </c>
      <c r="C58" s="285" t="s">
        <v>31</v>
      </c>
      <c r="D58" s="86" t="s">
        <v>122</v>
      </c>
      <c r="E58" s="86" t="s">
        <v>123</v>
      </c>
      <c r="F58" s="26" t="s">
        <v>117</v>
      </c>
      <c r="G58" s="26">
        <f>+Travels!B43</f>
        <v>222</v>
      </c>
      <c r="H58" s="42">
        <f>+Travels!D43*Travels!C43</f>
        <v>312000</v>
      </c>
      <c r="I58" s="42">
        <f t="shared" si="30"/>
        <v>70.880899642187771</v>
      </c>
      <c r="J58" s="43">
        <f>+G58*H58</f>
        <v>69264000</v>
      </c>
      <c r="K58" s="43">
        <f t="shared" si="31"/>
        <v>15735.559720565685</v>
      </c>
      <c r="L58" s="96">
        <f>+J58*N58</f>
        <v>69264000</v>
      </c>
      <c r="M58" s="96">
        <f t="shared" si="32"/>
        <v>15735.559720565685</v>
      </c>
      <c r="N58" s="64">
        <v>1</v>
      </c>
      <c r="O58" s="151">
        <f>+J58*Q58</f>
        <v>0</v>
      </c>
      <c r="P58" s="151">
        <f t="shared" si="33"/>
        <v>0</v>
      </c>
      <c r="Q58" s="64">
        <v>0</v>
      </c>
      <c r="R58" s="26"/>
      <c r="S58" s="87" t="s">
        <v>124</v>
      </c>
    </row>
    <row r="59" spans="1:19" ht="20.5" customHeight="1" x14ac:dyDescent="0.35">
      <c r="A59" s="81" t="s">
        <v>30</v>
      </c>
      <c r="B59" s="285">
        <v>89050</v>
      </c>
      <c r="C59" s="285" t="s">
        <v>31</v>
      </c>
      <c r="D59" s="86" t="s">
        <v>125</v>
      </c>
      <c r="E59" s="86" t="s">
        <v>126</v>
      </c>
      <c r="F59" s="26" t="s">
        <v>117</v>
      </c>
      <c r="G59" s="26">
        <f>+Travels!B44</f>
        <v>222</v>
      </c>
      <c r="H59" s="42">
        <f>+Travels!D44*Travels!C44</f>
        <v>28000</v>
      </c>
      <c r="I59" s="42">
        <f t="shared" si="30"/>
        <v>6.3611063781450561</v>
      </c>
      <c r="J59" s="43">
        <f t="shared" ref="J59" si="34">+G59*H59</f>
        <v>6216000</v>
      </c>
      <c r="K59" s="43">
        <f t="shared" si="31"/>
        <v>1412.1656159482025</v>
      </c>
      <c r="L59" s="96">
        <f t="shared" ref="L59" si="35">+J59*N59</f>
        <v>6216000</v>
      </c>
      <c r="M59" s="96">
        <f t="shared" si="32"/>
        <v>1412.1656159482025</v>
      </c>
      <c r="N59" s="64">
        <v>1</v>
      </c>
      <c r="O59" s="151">
        <f>+J59*Q59</f>
        <v>0</v>
      </c>
      <c r="P59" s="151">
        <f t="shared" si="33"/>
        <v>0</v>
      </c>
      <c r="Q59" s="64">
        <v>0</v>
      </c>
      <c r="R59" s="26"/>
      <c r="S59" s="87" t="s">
        <v>127</v>
      </c>
    </row>
    <row r="60" spans="1:19" ht="20.5" customHeight="1" x14ac:dyDescent="0.35">
      <c r="A60" s="287" t="s">
        <v>30</v>
      </c>
      <c r="B60" s="288">
        <v>89050</v>
      </c>
      <c r="C60" s="288" t="s">
        <v>31</v>
      </c>
      <c r="D60" s="290" t="s">
        <v>128</v>
      </c>
      <c r="E60" s="290" t="s">
        <v>129</v>
      </c>
      <c r="F60" s="26" t="s">
        <v>130</v>
      </c>
      <c r="G60" s="26">
        <f>+'Detailed Budget'!P57+'Detailed Budget'!AC57</f>
        <v>1</v>
      </c>
      <c r="H60" s="42">
        <f>'Detailed Budget'!Q57</f>
        <v>800000000</v>
      </c>
      <c r="I60" s="42">
        <f t="shared" si="30"/>
        <v>181745.89651843018</v>
      </c>
      <c r="J60" s="43">
        <f t="shared" ref="J60:J61" si="36">+G60*H60</f>
        <v>800000000</v>
      </c>
      <c r="K60" s="43">
        <f t="shared" si="31"/>
        <v>181745.89651843018</v>
      </c>
      <c r="L60" s="96">
        <f t="shared" ref="L60:L61" si="37">+J60*N60</f>
        <v>0</v>
      </c>
      <c r="M60" s="96">
        <f t="shared" si="32"/>
        <v>0</v>
      </c>
      <c r="N60" s="64">
        <v>0</v>
      </c>
      <c r="O60" s="151">
        <f t="shared" ref="O60:O61" si="38">+J60*Q60</f>
        <v>800000000</v>
      </c>
      <c r="P60" s="151">
        <f t="shared" si="33"/>
        <v>181745.89651843018</v>
      </c>
      <c r="Q60" s="64">
        <v>1</v>
      </c>
      <c r="R60" s="26"/>
      <c r="S60" s="87" t="s">
        <v>131</v>
      </c>
    </row>
    <row r="61" spans="1:19" ht="20.5" customHeight="1" x14ac:dyDescent="0.35">
      <c r="A61" s="287" t="s">
        <v>30</v>
      </c>
      <c r="B61" s="288">
        <v>89050</v>
      </c>
      <c r="C61" s="288" t="s">
        <v>31</v>
      </c>
      <c r="D61" s="291" t="s">
        <v>132</v>
      </c>
      <c r="E61" s="291" t="s">
        <v>133</v>
      </c>
      <c r="F61" s="26" t="s">
        <v>134</v>
      </c>
      <c r="G61" s="26">
        <f>'Detailed Budget'!C58</f>
        <v>74</v>
      </c>
      <c r="H61" s="42">
        <f>('Detailed Budget'!D58+'Detailed Budget'!Q58+'Detailed Budget'!AD58)</f>
        <v>6000000</v>
      </c>
      <c r="I61" s="42">
        <f t="shared" si="30"/>
        <v>1363.0942238882262</v>
      </c>
      <c r="J61" s="43">
        <f t="shared" si="36"/>
        <v>444000000</v>
      </c>
      <c r="K61" s="43">
        <f t="shared" si="31"/>
        <v>100868.97256772875</v>
      </c>
      <c r="L61" s="96">
        <f t="shared" si="37"/>
        <v>0</v>
      </c>
      <c r="M61" s="96">
        <f t="shared" si="32"/>
        <v>0</v>
      </c>
      <c r="N61" s="64">
        <v>0</v>
      </c>
      <c r="O61" s="151">
        <f t="shared" si="38"/>
        <v>444000000</v>
      </c>
      <c r="P61" s="151">
        <f t="shared" si="33"/>
        <v>100868.97256772875</v>
      </c>
      <c r="Q61" s="64">
        <v>1</v>
      </c>
      <c r="R61" s="26"/>
      <c r="S61" s="76" t="s">
        <v>135</v>
      </c>
    </row>
    <row r="62" spans="1:19" ht="20.5" customHeight="1" x14ac:dyDescent="0.35">
      <c r="A62" s="201"/>
      <c r="B62" s="201"/>
      <c r="C62" s="201"/>
      <c r="D62" s="201"/>
      <c r="E62" s="201" t="s">
        <v>136</v>
      </c>
      <c r="F62" s="28"/>
      <c r="G62" s="28"/>
      <c r="H62" s="38"/>
      <c r="I62" s="38"/>
      <c r="J62" s="48">
        <f>SUM(J63:J67)</f>
        <v>48721232</v>
      </c>
      <c r="K62" s="48">
        <f>SUM(K63:K67)</f>
        <v>11068.604986653036</v>
      </c>
      <c r="L62" s="149">
        <f>SUM(L63:L67)</f>
        <v>48721232</v>
      </c>
      <c r="M62" s="149">
        <f>SUM(M63:M67)</f>
        <v>11068.604986653036</v>
      </c>
      <c r="N62" s="65"/>
      <c r="O62" s="150">
        <f>SUM(O63:O67)</f>
        <v>0</v>
      </c>
      <c r="P62" s="150">
        <f>SUM(P63:P67)</f>
        <v>0</v>
      </c>
      <c r="Q62" s="5"/>
      <c r="R62" s="5"/>
      <c r="S62" s="74"/>
    </row>
    <row r="63" spans="1:19" ht="20.5" customHeight="1" x14ac:dyDescent="0.35">
      <c r="A63" s="81" t="s">
        <v>30</v>
      </c>
      <c r="B63" s="285">
        <v>89050</v>
      </c>
      <c r="C63" s="285" t="s">
        <v>31</v>
      </c>
      <c r="D63" s="40" t="s">
        <v>137</v>
      </c>
      <c r="E63" s="40" t="s">
        <v>138</v>
      </c>
      <c r="F63" s="26" t="s">
        <v>139</v>
      </c>
      <c r="G63" s="26">
        <f>+'Detailed Budget'!C60</f>
        <v>5</v>
      </c>
      <c r="H63" s="42">
        <f>'Detailed Budget'!D60</f>
        <v>700000</v>
      </c>
      <c r="I63" s="42">
        <f>+H63/$E$73</f>
        <v>159.0276594536264</v>
      </c>
      <c r="J63" s="43">
        <f>+G63*H63</f>
        <v>3500000</v>
      </c>
      <c r="K63" s="43">
        <f t="shared" ref="K63:K68" si="39">+J63/$E$73</f>
        <v>795.13829726813196</v>
      </c>
      <c r="L63" s="96">
        <f>+J63*N63</f>
        <v>3500000</v>
      </c>
      <c r="M63" s="96">
        <f>+L63/$E$73</f>
        <v>795.13829726813196</v>
      </c>
      <c r="N63" s="64">
        <v>1</v>
      </c>
      <c r="O63" s="151">
        <f>+J63*Q63</f>
        <v>0</v>
      </c>
      <c r="P63" s="151">
        <f t="shared" ref="P63:P68" si="40">+O63/$E$73</f>
        <v>0</v>
      </c>
      <c r="Q63" s="64">
        <v>0</v>
      </c>
      <c r="R63" s="26"/>
      <c r="S63" s="76" t="s">
        <v>140</v>
      </c>
    </row>
    <row r="64" spans="1:19" ht="20.5" customHeight="1" x14ac:dyDescent="0.35">
      <c r="A64" s="81" t="s">
        <v>30</v>
      </c>
      <c r="B64" s="285">
        <v>89050</v>
      </c>
      <c r="C64" s="285" t="s">
        <v>31</v>
      </c>
      <c r="D64" s="41" t="s">
        <v>141</v>
      </c>
      <c r="E64" s="41" t="s">
        <v>142</v>
      </c>
      <c r="F64" s="26" t="s">
        <v>34</v>
      </c>
      <c r="G64" s="26">
        <f>('Detailed Budget'!C61+'Detailed Budget'!P61+'Detailed Budget'!AC61)</f>
        <v>28</v>
      </c>
      <c r="H64" s="42">
        <f>+('Detailed Budget'!L61+'Detailed Budget'!Y61+'Detailed Budget'!AL61)/G64</f>
        <v>320914.28571428574</v>
      </c>
      <c r="I64" s="42">
        <f>+H64/$E$73</f>
        <v>72.906068203393133</v>
      </c>
      <c r="J64" s="43">
        <f>+G64*H64</f>
        <v>8985600</v>
      </c>
      <c r="K64" s="43">
        <f t="shared" si="39"/>
        <v>2041.3699096950077</v>
      </c>
      <c r="L64" s="96">
        <f>+J64*N64</f>
        <v>8985600</v>
      </c>
      <c r="M64" s="96">
        <f>+L64/$E$73</f>
        <v>2041.3699096950077</v>
      </c>
      <c r="N64" s="64">
        <v>1</v>
      </c>
      <c r="O64" s="151">
        <f>+J64*Q64</f>
        <v>0</v>
      </c>
      <c r="P64" s="151">
        <f t="shared" si="40"/>
        <v>0</v>
      </c>
      <c r="Q64" s="64">
        <v>0</v>
      </c>
      <c r="R64" s="26"/>
      <c r="S64" s="76" t="s">
        <v>143</v>
      </c>
    </row>
    <row r="65" spans="1:19" ht="20.5" customHeight="1" x14ac:dyDescent="0.35">
      <c r="A65" s="81" t="s">
        <v>30</v>
      </c>
      <c r="B65" s="285">
        <v>89050</v>
      </c>
      <c r="C65" s="285" t="s">
        <v>31</v>
      </c>
      <c r="D65" s="140" t="s">
        <v>144</v>
      </c>
      <c r="E65" s="140" t="s">
        <v>145</v>
      </c>
      <c r="F65" s="26" t="s">
        <v>146</v>
      </c>
      <c r="G65" s="26">
        <f>'Detailed Budget'!C62</f>
        <v>3</v>
      </c>
      <c r="H65" s="42">
        <f>+'Detailed Budget'!D62</f>
        <v>1000000</v>
      </c>
      <c r="I65" s="42">
        <f>+H65/$E$73</f>
        <v>227.1823706480377</v>
      </c>
      <c r="J65" s="43">
        <f>+G65*H65</f>
        <v>3000000</v>
      </c>
      <c r="K65" s="43">
        <f t="shared" si="39"/>
        <v>681.54711194411311</v>
      </c>
      <c r="L65" s="96">
        <f>+J65*N65</f>
        <v>3000000</v>
      </c>
      <c r="M65" s="96">
        <f>+L65/$E$73</f>
        <v>681.54711194411311</v>
      </c>
      <c r="N65" s="64">
        <v>1</v>
      </c>
      <c r="O65" s="151">
        <f>+J65*Q65</f>
        <v>0</v>
      </c>
      <c r="P65" s="151">
        <f t="shared" si="40"/>
        <v>0</v>
      </c>
      <c r="Q65" s="64">
        <v>0</v>
      </c>
      <c r="R65" s="26"/>
      <c r="S65" s="76" t="s">
        <v>147</v>
      </c>
    </row>
    <row r="66" spans="1:19" ht="20.5" customHeight="1" x14ac:dyDescent="0.35">
      <c r="A66" s="81" t="s">
        <v>30</v>
      </c>
      <c r="B66" s="285">
        <v>89050</v>
      </c>
      <c r="C66" s="285" t="s">
        <v>31</v>
      </c>
      <c r="D66" s="140" t="s">
        <v>148</v>
      </c>
      <c r="E66" s="140" t="s">
        <v>149</v>
      </c>
      <c r="F66" s="26" t="s">
        <v>34</v>
      </c>
      <c r="G66" s="26">
        <f>('Detailed Budget'!C63+'Detailed Budget'!P63+'Detailed Budget'!AC63)</f>
        <v>28</v>
      </c>
      <c r="H66" s="42">
        <f>+J66/G66</f>
        <v>940479.42857142852</v>
      </c>
      <c r="I66" s="42">
        <f>+H66/$E$73</f>
        <v>213.66034612856899</v>
      </c>
      <c r="J66" s="43">
        <f>+'Detailed Budget'!AP63</f>
        <v>26333424</v>
      </c>
      <c r="K66" s="43">
        <f t="shared" si="39"/>
        <v>5982.4896915999316</v>
      </c>
      <c r="L66" s="96">
        <f>+'Detailed Budget'!AR63</f>
        <v>26333424</v>
      </c>
      <c r="M66" s="96">
        <f>+L66/$E$73</f>
        <v>5982.4896915999316</v>
      </c>
      <c r="N66" s="64">
        <f>+L66/J66</f>
        <v>1</v>
      </c>
      <c r="O66" s="151">
        <f>+'Detailed Budget'!AT63</f>
        <v>0</v>
      </c>
      <c r="P66" s="151">
        <f t="shared" si="40"/>
        <v>0</v>
      </c>
      <c r="Q66" s="64">
        <f>+O66/J66</f>
        <v>0</v>
      </c>
      <c r="R66" s="26"/>
      <c r="S66" s="76" t="s">
        <v>150</v>
      </c>
    </row>
    <row r="67" spans="1:19" ht="20.5" customHeight="1" x14ac:dyDescent="0.35">
      <c r="A67" s="81" t="s">
        <v>30</v>
      </c>
      <c r="B67" s="285">
        <v>89050</v>
      </c>
      <c r="C67" s="285" t="s">
        <v>31</v>
      </c>
      <c r="D67" s="140" t="s">
        <v>151</v>
      </c>
      <c r="E67" s="140" t="s">
        <v>152</v>
      </c>
      <c r="F67" s="26" t="s">
        <v>34</v>
      </c>
      <c r="G67" s="26">
        <f>+'Detailed Budget'!C64+'Detailed Budget'!P64+'Detailed Budget'!AC64</f>
        <v>28</v>
      </c>
      <c r="H67" s="42">
        <f>+'Detailed Budget'!AP64/'Summary Budget'!G67</f>
        <v>246507.42857142858</v>
      </c>
      <c r="I67" s="42">
        <f>+H67/$E$73</f>
        <v>56.002142005208967</v>
      </c>
      <c r="J67" s="43">
        <f>+G67*H67</f>
        <v>6902208</v>
      </c>
      <c r="K67" s="43">
        <f t="shared" si="39"/>
        <v>1568.0599761458511</v>
      </c>
      <c r="L67" s="96">
        <f>+'Detailed Budget'!AR64</f>
        <v>6902208</v>
      </c>
      <c r="M67" s="96">
        <f>+L67/$E$73</f>
        <v>1568.0599761458511</v>
      </c>
      <c r="N67" s="64">
        <f>+L67/J67</f>
        <v>1</v>
      </c>
      <c r="O67" s="151">
        <f>+'Detailed Budget'!AT64</f>
        <v>0</v>
      </c>
      <c r="P67" s="151">
        <f t="shared" si="40"/>
        <v>0</v>
      </c>
      <c r="Q67" s="64">
        <f>+O67/J67</f>
        <v>0</v>
      </c>
      <c r="R67" s="26"/>
      <c r="S67" s="76" t="s">
        <v>153</v>
      </c>
    </row>
    <row r="68" spans="1:19" ht="20.5" customHeight="1" x14ac:dyDescent="0.35">
      <c r="A68" s="81" t="s">
        <v>30</v>
      </c>
      <c r="B68" s="285">
        <v>89050</v>
      </c>
      <c r="C68" s="285" t="s">
        <v>31</v>
      </c>
      <c r="D68" s="172" t="s">
        <v>154</v>
      </c>
      <c r="E68" s="172" t="s">
        <v>155</v>
      </c>
      <c r="F68" s="26" t="s">
        <v>156</v>
      </c>
      <c r="G68" s="27">
        <f>'Detailed Budget'!C65</f>
        <v>0.05</v>
      </c>
      <c r="H68" s="42"/>
      <c r="I68" s="42"/>
      <c r="J68" s="63">
        <f>'Detailed Budget'!AP65</f>
        <v>247583476.80776</v>
      </c>
      <c r="K68" s="63">
        <f t="shared" si="39"/>
        <v>56246.601194470379</v>
      </c>
      <c r="L68" s="96">
        <f>+J68*N68</f>
        <v>167557428.19575998</v>
      </c>
      <c r="M68" s="96">
        <f>+L68/E73</f>
        <v>38066.09375720111</v>
      </c>
      <c r="N68" s="64">
        <f>+'Detailed Budget'!F67</f>
        <v>0.67677144838652759</v>
      </c>
      <c r="O68" s="151">
        <f>+'Detailed Budget'!AT65</f>
        <v>80026048.612000003</v>
      </c>
      <c r="P68" s="151">
        <f t="shared" si="40"/>
        <v>18180.507437269269</v>
      </c>
      <c r="Q68" s="64">
        <f>'Detailed Budget'!I65</f>
        <v>0</v>
      </c>
      <c r="R68" s="26"/>
      <c r="S68" s="76" t="s">
        <v>157</v>
      </c>
    </row>
    <row r="69" spans="1:19" ht="20.5" customHeight="1" x14ac:dyDescent="0.35">
      <c r="A69" s="4"/>
      <c r="B69" s="4"/>
      <c r="C69" s="4"/>
      <c r="D69" s="4"/>
      <c r="E69" s="4" t="s">
        <v>158</v>
      </c>
      <c r="F69" s="4"/>
      <c r="G69" s="4"/>
      <c r="H69" s="4"/>
      <c r="I69" s="4"/>
      <c r="J69" s="45">
        <f>+SUM(J6,J68,J55,J53,J49,J44,J25+J62)</f>
        <v>5199253012.9629602</v>
      </c>
      <c r="K69" s="45">
        <f>+K6+K25+K44+K49+K53+K55+K68+K62</f>
        <v>1181178.6250838777</v>
      </c>
      <c r="L69" s="95"/>
      <c r="M69" s="95"/>
      <c r="N69" s="64"/>
      <c r="O69" s="46"/>
      <c r="P69" s="46"/>
      <c r="Q69" s="69">
        <v>0</v>
      </c>
      <c r="R69" s="71"/>
      <c r="S69" s="75"/>
    </row>
    <row r="70" spans="1:19" ht="20.5" customHeight="1" x14ac:dyDescent="0.35">
      <c r="A70" s="153"/>
      <c r="B70" s="153"/>
      <c r="C70" s="153"/>
      <c r="D70" s="153"/>
      <c r="E70" s="153" t="s">
        <v>159</v>
      </c>
      <c r="F70" s="153"/>
      <c r="G70" s="153"/>
      <c r="H70" s="153"/>
      <c r="I70" s="153"/>
      <c r="J70" s="68"/>
      <c r="K70" s="68"/>
      <c r="L70" s="147">
        <f>+L55+L53+L49+L44+L25+L6+L68+L62</f>
        <v>3518705992.11096</v>
      </c>
      <c r="M70" s="147">
        <f>+M6+M25+M44+M49+M53+M55+M68+M62</f>
        <v>799387.96890122339</v>
      </c>
      <c r="N70" s="49">
        <f>+L70/J69</f>
        <v>0.67677144838652759</v>
      </c>
      <c r="O70" s="46"/>
      <c r="P70" s="46"/>
      <c r="Q70" s="69">
        <v>0</v>
      </c>
      <c r="R70" s="71"/>
      <c r="S70" s="75"/>
    </row>
    <row r="71" spans="1:19" ht="20.5" customHeight="1" x14ac:dyDescent="0.35">
      <c r="A71" s="154"/>
      <c r="B71" s="154"/>
      <c r="C71" s="154"/>
      <c r="D71" s="154"/>
      <c r="E71" s="154" t="s">
        <v>160</v>
      </c>
      <c r="F71" s="154"/>
      <c r="G71" s="154"/>
      <c r="H71" s="154"/>
      <c r="I71" s="154"/>
      <c r="J71" s="47"/>
      <c r="K71" s="47"/>
      <c r="L71" s="51"/>
      <c r="M71" s="51"/>
      <c r="N71" s="66"/>
      <c r="O71" s="148">
        <f>+O6+O25+O44+O49+O53+O55+O68</f>
        <v>1680547020.852</v>
      </c>
      <c r="P71" s="148">
        <f>+P6+P25+P44+P49+P53+P55+P65+P68</f>
        <v>381790.65618265461</v>
      </c>
      <c r="Q71" s="70">
        <f>+O71/J69</f>
        <v>0.32322855161347236</v>
      </c>
      <c r="R71" s="72"/>
      <c r="S71" s="77"/>
    </row>
    <row r="72" spans="1:19" ht="20.5" customHeight="1" x14ac:dyDescent="0.35">
      <c r="A72" s="199"/>
      <c r="B72" s="199"/>
      <c r="C72" s="199"/>
      <c r="D72" s="199"/>
      <c r="E72" s="199" t="s">
        <v>161</v>
      </c>
      <c r="L72" s="62"/>
      <c r="M72" s="62"/>
      <c r="N72" s="92"/>
    </row>
    <row r="73" spans="1:19" ht="20.5" customHeight="1" x14ac:dyDescent="0.35">
      <c r="A73" s="156"/>
      <c r="B73" s="156"/>
      <c r="C73" s="156"/>
      <c r="D73" s="156"/>
      <c r="E73" s="156">
        <v>4401.75</v>
      </c>
      <c r="O73" s="62"/>
      <c r="P73" s="62"/>
    </row>
    <row r="74" spans="1:19" x14ac:dyDescent="0.35">
      <c r="L74" s="73"/>
      <c r="M74" s="73"/>
      <c r="N74" s="92"/>
      <c r="Q74" s="91"/>
    </row>
    <row r="75" spans="1:19" x14ac:dyDescent="0.35">
      <c r="L75" s="62"/>
      <c r="M75" s="62"/>
      <c r="N75" s="92"/>
    </row>
    <row r="76" spans="1:19" x14ac:dyDescent="0.35">
      <c r="L76" s="62"/>
      <c r="M76" s="62"/>
      <c r="Q76" s="91"/>
    </row>
    <row r="77" spans="1:19" x14ac:dyDescent="0.35">
      <c r="L77" s="78"/>
      <c r="M77" s="78"/>
    </row>
    <row r="79" spans="1:19" x14ac:dyDescent="0.35">
      <c r="L79" s="62"/>
      <c r="M79" s="62"/>
    </row>
    <row r="80" spans="1:19" x14ac:dyDescent="0.35">
      <c r="L80" s="73"/>
      <c r="M80" s="73"/>
    </row>
    <row r="81" spans="12:13" x14ac:dyDescent="0.35">
      <c r="L81" s="93"/>
      <c r="M81" s="93"/>
    </row>
    <row r="84" spans="12:13" x14ac:dyDescent="0.35">
      <c r="L84" s="73"/>
      <c r="M84" s="73"/>
    </row>
    <row r="97" spans="7:13" x14ac:dyDescent="0.35">
      <c r="L97" s="73"/>
      <c r="M97" s="73"/>
    </row>
    <row r="103" spans="7:13" x14ac:dyDescent="0.35">
      <c r="G103" s="94"/>
    </row>
    <row r="104" spans="7:13" x14ac:dyDescent="0.35">
      <c r="J104" s="73"/>
      <c r="K104" s="7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3:K13"/>
  <sheetViews>
    <sheetView workbookViewId="0"/>
  </sheetViews>
  <sheetFormatPr defaultRowHeight="14.5" x14ac:dyDescent="0.35"/>
  <sheetData>
    <row r="3" spans="3:11" ht="58" x14ac:dyDescent="0.35">
      <c r="D3" s="173" t="s">
        <v>162</v>
      </c>
      <c r="E3" s="173" t="s">
        <v>163</v>
      </c>
      <c r="F3" s="173" t="s">
        <v>164</v>
      </c>
      <c r="G3" s="173" t="s">
        <v>165</v>
      </c>
      <c r="H3" s="174" t="s">
        <v>166</v>
      </c>
      <c r="I3" s="174" t="s">
        <v>167</v>
      </c>
      <c r="J3" s="173" t="s">
        <v>168</v>
      </c>
      <c r="K3" s="173" t="s">
        <v>169</v>
      </c>
    </row>
    <row r="4" spans="3:11" x14ac:dyDescent="0.35">
      <c r="C4" s="56" t="s">
        <v>170</v>
      </c>
      <c r="D4" s="175">
        <v>1398311640</v>
      </c>
      <c r="E4" s="175">
        <f t="shared" ref="E4:E10" si="0">+D4/$C$13</f>
        <v>317671.75327994546</v>
      </c>
      <c r="F4" s="175">
        <v>26529600</v>
      </c>
      <c r="G4" s="175">
        <f t="shared" ref="G4:G10" si="1">+F4/$C$13</f>
        <v>6027.0574203441811</v>
      </c>
      <c r="H4" s="175">
        <f>'Summary Budget'!L6</f>
        <v>1418576688</v>
      </c>
      <c r="I4" s="175">
        <f t="shared" ref="I4:I10" si="2">+H4/$C$13</f>
        <v>322275.61492588173</v>
      </c>
      <c r="J4" s="175">
        <f>+'Summary Budget'!O6</f>
        <v>187869600</v>
      </c>
      <c r="K4" s="175">
        <f t="shared" ref="K4:K10" si="3">+J4/$C$13</f>
        <v>42680.661100698584</v>
      </c>
    </row>
    <row r="5" spans="3:11" x14ac:dyDescent="0.35">
      <c r="C5" s="56" t="s">
        <v>68</v>
      </c>
      <c r="D5" s="175">
        <v>626303783.55599999</v>
      </c>
      <c r="E5" s="175">
        <f t="shared" si="0"/>
        <v>142285.17829408759</v>
      </c>
      <c r="F5" s="175">
        <v>11882607.840000002</v>
      </c>
      <c r="G5" s="175">
        <f t="shared" si="1"/>
        <v>2699.519018572159</v>
      </c>
      <c r="H5" s="175">
        <f>'Summary Budget'!L25</f>
        <v>816472243.91520011</v>
      </c>
      <c r="I5" s="175">
        <f t="shared" si="2"/>
        <v>185488.09994097805</v>
      </c>
      <c r="J5" s="175">
        <f>+'Summary Budget'!O25</f>
        <v>105651372.24000001</v>
      </c>
      <c r="K5" s="175">
        <f t="shared" si="3"/>
        <v>24002.129207701484</v>
      </c>
    </row>
    <row r="6" spans="3:11" x14ac:dyDescent="0.35">
      <c r="C6" s="56" t="s">
        <v>171</v>
      </c>
      <c r="D6" s="175">
        <v>307650000</v>
      </c>
      <c r="E6" s="175">
        <f t="shared" si="0"/>
        <v>69892.656329868798</v>
      </c>
      <c r="F6" s="175"/>
      <c r="G6" s="175">
        <f t="shared" si="1"/>
        <v>0</v>
      </c>
      <c r="H6" s="175">
        <f>'Summary Budget'!L44</f>
        <v>288300000</v>
      </c>
      <c r="I6" s="175">
        <f t="shared" si="2"/>
        <v>65496.677457829275</v>
      </c>
      <c r="J6" s="175">
        <f>+'Summary Budget'!O44</f>
        <v>0</v>
      </c>
      <c r="K6" s="175">
        <f t="shared" si="3"/>
        <v>0</v>
      </c>
    </row>
    <row r="7" spans="3:11" x14ac:dyDescent="0.35">
      <c r="C7" s="56" t="s">
        <v>97</v>
      </c>
      <c r="D7" s="175">
        <v>630000000</v>
      </c>
      <c r="E7" s="175">
        <f t="shared" si="0"/>
        <v>143124.89350826375</v>
      </c>
      <c r="F7" s="175">
        <v>63000000</v>
      </c>
      <c r="G7" s="175">
        <f t="shared" si="1"/>
        <v>14312.489350826376</v>
      </c>
      <c r="H7" s="175">
        <f>'Summary Budget'!L49</f>
        <v>599000000</v>
      </c>
      <c r="I7" s="175">
        <f t="shared" si="2"/>
        <v>136082.24001817458</v>
      </c>
      <c r="J7" s="175">
        <f>+'Summary Budget'!O49</f>
        <v>63000000</v>
      </c>
      <c r="K7" s="175">
        <f t="shared" si="3"/>
        <v>14312.489350826376</v>
      </c>
    </row>
    <row r="8" spans="3:11" x14ac:dyDescent="0.35">
      <c r="C8" s="56" t="s">
        <v>172</v>
      </c>
      <c r="D8" s="175">
        <v>106930000</v>
      </c>
      <c r="E8" s="175">
        <f t="shared" si="0"/>
        <v>24292.610893394674</v>
      </c>
      <c r="F8" s="175"/>
      <c r="G8" s="175">
        <f t="shared" si="1"/>
        <v>0</v>
      </c>
      <c r="H8" s="175">
        <f>'Summary Budget'!L53</f>
        <v>73148400.000000015</v>
      </c>
      <c r="I8" s="175">
        <f t="shared" si="2"/>
        <v>16618.026921110926</v>
      </c>
      <c r="J8" s="175">
        <f>+'Summary Budget'!O53</f>
        <v>0</v>
      </c>
      <c r="K8" s="175">
        <f t="shared" si="3"/>
        <v>0</v>
      </c>
    </row>
    <row r="9" spans="3:11" x14ac:dyDescent="0.35">
      <c r="C9" s="56" t="s">
        <v>114</v>
      </c>
      <c r="D9" s="175">
        <v>298465310.6358971</v>
      </c>
      <c r="E9" s="175">
        <f t="shared" si="0"/>
        <v>67806.056826466083</v>
      </c>
      <c r="F9" s="175">
        <v>1728419090.9251602</v>
      </c>
      <c r="G9" s="175">
        <f t="shared" si="1"/>
        <v>392666.34654970415</v>
      </c>
      <c r="H9" s="175">
        <f>+'Summary Budget'!L55</f>
        <v>106930000</v>
      </c>
      <c r="I9" s="175">
        <f t="shared" si="2"/>
        <v>24292.610893394674</v>
      </c>
      <c r="J9" s="175">
        <f>+'Summary Budget'!O55</f>
        <v>1244000000</v>
      </c>
      <c r="K9" s="175">
        <f t="shared" si="3"/>
        <v>282614.86908615893</v>
      </c>
    </row>
    <row r="10" spans="3:11" x14ac:dyDescent="0.35">
      <c r="C10" s="56" t="s">
        <v>155</v>
      </c>
      <c r="D10" s="175">
        <v>178338708.60042712</v>
      </c>
      <c r="E10" s="175">
        <f t="shared" si="0"/>
        <v>40515.410598154624</v>
      </c>
      <c r="F10" s="175">
        <v>66877015.725160159</v>
      </c>
      <c r="G10" s="175">
        <f t="shared" si="1"/>
        <v>15193.278974307981</v>
      </c>
      <c r="H10" s="175">
        <f>'Summary Budget'!L68</f>
        <v>167557428.19575998</v>
      </c>
      <c r="I10" s="175">
        <f t="shared" si="2"/>
        <v>38066.09375720111</v>
      </c>
      <c r="J10" s="175">
        <f>+'Summary Budget'!O68</f>
        <v>80026048.612000003</v>
      </c>
      <c r="K10" s="175">
        <f t="shared" si="3"/>
        <v>18180.507437269269</v>
      </c>
    </row>
    <row r="11" spans="3:11" x14ac:dyDescent="0.35">
      <c r="D11" s="176">
        <f t="shared" ref="D11:K11" si="4">SUM(D4:D10)</f>
        <v>3545999442.7923241</v>
      </c>
      <c r="E11" s="176">
        <f t="shared" si="4"/>
        <v>805588.559730181</v>
      </c>
      <c r="F11" s="176">
        <f t="shared" si="4"/>
        <v>1896708314.4903202</v>
      </c>
      <c r="G11" s="176">
        <f t="shared" si="4"/>
        <v>430898.69131375483</v>
      </c>
      <c r="H11" s="177">
        <f t="shared" si="4"/>
        <v>3469984760.11096</v>
      </c>
      <c r="I11" s="177">
        <f t="shared" si="4"/>
        <v>788319.36391457031</v>
      </c>
      <c r="J11" s="177">
        <f t="shared" si="4"/>
        <v>1680547020.852</v>
      </c>
      <c r="K11" s="177">
        <f t="shared" si="4"/>
        <v>381790.65618265461</v>
      </c>
    </row>
    <row r="12" spans="3:11" x14ac:dyDescent="0.35">
      <c r="C12" s="58" t="s">
        <v>173</v>
      </c>
      <c r="D12" s="57"/>
      <c r="E12" s="57"/>
      <c r="F12" s="57"/>
      <c r="G12" s="57"/>
      <c r="H12" s="57"/>
      <c r="I12" s="57"/>
      <c r="J12" s="57"/>
      <c r="K12" s="1"/>
    </row>
    <row r="13" spans="3:11" x14ac:dyDescent="0.35">
      <c r="C13" s="59">
        <v>4401.75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77"/>
  <sheetViews>
    <sheetView topLeftCell="AL1" workbookViewId="0">
      <selection activeCell="B69" sqref="B69"/>
    </sheetView>
  </sheetViews>
  <sheetFormatPr defaultRowHeight="14.5" x14ac:dyDescent="0.35"/>
  <cols>
    <col min="1" max="1" width="51" customWidth="1"/>
    <col min="2" max="2" width="9" bestFit="1" customWidth="1"/>
    <col min="3" max="3" width="8.1796875" bestFit="1" customWidth="1"/>
    <col min="4" max="4" width="13.26953125" bestFit="1" customWidth="1"/>
    <col min="5" max="5" width="8.7265625" bestFit="1" customWidth="1"/>
    <col min="6" max="6" width="6.1796875" bestFit="1" customWidth="1"/>
    <col min="7" max="7" width="14.81640625" bestFit="1" customWidth="1"/>
    <col min="8" max="8" width="9.81640625" bestFit="1" customWidth="1"/>
    <col min="9" max="9" width="5.81640625" bestFit="1" customWidth="1"/>
    <col min="10" max="10" width="13.453125" bestFit="1" customWidth="1"/>
    <col min="11" max="11" width="8.81640625" bestFit="1" customWidth="1"/>
    <col min="12" max="12" width="14.81640625" bestFit="1" customWidth="1"/>
    <col min="13" max="13" width="9.81640625" bestFit="1" customWidth="1"/>
    <col min="15" max="15" width="9" bestFit="1" customWidth="1"/>
    <col min="16" max="16" width="8.1796875" bestFit="1" customWidth="1"/>
    <col min="17" max="17" width="13.26953125" bestFit="1" customWidth="1"/>
    <col min="18" max="18" width="9.7265625" bestFit="1" customWidth="1"/>
    <col min="19" max="19" width="6.1796875" bestFit="1" customWidth="1"/>
    <col min="20" max="20" width="14.81640625" bestFit="1" customWidth="1"/>
    <col min="21" max="21" width="9.81640625" bestFit="1" customWidth="1"/>
    <col min="22" max="22" width="5.26953125" bestFit="1" customWidth="1"/>
    <col min="23" max="23" width="14.81640625" bestFit="1" customWidth="1"/>
    <col min="24" max="24" width="9.81640625" bestFit="1" customWidth="1"/>
    <col min="25" max="25" width="14.81640625" bestFit="1" customWidth="1"/>
    <col min="26" max="26" width="9.81640625" bestFit="1" customWidth="1"/>
    <col min="28" max="28" width="9" bestFit="1" customWidth="1"/>
    <col min="29" max="29" width="8.1796875" bestFit="1" customWidth="1"/>
    <col min="30" max="30" width="11.1796875" bestFit="1" customWidth="1"/>
    <col min="31" max="31" width="7.7265625" bestFit="1" customWidth="1"/>
    <col min="32" max="32" width="6.1796875" bestFit="1" customWidth="1"/>
    <col min="33" max="33" width="13.453125" bestFit="1" customWidth="1"/>
    <col min="34" max="34" width="8.81640625" bestFit="1" customWidth="1"/>
    <col min="35" max="35" width="5.26953125" bestFit="1" customWidth="1"/>
    <col min="36" max="36" width="12.26953125" bestFit="1" customWidth="1"/>
    <col min="37" max="37" width="8.81640625" bestFit="1" customWidth="1"/>
    <col min="38" max="38" width="13.453125" bestFit="1" customWidth="1"/>
    <col min="39" max="39" width="8.81640625" bestFit="1" customWidth="1"/>
    <col min="41" max="41" width="5.54296875" bestFit="1" customWidth="1"/>
    <col min="42" max="42" width="16.7265625" customWidth="1"/>
    <col min="43" max="43" width="11.26953125" bestFit="1" customWidth="1"/>
    <col min="44" max="44" width="14.81640625" bestFit="1" customWidth="1"/>
    <col min="45" max="45" width="9.81640625" bestFit="1" customWidth="1"/>
    <col min="46" max="46" width="14.81640625" bestFit="1" customWidth="1"/>
    <col min="47" max="47" width="9.81640625" bestFit="1" customWidth="1"/>
    <col min="48" max="48" width="7" bestFit="1" customWidth="1"/>
    <col min="49" max="49" width="16.453125" bestFit="1" customWidth="1"/>
    <col min="50" max="50" width="10.1796875" bestFit="1" customWidth="1"/>
    <col min="52" max="52" width="14.7265625" bestFit="1" customWidth="1"/>
    <col min="53" max="54" width="12.1796875" bestFit="1" customWidth="1"/>
    <col min="55" max="55" width="15.7265625" bestFit="1" customWidth="1"/>
    <col min="56" max="57" width="7.7265625" bestFit="1" customWidth="1"/>
  </cols>
  <sheetData>
    <row r="1" spans="1:60" x14ac:dyDescent="0.35">
      <c r="A1" s="200">
        <v>4401.75</v>
      </c>
      <c r="B1" s="261" t="s">
        <v>174</v>
      </c>
      <c r="C1" s="262"/>
      <c r="D1" s="262"/>
      <c r="E1" s="262"/>
      <c r="F1" s="262"/>
      <c r="G1" s="262"/>
      <c r="H1" s="262"/>
      <c r="I1" s="262"/>
      <c r="J1" s="262"/>
      <c r="K1" s="262"/>
      <c r="L1" s="262"/>
      <c r="M1" s="263"/>
      <c r="N1" s="13"/>
      <c r="O1" s="261" t="s">
        <v>175</v>
      </c>
      <c r="P1" s="262"/>
      <c r="Q1" s="262"/>
      <c r="R1" s="262"/>
      <c r="S1" s="262"/>
      <c r="T1" s="262"/>
      <c r="U1" s="262"/>
      <c r="V1" s="262"/>
      <c r="W1" s="262"/>
      <c r="X1" s="262"/>
      <c r="Y1" s="262"/>
      <c r="Z1" s="262"/>
      <c r="AA1" s="13"/>
      <c r="AB1" s="258" t="s">
        <v>176</v>
      </c>
      <c r="AC1" s="259"/>
      <c r="AD1" s="259"/>
      <c r="AE1" s="259"/>
      <c r="AF1" s="259"/>
      <c r="AG1" s="259"/>
      <c r="AH1" s="259"/>
      <c r="AI1" s="259"/>
      <c r="AJ1" s="259"/>
      <c r="AK1" s="259"/>
      <c r="AL1" s="259"/>
      <c r="AM1" s="260"/>
      <c r="AN1" s="13"/>
      <c r="AO1" s="13"/>
      <c r="AP1" s="61"/>
      <c r="AQ1" s="61"/>
      <c r="AT1" s="99"/>
      <c r="AU1" s="99"/>
    </row>
    <row r="2" spans="1:60" ht="87" x14ac:dyDescent="0.35">
      <c r="A2" s="3" t="s">
        <v>10</v>
      </c>
      <c r="B2" s="3" t="s">
        <v>11</v>
      </c>
      <c r="C2" s="3" t="s">
        <v>177</v>
      </c>
      <c r="D2" s="6" t="s">
        <v>13</v>
      </c>
      <c r="E2" s="6" t="s">
        <v>14</v>
      </c>
      <c r="F2" s="231" t="s">
        <v>178</v>
      </c>
      <c r="G2" s="231" t="s">
        <v>17</v>
      </c>
      <c r="H2" s="231" t="s">
        <v>18</v>
      </c>
      <c r="I2" s="232" t="s">
        <v>179</v>
      </c>
      <c r="J2" s="232" t="s">
        <v>20</v>
      </c>
      <c r="K2" s="232" t="s">
        <v>21</v>
      </c>
      <c r="L2" s="8" t="s">
        <v>15</v>
      </c>
      <c r="M2" s="8" t="s">
        <v>16</v>
      </c>
      <c r="N2" s="22"/>
      <c r="O2" s="3" t="s">
        <v>11</v>
      </c>
      <c r="P2" s="3" t="s">
        <v>177</v>
      </c>
      <c r="Q2" s="6" t="s">
        <v>13</v>
      </c>
      <c r="R2" s="6" t="s">
        <v>14</v>
      </c>
      <c r="S2" s="231" t="s">
        <v>178</v>
      </c>
      <c r="T2" s="231" t="s">
        <v>17</v>
      </c>
      <c r="U2" s="231" t="s">
        <v>18</v>
      </c>
      <c r="V2" s="244" t="s">
        <v>179</v>
      </c>
      <c r="W2" s="232" t="s">
        <v>20</v>
      </c>
      <c r="X2" s="232" t="s">
        <v>21</v>
      </c>
      <c r="Y2" s="8" t="s">
        <v>15</v>
      </c>
      <c r="Z2" s="8" t="s">
        <v>16</v>
      </c>
      <c r="AA2" s="22"/>
      <c r="AB2" s="3" t="s">
        <v>11</v>
      </c>
      <c r="AC2" s="3" t="s">
        <v>177</v>
      </c>
      <c r="AD2" s="6" t="s">
        <v>13</v>
      </c>
      <c r="AE2" s="6" t="s">
        <v>14</v>
      </c>
      <c r="AF2" s="231" t="s">
        <v>178</v>
      </c>
      <c r="AG2" s="231" t="s">
        <v>17</v>
      </c>
      <c r="AH2" s="231" t="s">
        <v>18</v>
      </c>
      <c r="AI2" s="232" t="s">
        <v>179</v>
      </c>
      <c r="AJ2" s="232" t="s">
        <v>20</v>
      </c>
      <c r="AK2" s="232" t="s">
        <v>21</v>
      </c>
      <c r="AL2" s="8" t="s">
        <v>15</v>
      </c>
      <c r="AM2" s="8" t="s">
        <v>16</v>
      </c>
      <c r="AN2" s="22"/>
      <c r="AO2" s="3" t="s">
        <v>180</v>
      </c>
      <c r="AP2" s="3" t="s">
        <v>181</v>
      </c>
      <c r="AQ2" s="3" t="s">
        <v>182</v>
      </c>
      <c r="AR2" s="98" t="s">
        <v>183</v>
      </c>
      <c r="AS2" s="98" t="s">
        <v>184</v>
      </c>
      <c r="AT2" s="137" t="s">
        <v>185</v>
      </c>
      <c r="AU2" s="137" t="s">
        <v>186</v>
      </c>
      <c r="AV2" s="3" t="s">
        <v>23</v>
      </c>
      <c r="AW2" s="25" t="s">
        <v>187</v>
      </c>
      <c r="AX2" s="25" t="s">
        <v>188</v>
      </c>
    </row>
    <row r="3" spans="1:60" x14ac:dyDescent="0.35">
      <c r="A3" s="201" t="str">
        <f>+'Summary Budget'!E6</f>
        <v>1.Personal (Laboral)</v>
      </c>
      <c r="B3" s="28"/>
      <c r="C3" s="28"/>
      <c r="D3" s="111"/>
      <c r="E3" s="111"/>
      <c r="F3" s="112"/>
      <c r="G3" s="112">
        <f>SUM(G4:G21)</f>
        <v>593328000</v>
      </c>
      <c r="H3" s="112">
        <f>SUM(H4:H21)</f>
        <v>134793.66161185896</v>
      </c>
      <c r="I3" s="245"/>
      <c r="J3" s="113">
        <f>SUM(J4:J21)</f>
        <v>78600000</v>
      </c>
      <c r="K3" s="113">
        <f>SUM(K4:K21)</f>
        <v>17856.534332935764</v>
      </c>
      <c r="L3" s="29">
        <f>+SUM(L4:L21)</f>
        <v>671928000</v>
      </c>
      <c r="M3" s="29">
        <f>SUM(M4:M21)</f>
        <v>152650.19594479472</v>
      </c>
      <c r="N3" s="31"/>
      <c r="O3" s="28"/>
      <c r="P3" s="28"/>
      <c r="Q3" s="111"/>
      <c r="R3" s="111"/>
      <c r="S3" s="112"/>
      <c r="T3" s="112">
        <f>+SUM(T4:T21)</f>
        <v>652660800</v>
      </c>
      <c r="U3" s="112">
        <f>SUM(U4:U21)</f>
        <v>148273.02777304486</v>
      </c>
      <c r="V3" s="113"/>
      <c r="W3" s="113">
        <f>+SUM(W4:W21)</f>
        <v>86460000</v>
      </c>
      <c r="X3" s="113">
        <f>SUM(X4:X21)</f>
        <v>19642.187766229341</v>
      </c>
      <c r="Y3" s="29">
        <f>+SUM(Y4:Y21)</f>
        <v>739120800</v>
      </c>
      <c r="Z3" s="29">
        <f>SUM(Z4:Z21)</f>
        <v>167915.21553927418</v>
      </c>
      <c r="AA3" s="31"/>
      <c r="AB3" s="28"/>
      <c r="AC3" s="28"/>
      <c r="AD3" s="111"/>
      <c r="AE3" s="111"/>
      <c r="AF3" s="143"/>
      <c r="AG3" s="143">
        <f>SUM(AG4:AG21)</f>
        <v>172587888</v>
      </c>
      <c r="AH3" s="143">
        <f>SUM(AH4:AH21)</f>
        <v>39208.925540978023</v>
      </c>
      <c r="AI3" s="144"/>
      <c r="AJ3" s="144">
        <f>SUM(AJ4:AJ21)</f>
        <v>22809600</v>
      </c>
      <c r="AK3" s="144">
        <f>SUM(AK4:AK21)</f>
        <v>5181.9390015334811</v>
      </c>
      <c r="AL3" s="29">
        <f>+SUM(AL4:AL21)</f>
        <v>195397488</v>
      </c>
      <c r="AM3" s="29">
        <f>SUM(AM4:AM21)</f>
        <v>44390.86454251151</v>
      </c>
      <c r="AN3" s="31"/>
      <c r="AO3" s="31"/>
      <c r="AP3" s="133">
        <f>+SUM(AP4:AP21)</f>
        <v>1606446288</v>
      </c>
      <c r="AQ3" s="133">
        <f>SUM(AQ4:AQ21)</f>
        <v>364956.27602658025</v>
      </c>
      <c r="AR3" s="141">
        <f>+SUM(AR4:AR21)</f>
        <v>1418576688</v>
      </c>
      <c r="AS3" s="141">
        <f>SUM(AS4:AS21)</f>
        <v>322275.61492588167</v>
      </c>
      <c r="AT3" s="142">
        <f>+SUM(AT4:AT21)</f>
        <v>187869600</v>
      </c>
      <c r="AU3" s="142">
        <f>SUM(AU4:AU21)</f>
        <v>42680.661100698584</v>
      </c>
      <c r="AV3" s="39"/>
      <c r="AW3" s="39"/>
      <c r="AX3" s="39"/>
    </row>
    <row r="4" spans="1:60" x14ac:dyDescent="0.35">
      <c r="A4" s="86" t="str">
        <f>+'Summary Budget'!E7</f>
        <v>1.1. Program Coordinator</v>
      </c>
      <c r="B4" s="26" t="s">
        <v>34</v>
      </c>
      <c r="C4" s="26">
        <v>12</v>
      </c>
      <c r="D4" s="115">
        <f>+AW4*AV4</f>
        <v>2000000</v>
      </c>
      <c r="E4" s="115">
        <f>+D4/$A$1</f>
        <v>454.36474129607541</v>
      </c>
      <c r="F4" s="240">
        <v>0</v>
      </c>
      <c r="G4" s="116">
        <f t="shared" ref="G4:G21" si="0">L4*F4</f>
        <v>0</v>
      </c>
      <c r="H4" s="116">
        <f>+G4/$A$1</f>
        <v>0</v>
      </c>
      <c r="I4" s="242">
        <v>1</v>
      </c>
      <c r="J4" s="117">
        <f t="shared" ref="J4:J21" si="1">L4*I4</f>
        <v>24000000</v>
      </c>
      <c r="K4" s="117">
        <f>+J4/$A$1</f>
        <v>5452.3768955529049</v>
      </c>
      <c r="L4" s="247">
        <f>+D4*C4</f>
        <v>24000000</v>
      </c>
      <c r="M4" s="118">
        <f>+L4/$A$1</f>
        <v>5452.3768955529049</v>
      </c>
      <c r="N4" s="119"/>
      <c r="O4" s="26" t="s">
        <v>189</v>
      </c>
      <c r="P4" s="26">
        <v>12</v>
      </c>
      <c r="Q4" s="115">
        <f t="shared" ref="Q4:Q21" si="2">+D4*(1+10%)</f>
        <v>2200000</v>
      </c>
      <c r="R4" s="115">
        <f>+Q4/$A$1</f>
        <v>499.80121542568298</v>
      </c>
      <c r="S4" s="240">
        <v>0</v>
      </c>
      <c r="T4" s="116">
        <f>+S4*Y4</f>
        <v>0</v>
      </c>
      <c r="U4" s="116">
        <f>+T4/$A$1</f>
        <v>0</v>
      </c>
      <c r="V4" s="242">
        <v>1</v>
      </c>
      <c r="W4" s="117">
        <f>+V4*Y4</f>
        <v>26400000</v>
      </c>
      <c r="X4" s="117">
        <f>+W4/$A$1</f>
        <v>5997.6145851081956</v>
      </c>
      <c r="Y4" s="118">
        <f t="shared" ref="Y4:Y21" si="3">+Q4*P4</f>
        <v>26400000</v>
      </c>
      <c r="Z4" s="118">
        <f>+Y4/$A$1</f>
        <v>5997.6145851081956</v>
      </c>
      <c r="AA4" s="119"/>
      <c r="AB4" s="26" t="s">
        <v>189</v>
      </c>
      <c r="AC4" s="26">
        <v>4</v>
      </c>
      <c r="AD4" s="115">
        <f t="shared" ref="AD4:AD21" si="4">+Q4*(1+8%)</f>
        <v>2376000</v>
      </c>
      <c r="AE4" s="115">
        <f>+AD4/$A$1</f>
        <v>539.78531265973766</v>
      </c>
      <c r="AF4" s="240">
        <v>0</v>
      </c>
      <c r="AG4" s="116">
        <f t="shared" ref="AG4:AG21" si="5">+AF4*AL4</f>
        <v>0</v>
      </c>
      <c r="AH4" s="116">
        <f>+AG4/$A$1</f>
        <v>0</v>
      </c>
      <c r="AI4" s="242">
        <v>1</v>
      </c>
      <c r="AJ4" s="117">
        <f t="shared" ref="AJ4:AJ21" si="6">+AI4*AL4</f>
        <v>9504000</v>
      </c>
      <c r="AK4" s="117">
        <f>+AJ4/$A$1</f>
        <v>2159.1412506389506</v>
      </c>
      <c r="AL4" s="118">
        <f t="shared" ref="AL4:AL21" si="7">+AD4*AC4</f>
        <v>9504000</v>
      </c>
      <c r="AM4" s="118">
        <f>+AL4/$A$1</f>
        <v>2159.1412506389506</v>
      </c>
      <c r="AN4" s="119"/>
      <c r="AO4" s="88">
        <f t="shared" ref="AO4:AO21" si="8">+SUM(AC4+P4+C4)</f>
        <v>28</v>
      </c>
      <c r="AP4" s="115">
        <f t="shared" ref="AP4:AP21" si="9">+L4+Y4+AL4</f>
        <v>59904000</v>
      </c>
      <c r="AQ4" s="115">
        <f>+AP4/$A$1</f>
        <v>13609.132731300051</v>
      </c>
      <c r="AR4" s="120">
        <f t="shared" ref="AR4:AR21" si="10">+AP4*F4</f>
        <v>0</v>
      </c>
      <c r="AS4" s="120">
        <f>+AR4/$A$1</f>
        <v>0</v>
      </c>
      <c r="AT4" s="138">
        <f t="shared" ref="AT4:AT21" si="11">+AP4*I4</f>
        <v>59904000</v>
      </c>
      <c r="AU4" s="138">
        <f>+AT4/$A$1</f>
        <v>13609.132731300051</v>
      </c>
      <c r="AV4" s="82">
        <v>0.2</v>
      </c>
      <c r="AW4" s="152">
        <v>10000000</v>
      </c>
      <c r="AX4" s="152">
        <f>+AW4/$A$1</f>
        <v>2271.823706480377</v>
      </c>
      <c r="BA4" s="62">
        <f>+L4</f>
        <v>24000000</v>
      </c>
      <c r="BB4" s="62">
        <f>+Y4</f>
        <v>26400000</v>
      </c>
      <c r="BC4" s="62">
        <f>+AL4</f>
        <v>9504000</v>
      </c>
      <c r="BH4" s="99">
        <f t="shared" ref="BH4:BH21" si="12">+AR4+AT4-AP4</f>
        <v>0</v>
      </c>
    </row>
    <row r="5" spans="1:60" x14ac:dyDescent="0.35">
      <c r="A5" s="86" t="str">
        <f>+'Summary Budget'!E8</f>
        <v>1.2. Business Strengthening Coordinator</v>
      </c>
      <c r="B5" s="26" t="s">
        <v>34</v>
      </c>
      <c r="C5" s="26">
        <v>12</v>
      </c>
      <c r="D5" s="115">
        <f t="shared" ref="D5:D21" si="13">+AW5*AV5</f>
        <v>4122000</v>
      </c>
      <c r="E5" s="115">
        <f t="shared" ref="E5:E21" si="14">+D5/$A$1</f>
        <v>936.44573181121143</v>
      </c>
      <c r="F5" s="240">
        <v>1</v>
      </c>
      <c r="G5" s="116">
        <f t="shared" si="0"/>
        <v>49464000</v>
      </c>
      <c r="H5" s="116">
        <f t="shared" ref="H5:H21" si="15">+G5/$A$1</f>
        <v>11237.348781734538</v>
      </c>
      <c r="I5" s="242">
        <v>0</v>
      </c>
      <c r="J5" s="117">
        <f t="shared" si="1"/>
        <v>0</v>
      </c>
      <c r="K5" s="117">
        <f t="shared" ref="K5:K21" si="16">+J5/$A$1</f>
        <v>0</v>
      </c>
      <c r="L5" s="247">
        <f>+D5*C5*AV5</f>
        <v>49464000</v>
      </c>
      <c r="M5" s="118">
        <f t="shared" ref="M5:M21" si="17">+L5/$A$1</f>
        <v>11237.348781734538</v>
      </c>
      <c r="N5" s="119"/>
      <c r="O5" s="26" t="s">
        <v>189</v>
      </c>
      <c r="P5" s="26">
        <v>12</v>
      </c>
      <c r="Q5" s="115">
        <f t="shared" si="2"/>
        <v>4534200</v>
      </c>
      <c r="R5" s="115">
        <f t="shared" ref="R5:R21" si="18">+Q5/$A$1</f>
        <v>1030.0903049923327</v>
      </c>
      <c r="S5" s="240">
        <v>1</v>
      </c>
      <c r="T5" s="116">
        <f t="shared" ref="T5:T21" si="19">+S5*Y5</f>
        <v>54410400</v>
      </c>
      <c r="U5" s="116">
        <f t="shared" ref="U5:U21" si="20">+T5/$A$1</f>
        <v>12361.08365990799</v>
      </c>
      <c r="V5" s="242">
        <v>0</v>
      </c>
      <c r="W5" s="117">
        <f t="shared" ref="W5:W21" si="21">+V5*Y5</f>
        <v>0</v>
      </c>
      <c r="X5" s="117">
        <f t="shared" ref="X5:X21" si="22">+W5/$A$1</f>
        <v>0</v>
      </c>
      <c r="Y5" s="118">
        <f t="shared" si="3"/>
        <v>54410400</v>
      </c>
      <c r="Z5" s="118">
        <f t="shared" ref="Z5:Z21" si="23">+Y5/$A$1</f>
        <v>12361.08365990799</v>
      </c>
      <c r="AA5" s="119"/>
      <c r="AB5" s="26" t="s">
        <v>189</v>
      </c>
      <c r="AC5" s="26">
        <v>4</v>
      </c>
      <c r="AD5" s="115">
        <f t="shared" si="4"/>
        <v>4896936</v>
      </c>
      <c r="AE5" s="115">
        <f t="shared" ref="AE5:AE21" si="24">+AD5/$A$1</f>
        <v>1112.4975293917191</v>
      </c>
      <c r="AF5" s="240">
        <v>1</v>
      </c>
      <c r="AG5" s="116">
        <f t="shared" si="5"/>
        <v>19587744</v>
      </c>
      <c r="AH5" s="116">
        <f t="shared" ref="AH5:AH21" si="25">+AG5/$A$1</f>
        <v>4449.9901175668765</v>
      </c>
      <c r="AI5" s="242">
        <v>0</v>
      </c>
      <c r="AJ5" s="117">
        <f t="shared" si="6"/>
        <v>0</v>
      </c>
      <c r="AK5" s="117">
        <f t="shared" ref="AK5:AK20" si="26">+AJ5/$A$1</f>
        <v>0</v>
      </c>
      <c r="AL5" s="118">
        <f t="shared" si="7"/>
        <v>19587744</v>
      </c>
      <c r="AM5" s="118">
        <f t="shared" ref="AM5:AM21" si="27">+AL5/$A$1</f>
        <v>4449.9901175668765</v>
      </c>
      <c r="AN5" s="119"/>
      <c r="AO5" s="88">
        <f t="shared" si="8"/>
        <v>28</v>
      </c>
      <c r="AP5" s="115">
        <f t="shared" si="9"/>
        <v>123462144</v>
      </c>
      <c r="AQ5" s="115">
        <f t="shared" ref="AQ5:AQ21" si="28">+AP5/$A$1</f>
        <v>28048.422559209404</v>
      </c>
      <c r="AR5" s="120">
        <f t="shared" si="10"/>
        <v>123462144</v>
      </c>
      <c r="AS5" s="120">
        <f t="shared" ref="AS5:AS21" si="29">+AR5/$A$1</f>
        <v>28048.422559209404</v>
      </c>
      <c r="AT5" s="138">
        <f t="shared" si="11"/>
        <v>0</v>
      </c>
      <c r="AU5" s="138">
        <f t="shared" ref="AU5:AU21" si="30">+AT5/$A$1</f>
        <v>0</v>
      </c>
      <c r="AV5" s="82">
        <v>1</v>
      </c>
      <c r="AW5" s="101">
        <v>4122000</v>
      </c>
      <c r="AX5" s="152">
        <f t="shared" ref="AX5:AX21" si="31">+AW5/$A$1</f>
        <v>936.44573181121143</v>
      </c>
      <c r="BH5" s="99">
        <f t="shared" si="12"/>
        <v>0</v>
      </c>
    </row>
    <row r="6" spans="1:60" x14ac:dyDescent="0.35">
      <c r="A6" s="86" t="str">
        <f>+'Summary Budget'!E9</f>
        <v>1.3. Cacao technical specialist</v>
      </c>
      <c r="B6" s="26" t="s">
        <v>34</v>
      </c>
      <c r="C6" s="26">
        <v>12</v>
      </c>
      <c r="D6" s="115">
        <f t="shared" si="13"/>
        <v>4122000</v>
      </c>
      <c r="E6" s="115">
        <f t="shared" si="14"/>
        <v>936.44573181121143</v>
      </c>
      <c r="F6" s="240">
        <v>1</v>
      </c>
      <c r="G6" s="116">
        <f t="shared" si="0"/>
        <v>49464000</v>
      </c>
      <c r="H6" s="116">
        <f t="shared" si="15"/>
        <v>11237.348781734538</v>
      </c>
      <c r="I6" s="242">
        <v>0</v>
      </c>
      <c r="J6" s="117">
        <f t="shared" si="1"/>
        <v>0</v>
      </c>
      <c r="K6" s="117">
        <f t="shared" si="16"/>
        <v>0</v>
      </c>
      <c r="L6" s="247">
        <f>+D6*C6*AV6</f>
        <v>49464000</v>
      </c>
      <c r="M6" s="118">
        <f t="shared" si="17"/>
        <v>11237.348781734538</v>
      </c>
      <c r="N6" s="119"/>
      <c r="O6" s="26" t="s">
        <v>189</v>
      </c>
      <c r="P6" s="26">
        <v>12</v>
      </c>
      <c r="Q6" s="115">
        <f t="shared" si="2"/>
        <v>4534200</v>
      </c>
      <c r="R6" s="115">
        <f t="shared" si="18"/>
        <v>1030.0903049923327</v>
      </c>
      <c r="S6" s="240">
        <v>1</v>
      </c>
      <c r="T6" s="116">
        <f t="shared" si="19"/>
        <v>54410400</v>
      </c>
      <c r="U6" s="116">
        <f t="shared" si="20"/>
        <v>12361.08365990799</v>
      </c>
      <c r="V6" s="242">
        <v>0</v>
      </c>
      <c r="W6" s="117">
        <f t="shared" si="21"/>
        <v>0</v>
      </c>
      <c r="X6" s="117">
        <f t="shared" si="22"/>
        <v>0</v>
      </c>
      <c r="Y6" s="118">
        <f t="shared" si="3"/>
        <v>54410400</v>
      </c>
      <c r="Z6" s="118">
        <f t="shared" si="23"/>
        <v>12361.08365990799</v>
      </c>
      <c r="AA6" s="119"/>
      <c r="AB6" s="26" t="s">
        <v>189</v>
      </c>
      <c r="AC6" s="26">
        <v>4</v>
      </c>
      <c r="AD6" s="115">
        <f t="shared" si="4"/>
        <v>4896936</v>
      </c>
      <c r="AE6" s="115">
        <f t="shared" si="24"/>
        <v>1112.4975293917191</v>
      </c>
      <c r="AF6" s="240">
        <v>1</v>
      </c>
      <c r="AG6" s="116">
        <f t="shared" si="5"/>
        <v>19587744</v>
      </c>
      <c r="AH6" s="116">
        <f t="shared" si="25"/>
        <v>4449.9901175668765</v>
      </c>
      <c r="AI6" s="242">
        <v>0</v>
      </c>
      <c r="AJ6" s="117">
        <f t="shared" si="6"/>
        <v>0</v>
      </c>
      <c r="AK6" s="117">
        <f t="shared" si="26"/>
        <v>0</v>
      </c>
      <c r="AL6" s="118">
        <f t="shared" si="7"/>
        <v>19587744</v>
      </c>
      <c r="AM6" s="118">
        <f t="shared" si="27"/>
        <v>4449.9901175668765</v>
      </c>
      <c r="AN6" s="119"/>
      <c r="AO6" s="88">
        <f t="shared" si="8"/>
        <v>28</v>
      </c>
      <c r="AP6" s="115">
        <f t="shared" si="9"/>
        <v>123462144</v>
      </c>
      <c r="AQ6" s="115">
        <f t="shared" si="28"/>
        <v>28048.422559209404</v>
      </c>
      <c r="AR6" s="120">
        <f t="shared" si="10"/>
        <v>123462144</v>
      </c>
      <c r="AS6" s="120">
        <f t="shared" si="29"/>
        <v>28048.422559209404</v>
      </c>
      <c r="AT6" s="138">
        <f t="shared" si="11"/>
        <v>0</v>
      </c>
      <c r="AU6" s="138">
        <f t="shared" si="30"/>
        <v>0</v>
      </c>
      <c r="AV6" s="82">
        <v>1</v>
      </c>
      <c r="AW6" s="101">
        <v>4122000</v>
      </c>
      <c r="AX6" s="152">
        <f t="shared" si="31"/>
        <v>936.44573181121143</v>
      </c>
      <c r="BH6" s="99">
        <f t="shared" si="12"/>
        <v>0</v>
      </c>
    </row>
    <row r="7" spans="1:60" x14ac:dyDescent="0.35">
      <c r="A7" s="86" t="str">
        <f>+'Summary Budget'!E10</f>
        <v>1.4. Organizational Professional</v>
      </c>
      <c r="B7" s="26" t="s">
        <v>34</v>
      </c>
      <c r="C7" s="26">
        <v>12</v>
      </c>
      <c r="D7" s="115">
        <f>+AW7*AV7</f>
        <v>3200000</v>
      </c>
      <c r="E7" s="115">
        <f t="shared" si="14"/>
        <v>726.98358607372063</v>
      </c>
      <c r="F7" s="240">
        <v>0.75</v>
      </c>
      <c r="G7" s="116">
        <f t="shared" si="0"/>
        <v>28800000</v>
      </c>
      <c r="H7" s="116">
        <f t="shared" si="15"/>
        <v>6542.8522746634862</v>
      </c>
      <c r="I7" s="242">
        <v>0.25</v>
      </c>
      <c r="J7" s="117">
        <f t="shared" si="1"/>
        <v>9600000</v>
      </c>
      <c r="K7" s="117">
        <f t="shared" si="16"/>
        <v>2180.9507582211622</v>
      </c>
      <c r="L7" s="247">
        <f t="shared" ref="L7:L21" si="32">+D7*C7</f>
        <v>38400000</v>
      </c>
      <c r="M7" s="118">
        <f t="shared" si="17"/>
        <v>8723.8030328846489</v>
      </c>
      <c r="N7" s="119"/>
      <c r="O7" s="26" t="s">
        <v>189</v>
      </c>
      <c r="P7" s="26">
        <v>12</v>
      </c>
      <c r="Q7" s="115">
        <f t="shared" si="2"/>
        <v>3520000.0000000005</v>
      </c>
      <c r="R7" s="115">
        <f t="shared" si="18"/>
        <v>799.68194468109289</v>
      </c>
      <c r="S7" s="240">
        <v>0.75</v>
      </c>
      <c r="T7" s="116">
        <f t="shared" si="19"/>
        <v>31680000.000000007</v>
      </c>
      <c r="U7" s="116">
        <f t="shared" si="20"/>
        <v>7197.1375021298363</v>
      </c>
      <c r="V7" s="242">
        <v>0.25</v>
      </c>
      <c r="W7" s="117">
        <f t="shared" si="21"/>
        <v>10560000.000000002</v>
      </c>
      <c r="X7" s="117">
        <f t="shared" si="22"/>
        <v>2399.0458340432788</v>
      </c>
      <c r="Y7" s="118">
        <f t="shared" si="3"/>
        <v>42240000.000000007</v>
      </c>
      <c r="Z7" s="118">
        <f t="shared" si="23"/>
        <v>9596.1833361731151</v>
      </c>
      <c r="AA7" s="119"/>
      <c r="AB7" s="26" t="s">
        <v>189</v>
      </c>
      <c r="AC7" s="26">
        <v>4</v>
      </c>
      <c r="AD7" s="115">
        <f t="shared" si="4"/>
        <v>3801600.0000000009</v>
      </c>
      <c r="AE7" s="115">
        <f t="shared" si="24"/>
        <v>863.65650025558034</v>
      </c>
      <c r="AF7" s="240">
        <v>0.75</v>
      </c>
      <c r="AG7" s="116">
        <f t="shared" si="5"/>
        <v>11404800.000000004</v>
      </c>
      <c r="AH7" s="116">
        <f t="shared" si="25"/>
        <v>2590.9695007667415</v>
      </c>
      <c r="AI7" s="242">
        <v>0.25</v>
      </c>
      <c r="AJ7" s="117">
        <f t="shared" si="6"/>
        <v>3801600.0000000009</v>
      </c>
      <c r="AK7" s="117">
        <f t="shared" si="26"/>
        <v>863.65650025558034</v>
      </c>
      <c r="AL7" s="118">
        <f t="shared" si="7"/>
        <v>15206400.000000004</v>
      </c>
      <c r="AM7" s="118">
        <f t="shared" si="27"/>
        <v>3454.6260010223214</v>
      </c>
      <c r="AN7" s="119"/>
      <c r="AO7" s="88">
        <f t="shared" si="8"/>
        <v>28</v>
      </c>
      <c r="AP7" s="115">
        <f t="shared" si="9"/>
        <v>95846400</v>
      </c>
      <c r="AQ7" s="115">
        <f t="shared" si="28"/>
        <v>21774.612370080082</v>
      </c>
      <c r="AR7" s="120">
        <f t="shared" si="10"/>
        <v>71884800</v>
      </c>
      <c r="AS7" s="120">
        <f t="shared" si="29"/>
        <v>16330.959277560061</v>
      </c>
      <c r="AT7" s="138">
        <f t="shared" si="11"/>
        <v>23961600</v>
      </c>
      <c r="AU7" s="138">
        <f t="shared" si="30"/>
        <v>5443.6530925200204</v>
      </c>
      <c r="AV7" s="82">
        <v>0.8</v>
      </c>
      <c r="AW7" s="101">
        <v>4000000</v>
      </c>
      <c r="AX7" s="152">
        <f t="shared" si="31"/>
        <v>908.72948259215082</v>
      </c>
      <c r="BA7" s="35">
        <f>+L7*20/100</f>
        <v>7680000</v>
      </c>
      <c r="BB7" s="35">
        <f>+Y7*20/100</f>
        <v>8448000.0000000019</v>
      </c>
      <c r="BC7" s="35">
        <f>+AL7*20/100</f>
        <v>3041280.0000000005</v>
      </c>
      <c r="BH7" s="99">
        <f t="shared" si="12"/>
        <v>0</v>
      </c>
    </row>
    <row r="8" spans="1:60" x14ac:dyDescent="0.35">
      <c r="A8" s="86" t="str">
        <f>+'Summary Budget'!E11</f>
        <v>1.5. F&amp;A Specialist</v>
      </c>
      <c r="B8" s="26" t="s">
        <v>34</v>
      </c>
      <c r="C8" s="26">
        <v>12</v>
      </c>
      <c r="D8" s="115">
        <f t="shared" si="13"/>
        <v>1900000</v>
      </c>
      <c r="E8" s="115">
        <f t="shared" si="14"/>
        <v>431.64650423127165</v>
      </c>
      <c r="F8" s="240">
        <v>1</v>
      </c>
      <c r="G8" s="116">
        <f t="shared" si="0"/>
        <v>22800000</v>
      </c>
      <c r="H8" s="116">
        <f t="shared" si="15"/>
        <v>5179.75805077526</v>
      </c>
      <c r="I8" s="242">
        <v>0</v>
      </c>
      <c r="J8" s="117">
        <f t="shared" si="1"/>
        <v>0</v>
      </c>
      <c r="K8" s="117">
        <f t="shared" si="16"/>
        <v>0</v>
      </c>
      <c r="L8" s="247">
        <f t="shared" si="32"/>
        <v>22800000</v>
      </c>
      <c r="M8" s="118">
        <f t="shared" si="17"/>
        <v>5179.75805077526</v>
      </c>
      <c r="N8" s="119"/>
      <c r="O8" s="26" t="s">
        <v>189</v>
      </c>
      <c r="P8" s="26">
        <v>12</v>
      </c>
      <c r="Q8" s="115">
        <f t="shared" si="2"/>
        <v>2090000.0000000002</v>
      </c>
      <c r="R8" s="115">
        <f t="shared" si="18"/>
        <v>474.81115465439888</v>
      </c>
      <c r="S8" s="240">
        <v>1</v>
      </c>
      <c r="T8" s="116">
        <f t="shared" si="19"/>
        <v>25080000.000000004</v>
      </c>
      <c r="U8" s="116">
        <f t="shared" si="20"/>
        <v>5697.7338558527863</v>
      </c>
      <c r="V8" s="242">
        <v>0</v>
      </c>
      <c r="W8" s="117">
        <f t="shared" si="21"/>
        <v>0</v>
      </c>
      <c r="X8" s="117">
        <f t="shared" si="22"/>
        <v>0</v>
      </c>
      <c r="Y8" s="118">
        <f t="shared" si="3"/>
        <v>25080000.000000004</v>
      </c>
      <c r="Z8" s="118">
        <f t="shared" si="23"/>
        <v>5697.7338558527863</v>
      </c>
      <c r="AA8" s="119"/>
      <c r="AB8" s="26" t="s">
        <v>189</v>
      </c>
      <c r="AC8" s="26">
        <v>4</v>
      </c>
      <c r="AD8" s="115">
        <f t="shared" si="4"/>
        <v>2257200.0000000005</v>
      </c>
      <c r="AE8" s="115">
        <f t="shared" si="24"/>
        <v>512.79604702675078</v>
      </c>
      <c r="AF8" s="240">
        <v>1</v>
      </c>
      <c r="AG8" s="116">
        <f t="shared" si="5"/>
        <v>9028800.0000000019</v>
      </c>
      <c r="AH8" s="116">
        <f t="shared" si="25"/>
        <v>2051.1841881070031</v>
      </c>
      <c r="AI8" s="242">
        <v>0</v>
      </c>
      <c r="AJ8" s="117">
        <f t="shared" si="6"/>
        <v>0</v>
      </c>
      <c r="AK8" s="117">
        <f t="shared" si="26"/>
        <v>0</v>
      </c>
      <c r="AL8" s="118">
        <f t="shared" si="7"/>
        <v>9028800.0000000019</v>
      </c>
      <c r="AM8" s="118">
        <f t="shared" si="27"/>
        <v>2051.1841881070031</v>
      </c>
      <c r="AN8" s="119"/>
      <c r="AO8" s="88">
        <f t="shared" si="8"/>
        <v>28</v>
      </c>
      <c r="AP8" s="115">
        <f t="shared" si="9"/>
        <v>56908800</v>
      </c>
      <c r="AQ8" s="115">
        <f t="shared" si="28"/>
        <v>12928.676094735049</v>
      </c>
      <c r="AR8" s="120">
        <f t="shared" si="10"/>
        <v>56908800</v>
      </c>
      <c r="AS8" s="120">
        <f t="shared" si="29"/>
        <v>12928.676094735049</v>
      </c>
      <c r="AT8" s="138">
        <f t="shared" si="11"/>
        <v>0</v>
      </c>
      <c r="AU8" s="138">
        <f t="shared" si="30"/>
        <v>0</v>
      </c>
      <c r="AV8" s="82">
        <v>0.5</v>
      </c>
      <c r="AW8" s="101">
        <v>3800000</v>
      </c>
      <c r="AX8" s="152">
        <f t="shared" si="31"/>
        <v>863.2930084625433</v>
      </c>
      <c r="BH8" s="99">
        <f t="shared" si="12"/>
        <v>0</v>
      </c>
    </row>
    <row r="9" spans="1:60" x14ac:dyDescent="0.35">
      <c r="A9" s="86" t="str">
        <f>+'Summary Budget'!E12</f>
        <v>1.6. Business Partner Professional Antioquia, Córdoba 1</v>
      </c>
      <c r="B9" s="26" t="s">
        <v>34</v>
      </c>
      <c r="C9" s="26">
        <v>12</v>
      </c>
      <c r="D9" s="115">
        <f t="shared" si="13"/>
        <v>3500000</v>
      </c>
      <c r="E9" s="115">
        <f t="shared" si="14"/>
        <v>795.13829726813196</v>
      </c>
      <c r="F9" s="240">
        <v>1</v>
      </c>
      <c r="G9" s="116">
        <f t="shared" si="0"/>
        <v>42000000</v>
      </c>
      <c r="H9" s="116">
        <f t="shared" si="15"/>
        <v>9541.6595672175845</v>
      </c>
      <c r="I9" s="242">
        <v>0</v>
      </c>
      <c r="J9" s="117">
        <f t="shared" si="1"/>
        <v>0</v>
      </c>
      <c r="K9" s="117">
        <f t="shared" si="16"/>
        <v>0</v>
      </c>
      <c r="L9" s="247">
        <f t="shared" si="32"/>
        <v>42000000</v>
      </c>
      <c r="M9" s="118">
        <f t="shared" si="17"/>
        <v>9541.6595672175845</v>
      </c>
      <c r="N9" s="119"/>
      <c r="O9" s="26" t="s">
        <v>189</v>
      </c>
      <c r="P9" s="26">
        <v>12</v>
      </c>
      <c r="Q9" s="115">
        <f t="shared" si="2"/>
        <v>3850000.0000000005</v>
      </c>
      <c r="R9" s="115">
        <f t="shared" si="18"/>
        <v>874.65212699494532</v>
      </c>
      <c r="S9" s="240">
        <v>1</v>
      </c>
      <c r="T9" s="116">
        <f t="shared" si="19"/>
        <v>46200000.000000007</v>
      </c>
      <c r="U9" s="116">
        <f t="shared" si="20"/>
        <v>10495.825523939344</v>
      </c>
      <c r="V9" s="242">
        <v>0</v>
      </c>
      <c r="W9" s="117">
        <f t="shared" si="21"/>
        <v>0</v>
      </c>
      <c r="X9" s="117">
        <f t="shared" si="22"/>
        <v>0</v>
      </c>
      <c r="Y9" s="118">
        <f t="shared" si="3"/>
        <v>46200000.000000007</v>
      </c>
      <c r="Z9" s="118">
        <f t="shared" si="23"/>
        <v>10495.825523939344</v>
      </c>
      <c r="AA9" s="119"/>
      <c r="AB9" s="26" t="s">
        <v>189</v>
      </c>
      <c r="AC9" s="26">
        <v>3</v>
      </c>
      <c r="AD9" s="115">
        <f t="shared" si="4"/>
        <v>4158000.0000000009</v>
      </c>
      <c r="AE9" s="115">
        <f t="shared" si="24"/>
        <v>944.62429715454107</v>
      </c>
      <c r="AF9" s="240">
        <v>1</v>
      </c>
      <c r="AG9" s="116">
        <f t="shared" si="5"/>
        <v>12474000.000000004</v>
      </c>
      <c r="AH9" s="116">
        <f t="shared" si="25"/>
        <v>2833.8728914636231</v>
      </c>
      <c r="AI9" s="242">
        <v>0</v>
      </c>
      <c r="AJ9" s="117">
        <f t="shared" si="6"/>
        <v>0</v>
      </c>
      <c r="AK9" s="117">
        <f t="shared" si="26"/>
        <v>0</v>
      </c>
      <c r="AL9" s="118">
        <f t="shared" si="7"/>
        <v>12474000.000000004</v>
      </c>
      <c r="AM9" s="118">
        <f t="shared" si="27"/>
        <v>2833.8728914636231</v>
      </c>
      <c r="AN9" s="119"/>
      <c r="AO9" s="88">
        <f t="shared" si="8"/>
        <v>27</v>
      </c>
      <c r="AP9" s="115">
        <f t="shared" si="9"/>
        <v>100674000</v>
      </c>
      <c r="AQ9" s="115">
        <f t="shared" si="28"/>
        <v>22871.35798262055</v>
      </c>
      <c r="AR9" s="120">
        <f t="shared" si="10"/>
        <v>100674000</v>
      </c>
      <c r="AS9" s="120">
        <f t="shared" si="29"/>
        <v>22871.35798262055</v>
      </c>
      <c r="AT9" s="138">
        <f t="shared" si="11"/>
        <v>0</v>
      </c>
      <c r="AU9" s="138">
        <f t="shared" si="30"/>
        <v>0</v>
      </c>
      <c r="AV9" s="82">
        <v>1</v>
      </c>
      <c r="AW9" s="101">
        <v>3500000</v>
      </c>
      <c r="AX9" s="152">
        <f t="shared" si="31"/>
        <v>795.13829726813196</v>
      </c>
      <c r="BH9" s="99">
        <f t="shared" si="12"/>
        <v>0</v>
      </c>
    </row>
    <row r="10" spans="1:60" x14ac:dyDescent="0.35">
      <c r="A10" s="202" t="str">
        <f>+'Summary Budget'!E13</f>
        <v>1.7. Business Partner Professional Antioquia, Córdoba 2</v>
      </c>
      <c r="B10" s="26" t="s">
        <v>34</v>
      </c>
      <c r="C10" s="156">
        <v>12</v>
      </c>
      <c r="D10" s="126">
        <f t="shared" si="13"/>
        <v>3500000</v>
      </c>
      <c r="E10" s="115">
        <f t="shared" si="14"/>
        <v>795.13829726813196</v>
      </c>
      <c r="F10" s="241">
        <v>1</v>
      </c>
      <c r="G10" s="120">
        <f t="shared" si="0"/>
        <v>42000000</v>
      </c>
      <c r="H10" s="116">
        <f t="shared" si="15"/>
        <v>9541.6595672175845</v>
      </c>
      <c r="I10" s="243">
        <v>0</v>
      </c>
      <c r="J10" s="157">
        <f t="shared" si="1"/>
        <v>0</v>
      </c>
      <c r="K10" s="117">
        <f t="shared" si="16"/>
        <v>0</v>
      </c>
      <c r="L10" s="248">
        <f t="shared" si="32"/>
        <v>42000000</v>
      </c>
      <c r="M10" s="118">
        <f t="shared" si="17"/>
        <v>9541.6595672175845</v>
      </c>
      <c r="N10" s="159"/>
      <c r="O10" s="156" t="s">
        <v>189</v>
      </c>
      <c r="P10" s="156">
        <v>12</v>
      </c>
      <c r="Q10" s="126">
        <f t="shared" si="2"/>
        <v>3850000.0000000005</v>
      </c>
      <c r="R10" s="115">
        <f t="shared" si="18"/>
        <v>874.65212699494532</v>
      </c>
      <c r="S10" s="241">
        <v>1</v>
      </c>
      <c r="T10" s="116">
        <f t="shared" si="19"/>
        <v>46200000.000000007</v>
      </c>
      <c r="U10" s="116">
        <f t="shared" si="20"/>
        <v>10495.825523939344</v>
      </c>
      <c r="V10" s="243">
        <v>0</v>
      </c>
      <c r="W10" s="117">
        <f t="shared" si="21"/>
        <v>0</v>
      </c>
      <c r="X10" s="117">
        <f t="shared" si="22"/>
        <v>0</v>
      </c>
      <c r="Y10" s="158">
        <f t="shared" si="3"/>
        <v>46200000.000000007</v>
      </c>
      <c r="Z10" s="118">
        <f t="shared" si="23"/>
        <v>10495.825523939344</v>
      </c>
      <c r="AA10" s="159"/>
      <c r="AB10" s="156" t="s">
        <v>189</v>
      </c>
      <c r="AC10" s="156">
        <v>0</v>
      </c>
      <c r="AD10" s="126">
        <f t="shared" si="4"/>
        <v>4158000.0000000009</v>
      </c>
      <c r="AE10" s="115">
        <f t="shared" si="24"/>
        <v>944.62429715454107</v>
      </c>
      <c r="AF10" s="241">
        <v>1</v>
      </c>
      <c r="AG10" s="116">
        <f t="shared" si="5"/>
        <v>0</v>
      </c>
      <c r="AH10" s="116">
        <f t="shared" si="25"/>
        <v>0</v>
      </c>
      <c r="AI10" s="243">
        <v>0</v>
      </c>
      <c r="AJ10" s="117">
        <f t="shared" si="6"/>
        <v>0</v>
      </c>
      <c r="AK10" s="117">
        <f t="shared" si="26"/>
        <v>0</v>
      </c>
      <c r="AL10" s="158">
        <f t="shared" si="7"/>
        <v>0</v>
      </c>
      <c r="AM10" s="118">
        <f t="shared" si="27"/>
        <v>0</v>
      </c>
      <c r="AN10" s="159"/>
      <c r="AO10" s="160">
        <f t="shared" si="8"/>
        <v>24</v>
      </c>
      <c r="AP10" s="126">
        <f t="shared" si="9"/>
        <v>88200000</v>
      </c>
      <c r="AQ10" s="115">
        <f t="shared" si="28"/>
        <v>20037.485091156927</v>
      </c>
      <c r="AR10" s="120">
        <f t="shared" si="10"/>
        <v>88200000</v>
      </c>
      <c r="AS10" s="120">
        <f t="shared" si="29"/>
        <v>20037.485091156927</v>
      </c>
      <c r="AT10" s="162">
        <f t="shared" si="11"/>
        <v>0</v>
      </c>
      <c r="AU10" s="138">
        <f t="shared" si="30"/>
        <v>0</v>
      </c>
      <c r="AV10" s="161">
        <v>1</v>
      </c>
      <c r="AW10" s="163">
        <v>3500000</v>
      </c>
      <c r="AX10" s="152">
        <f t="shared" si="31"/>
        <v>795.13829726813196</v>
      </c>
      <c r="BH10" s="164">
        <f t="shared" si="12"/>
        <v>0</v>
      </c>
    </row>
    <row r="11" spans="1:60" x14ac:dyDescent="0.35">
      <c r="A11" s="202" t="str">
        <f>+'Summary Budget'!E14</f>
        <v>1.8. Business Partner Professional Caldas</v>
      </c>
      <c r="B11" s="26" t="s">
        <v>34</v>
      </c>
      <c r="C11" s="156">
        <v>12</v>
      </c>
      <c r="D11" s="126">
        <f t="shared" si="13"/>
        <v>3500000</v>
      </c>
      <c r="E11" s="115">
        <f t="shared" si="14"/>
        <v>795.13829726813196</v>
      </c>
      <c r="F11" s="241">
        <v>1</v>
      </c>
      <c r="G11" s="120">
        <f t="shared" si="0"/>
        <v>42000000</v>
      </c>
      <c r="H11" s="116">
        <f t="shared" si="15"/>
        <v>9541.6595672175845</v>
      </c>
      <c r="I11" s="243">
        <v>0</v>
      </c>
      <c r="J11" s="157">
        <f t="shared" si="1"/>
        <v>0</v>
      </c>
      <c r="K11" s="117">
        <f t="shared" si="16"/>
        <v>0</v>
      </c>
      <c r="L11" s="248">
        <f t="shared" si="32"/>
        <v>42000000</v>
      </c>
      <c r="M11" s="118">
        <f t="shared" si="17"/>
        <v>9541.6595672175845</v>
      </c>
      <c r="N11" s="159"/>
      <c r="O11" s="156" t="s">
        <v>189</v>
      </c>
      <c r="P11" s="156">
        <v>12</v>
      </c>
      <c r="Q11" s="126">
        <f t="shared" si="2"/>
        <v>3850000.0000000005</v>
      </c>
      <c r="R11" s="115">
        <f t="shared" si="18"/>
        <v>874.65212699494532</v>
      </c>
      <c r="S11" s="241">
        <v>1</v>
      </c>
      <c r="T11" s="116">
        <f t="shared" si="19"/>
        <v>46200000.000000007</v>
      </c>
      <c r="U11" s="116">
        <f t="shared" si="20"/>
        <v>10495.825523939344</v>
      </c>
      <c r="V11" s="243">
        <v>0</v>
      </c>
      <c r="W11" s="117">
        <f t="shared" si="21"/>
        <v>0</v>
      </c>
      <c r="X11" s="117">
        <f t="shared" si="22"/>
        <v>0</v>
      </c>
      <c r="Y11" s="158">
        <f t="shared" si="3"/>
        <v>46200000.000000007</v>
      </c>
      <c r="Z11" s="118">
        <f t="shared" si="23"/>
        <v>10495.825523939344</v>
      </c>
      <c r="AA11" s="159"/>
      <c r="AB11" s="156" t="s">
        <v>189</v>
      </c>
      <c r="AC11" s="156">
        <v>3</v>
      </c>
      <c r="AD11" s="126">
        <f t="shared" si="4"/>
        <v>4158000.0000000009</v>
      </c>
      <c r="AE11" s="115">
        <f t="shared" si="24"/>
        <v>944.62429715454107</v>
      </c>
      <c r="AF11" s="241">
        <v>1</v>
      </c>
      <c r="AG11" s="116">
        <f t="shared" si="5"/>
        <v>12474000.000000004</v>
      </c>
      <c r="AH11" s="116">
        <f t="shared" si="25"/>
        <v>2833.8728914636231</v>
      </c>
      <c r="AI11" s="243">
        <v>0</v>
      </c>
      <c r="AJ11" s="117">
        <f t="shared" si="6"/>
        <v>0</v>
      </c>
      <c r="AK11" s="117">
        <f t="shared" si="26"/>
        <v>0</v>
      </c>
      <c r="AL11" s="158">
        <f t="shared" si="7"/>
        <v>12474000.000000004</v>
      </c>
      <c r="AM11" s="118">
        <f t="shared" si="27"/>
        <v>2833.8728914636231</v>
      </c>
      <c r="AN11" s="159"/>
      <c r="AO11" s="160">
        <f t="shared" si="8"/>
        <v>27</v>
      </c>
      <c r="AP11" s="126">
        <f t="shared" si="9"/>
        <v>100674000</v>
      </c>
      <c r="AQ11" s="115">
        <f t="shared" si="28"/>
        <v>22871.35798262055</v>
      </c>
      <c r="AR11" s="120">
        <f t="shared" si="10"/>
        <v>100674000</v>
      </c>
      <c r="AS11" s="120">
        <f t="shared" si="29"/>
        <v>22871.35798262055</v>
      </c>
      <c r="AT11" s="162">
        <f t="shared" si="11"/>
        <v>0</v>
      </c>
      <c r="AU11" s="138">
        <f t="shared" si="30"/>
        <v>0</v>
      </c>
      <c r="AV11" s="161">
        <v>1</v>
      </c>
      <c r="AW11" s="163">
        <v>3500000</v>
      </c>
      <c r="AX11" s="152">
        <f t="shared" si="31"/>
        <v>795.13829726813196</v>
      </c>
      <c r="BH11" s="164">
        <f t="shared" si="12"/>
        <v>0</v>
      </c>
    </row>
    <row r="12" spans="1:60" ht="29" x14ac:dyDescent="0.35">
      <c r="A12" s="202" t="str">
        <f>+'Summary Budget'!E15</f>
        <v>1.9. Business Partner Professional Guajira, Cesar, Magdalena</v>
      </c>
      <c r="B12" s="26" t="s">
        <v>34</v>
      </c>
      <c r="C12" s="156">
        <v>12</v>
      </c>
      <c r="D12" s="126">
        <f t="shared" si="13"/>
        <v>3500000</v>
      </c>
      <c r="E12" s="115">
        <f t="shared" si="14"/>
        <v>795.13829726813196</v>
      </c>
      <c r="F12" s="241">
        <v>1</v>
      </c>
      <c r="G12" s="120">
        <f t="shared" si="0"/>
        <v>42000000</v>
      </c>
      <c r="H12" s="116">
        <f t="shared" si="15"/>
        <v>9541.6595672175845</v>
      </c>
      <c r="I12" s="243">
        <v>0</v>
      </c>
      <c r="J12" s="157">
        <f t="shared" si="1"/>
        <v>0</v>
      </c>
      <c r="K12" s="117">
        <f t="shared" si="16"/>
        <v>0</v>
      </c>
      <c r="L12" s="248">
        <f t="shared" si="32"/>
        <v>42000000</v>
      </c>
      <c r="M12" s="118">
        <f t="shared" si="17"/>
        <v>9541.6595672175845</v>
      </c>
      <c r="N12" s="159"/>
      <c r="O12" s="156" t="s">
        <v>189</v>
      </c>
      <c r="P12" s="156">
        <v>12</v>
      </c>
      <c r="Q12" s="126">
        <f t="shared" si="2"/>
        <v>3850000.0000000005</v>
      </c>
      <c r="R12" s="115">
        <f t="shared" si="18"/>
        <v>874.65212699494532</v>
      </c>
      <c r="S12" s="241">
        <v>1</v>
      </c>
      <c r="T12" s="116">
        <f t="shared" si="19"/>
        <v>46200000.000000007</v>
      </c>
      <c r="U12" s="116">
        <f t="shared" si="20"/>
        <v>10495.825523939344</v>
      </c>
      <c r="V12" s="243">
        <v>0</v>
      </c>
      <c r="W12" s="117">
        <f t="shared" si="21"/>
        <v>0</v>
      </c>
      <c r="X12" s="117">
        <f t="shared" si="22"/>
        <v>0</v>
      </c>
      <c r="Y12" s="158">
        <f t="shared" si="3"/>
        <v>46200000.000000007</v>
      </c>
      <c r="Z12" s="118">
        <f t="shared" si="23"/>
        <v>10495.825523939344</v>
      </c>
      <c r="AA12" s="159"/>
      <c r="AB12" s="156" t="s">
        <v>189</v>
      </c>
      <c r="AC12" s="156">
        <v>3</v>
      </c>
      <c r="AD12" s="126">
        <f t="shared" si="4"/>
        <v>4158000.0000000009</v>
      </c>
      <c r="AE12" s="115">
        <f t="shared" si="24"/>
        <v>944.62429715454107</v>
      </c>
      <c r="AF12" s="241">
        <v>1</v>
      </c>
      <c r="AG12" s="116">
        <f t="shared" si="5"/>
        <v>12474000.000000004</v>
      </c>
      <c r="AH12" s="116">
        <f t="shared" si="25"/>
        <v>2833.8728914636231</v>
      </c>
      <c r="AI12" s="243">
        <v>0</v>
      </c>
      <c r="AJ12" s="117">
        <f t="shared" si="6"/>
        <v>0</v>
      </c>
      <c r="AK12" s="117">
        <f t="shared" si="26"/>
        <v>0</v>
      </c>
      <c r="AL12" s="158">
        <f t="shared" si="7"/>
        <v>12474000.000000004</v>
      </c>
      <c r="AM12" s="118">
        <f t="shared" si="27"/>
        <v>2833.8728914636231</v>
      </c>
      <c r="AN12" s="159"/>
      <c r="AO12" s="160">
        <f t="shared" si="8"/>
        <v>27</v>
      </c>
      <c r="AP12" s="126">
        <f t="shared" si="9"/>
        <v>100674000</v>
      </c>
      <c r="AQ12" s="115">
        <f t="shared" si="28"/>
        <v>22871.35798262055</v>
      </c>
      <c r="AR12" s="120">
        <f t="shared" si="10"/>
        <v>100674000</v>
      </c>
      <c r="AS12" s="120">
        <f t="shared" si="29"/>
        <v>22871.35798262055</v>
      </c>
      <c r="AT12" s="162">
        <f t="shared" si="11"/>
        <v>0</v>
      </c>
      <c r="AU12" s="138">
        <f t="shared" si="30"/>
        <v>0</v>
      </c>
      <c r="AV12" s="161">
        <v>1</v>
      </c>
      <c r="AW12" s="163">
        <v>3500000</v>
      </c>
      <c r="AX12" s="152">
        <f t="shared" si="31"/>
        <v>795.13829726813196</v>
      </c>
      <c r="BH12" s="164">
        <f t="shared" si="12"/>
        <v>0</v>
      </c>
    </row>
    <row r="13" spans="1:60" x14ac:dyDescent="0.35">
      <c r="A13" s="202" t="str">
        <f>+'Summary Budget'!E16</f>
        <v>1.10. Business Partner Professional Huila</v>
      </c>
      <c r="B13" s="26" t="s">
        <v>34</v>
      </c>
      <c r="C13" s="156">
        <v>12</v>
      </c>
      <c r="D13" s="126">
        <f t="shared" si="13"/>
        <v>3500000</v>
      </c>
      <c r="E13" s="115">
        <f t="shared" si="14"/>
        <v>795.13829726813196</v>
      </c>
      <c r="F13" s="241">
        <v>1</v>
      </c>
      <c r="G13" s="120">
        <f t="shared" si="0"/>
        <v>42000000</v>
      </c>
      <c r="H13" s="116">
        <f t="shared" si="15"/>
        <v>9541.6595672175845</v>
      </c>
      <c r="I13" s="243">
        <v>0</v>
      </c>
      <c r="J13" s="157">
        <f t="shared" si="1"/>
        <v>0</v>
      </c>
      <c r="K13" s="117">
        <f t="shared" si="16"/>
        <v>0</v>
      </c>
      <c r="L13" s="248">
        <f t="shared" si="32"/>
        <v>42000000</v>
      </c>
      <c r="M13" s="118">
        <f t="shared" si="17"/>
        <v>9541.6595672175845</v>
      </c>
      <c r="N13" s="159"/>
      <c r="O13" s="156" t="s">
        <v>189</v>
      </c>
      <c r="P13" s="156">
        <v>12</v>
      </c>
      <c r="Q13" s="126">
        <f t="shared" si="2"/>
        <v>3850000.0000000005</v>
      </c>
      <c r="R13" s="115">
        <f t="shared" si="18"/>
        <v>874.65212699494532</v>
      </c>
      <c r="S13" s="241">
        <v>1</v>
      </c>
      <c r="T13" s="116">
        <f t="shared" si="19"/>
        <v>46200000.000000007</v>
      </c>
      <c r="U13" s="116">
        <f t="shared" si="20"/>
        <v>10495.825523939344</v>
      </c>
      <c r="V13" s="243">
        <v>0</v>
      </c>
      <c r="W13" s="117">
        <f t="shared" si="21"/>
        <v>0</v>
      </c>
      <c r="X13" s="117">
        <f t="shared" si="22"/>
        <v>0</v>
      </c>
      <c r="Y13" s="158">
        <f t="shared" si="3"/>
        <v>46200000.000000007</v>
      </c>
      <c r="Z13" s="118">
        <f t="shared" si="23"/>
        <v>10495.825523939344</v>
      </c>
      <c r="AA13" s="159"/>
      <c r="AB13" s="156" t="s">
        <v>189</v>
      </c>
      <c r="AC13" s="156">
        <v>3</v>
      </c>
      <c r="AD13" s="126">
        <f t="shared" si="4"/>
        <v>4158000.0000000009</v>
      </c>
      <c r="AE13" s="115">
        <f t="shared" si="24"/>
        <v>944.62429715454107</v>
      </c>
      <c r="AF13" s="241">
        <v>1</v>
      </c>
      <c r="AG13" s="116">
        <f t="shared" si="5"/>
        <v>12474000.000000004</v>
      </c>
      <c r="AH13" s="116">
        <f t="shared" si="25"/>
        <v>2833.8728914636231</v>
      </c>
      <c r="AI13" s="243">
        <v>0</v>
      </c>
      <c r="AJ13" s="117">
        <f t="shared" si="6"/>
        <v>0</v>
      </c>
      <c r="AK13" s="117">
        <f t="shared" si="26"/>
        <v>0</v>
      </c>
      <c r="AL13" s="158">
        <f t="shared" si="7"/>
        <v>12474000.000000004</v>
      </c>
      <c r="AM13" s="118">
        <f t="shared" si="27"/>
        <v>2833.8728914636231</v>
      </c>
      <c r="AN13" s="159"/>
      <c r="AO13" s="160">
        <f t="shared" si="8"/>
        <v>27</v>
      </c>
      <c r="AP13" s="126">
        <f t="shared" si="9"/>
        <v>100674000</v>
      </c>
      <c r="AQ13" s="115">
        <f t="shared" si="28"/>
        <v>22871.35798262055</v>
      </c>
      <c r="AR13" s="120">
        <f t="shared" si="10"/>
        <v>100674000</v>
      </c>
      <c r="AS13" s="120">
        <f t="shared" si="29"/>
        <v>22871.35798262055</v>
      </c>
      <c r="AT13" s="162">
        <f t="shared" si="11"/>
        <v>0</v>
      </c>
      <c r="AU13" s="138">
        <f t="shared" si="30"/>
        <v>0</v>
      </c>
      <c r="AV13" s="161">
        <v>1</v>
      </c>
      <c r="AW13" s="163">
        <v>3500000</v>
      </c>
      <c r="AX13" s="152">
        <f t="shared" si="31"/>
        <v>795.13829726813196</v>
      </c>
      <c r="BH13" s="164">
        <f t="shared" si="12"/>
        <v>0</v>
      </c>
    </row>
    <row r="14" spans="1:60" x14ac:dyDescent="0.35">
      <c r="A14" s="202" t="str">
        <f>+'Summary Budget'!E17</f>
        <v>1.11. Business Partner Professional Santander and Bolivar</v>
      </c>
      <c r="B14" s="26" t="s">
        <v>34</v>
      </c>
      <c r="C14" s="156">
        <v>12</v>
      </c>
      <c r="D14" s="126">
        <f t="shared" si="13"/>
        <v>3500000</v>
      </c>
      <c r="E14" s="115">
        <f t="shared" si="14"/>
        <v>795.13829726813196</v>
      </c>
      <c r="F14" s="241">
        <v>1</v>
      </c>
      <c r="G14" s="120">
        <f t="shared" si="0"/>
        <v>42000000</v>
      </c>
      <c r="H14" s="116">
        <f t="shared" si="15"/>
        <v>9541.6595672175845</v>
      </c>
      <c r="I14" s="243">
        <v>0</v>
      </c>
      <c r="J14" s="157">
        <f t="shared" si="1"/>
        <v>0</v>
      </c>
      <c r="K14" s="117">
        <f t="shared" si="16"/>
        <v>0</v>
      </c>
      <c r="L14" s="248">
        <f t="shared" si="32"/>
        <v>42000000</v>
      </c>
      <c r="M14" s="118">
        <f t="shared" si="17"/>
        <v>9541.6595672175845</v>
      </c>
      <c r="N14" s="159"/>
      <c r="O14" s="156" t="s">
        <v>189</v>
      </c>
      <c r="P14" s="156">
        <v>12</v>
      </c>
      <c r="Q14" s="126">
        <f t="shared" si="2"/>
        <v>3850000.0000000005</v>
      </c>
      <c r="R14" s="115">
        <f t="shared" si="18"/>
        <v>874.65212699494532</v>
      </c>
      <c r="S14" s="241">
        <v>1</v>
      </c>
      <c r="T14" s="116">
        <f t="shared" si="19"/>
        <v>46200000.000000007</v>
      </c>
      <c r="U14" s="116">
        <f t="shared" si="20"/>
        <v>10495.825523939344</v>
      </c>
      <c r="V14" s="243">
        <v>0</v>
      </c>
      <c r="W14" s="117">
        <f t="shared" si="21"/>
        <v>0</v>
      </c>
      <c r="X14" s="117">
        <f t="shared" si="22"/>
        <v>0</v>
      </c>
      <c r="Y14" s="158">
        <f t="shared" si="3"/>
        <v>46200000.000000007</v>
      </c>
      <c r="Z14" s="118">
        <f t="shared" si="23"/>
        <v>10495.825523939344</v>
      </c>
      <c r="AA14" s="159"/>
      <c r="AB14" s="156" t="s">
        <v>189</v>
      </c>
      <c r="AC14" s="156">
        <v>0</v>
      </c>
      <c r="AD14" s="126">
        <f t="shared" si="4"/>
        <v>4158000.0000000009</v>
      </c>
      <c r="AE14" s="115">
        <f t="shared" si="24"/>
        <v>944.62429715454107</v>
      </c>
      <c r="AF14" s="241">
        <v>1</v>
      </c>
      <c r="AG14" s="116">
        <f t="shared" si="5"/>
        <v>0</v>
      </c>
      <c r="AH14" s="116">
        <f t="shared" si="25"/>
        <v>0</v>
      </c>
      <c r="AI14" s="243">
        <v>0</v>
      </c>
      <c r="AJ14" s="117">
        <f t="shared" si="6"/>
        <v>0</v>
      </c>
      <c r="AK14" s="117">
        <f t="shared" si="26"/>
        <v>0</v>
      </c>
      <c r="AL14" s="158">
        <f t="shared" si="7"/>
        <v>0</v>
      </c>
      <c r="AM14" s="118">
        <f t="shared" si="27"/>
        <v>0</v>
      </c>
      <c r="AN14" s="159"/>
      <c r="AO14" s="160">
        <f t="shared" si="8"/>
        <v>24</v>
      </c>
      <c r="AP14" s="126">
        <f t="shared" si="9"/>
        <v>88200000</v>
      </c>
      <c r="AQ14" s="115">
        <f t="shared" si="28"/>
        <v>20037.485091156927</v>
      </c>
      <c r="AR14" s="120">
        <f t="shared" si="10"/>
        <v>88200000</v>
      </c>
      <c r="AS14" s="120">
        <f t="shared" si="29"/>
        <v>20037.485091156927</v>
      </c>
      <c r="AT14" s="162">
        <f t="shared" si="11"/>
        <v>0</v>
      </c>
      <c r="AU14" s="138">
        <f t="shared" si="30"/>
        <v>0</v>
      </c>
      <c r="AV14" s="161">
        <v>1</v>
      </c>
      <c r="AW14" s="163">
        <v>3500000</v>
      </c>
      <c r="AX14" s="152">
        <f t="shared" si="31"/>
        <v>795.13829726813196</v>
      </c>
      <c r="BH14" s="164">
        <f t="shared" si="12"/>
        <v>0</v>
      </c>
    </row>
    <row r="15" spans="1:60" x14ac:dyDescent="0.35">
      <c r="A15" s="202" t="str">
        <f>+'Summary Budget'!E18</f>
        <v>1.12. Business Partner Professional Cauca</v>
      </c>
      <c r="B15" s="26" t="s">
        <v>34</v>
      </c>
      <c r="C15" s="156">
        <v>12</v>
      </c>
      <c r="D15" s="126">
        <f t="shared" si="13"/>
        <v>3500000</v>
      </c>
      <c r="E15" s="115">
        <f t="shared" si="14"/>
        <v>795.13829726813196</v>
      </c>
      <c r="F15" s="241">
        <v>1</v>
      </c>
      <c r="G15" s="120">
        <f t="shared" si="0"/>
        <v>42000000</v>
      </c>
      <c r="H15" s="116">
        <f t="shared" si="15"/>
        <v>9541.6595672175845</v>
      </c>
      <c r="I15" s="243">
        <v>0</v>
      </c>
      <c r="J15" s="157">
        <f t="shared" si="1"/>
        <v>0</v>
      </c>
      <c r="K15" s="117">
        <f t="shared" si="16"/>
        <v>0</v>
      </c>
      <c r="L15" s="248">
        <f t="shared" si="32"/>
        <v>42000000</v>
      </c>
      <c r="M15" s="118">
        <f t="shared" si="17"/>
        <v>9541.6595672175845</v>
      </c>
      <c r="N15" s="159"/>
      <c r="O15" s="156" t="s">
        <v>189</v>
      </c>
      <c r="P15" s="156">
        <v>12</v>
      </c>
      <c r="Q15" s="126">
        <f t="shared" si="2"/>
        <v>3850000.0000000005</v>
      </c>
      <c r="R15" s="115">
        <f t="shared" si="18"/>
        <v>874.65212699494532</v>
      </c>
      <c r="S15" s="241">
        <v>1</v>
      </c>
      <c r="T15" s="116">
        <f t="shared" si="19"/>
        <v>46200000.000000007</v>
      </c>
      <c r="U15" s="116">
        <f t="shared" si="20"/>
        <v>10495.825523939344</v>
      </c>
      <c r="V15" s="243">
        <v>0</v>
      </c>
      <c r="W15" s="117">
        <f t="shared" si="21"/>
        <v>0</v>
      </c>
      <c r="X15" s="117">
        <f t="shared" si="22"/>
        <v>0</v>
      </c>
      <c r="Y15" s="158">
        <f t="shared" si="3"/>
        <v>46200000.000000007</v>
      </c>
      <c r="Z15" s="118">
        <f t="shared" si="23"/>
        <v>10495.825523939344</v>
      </c>
      <c r="AA15" s="159"/>
      <c r="AB15" s="156" t="s">
        <v>189</v>
      </c>
      <c r="AC15" s="156">
        <v>3</v>
      </c>
      <c r="AD15" s="126">
        <f t="shared" si="4"/>
        <v>4158000.0000000009</v>
      </c>
      <c r="AE15" s="115">
        <f t="shared" si="24"/>
        <v>944.62429715454107</v>
      </c>
      <c r="AF15" s="241">
        <v>1</v>
      </c>
      <c r="AG15" s="116">
        <f t="shared" si="5"/>
        <v>12474000.000000004</v>
      </c>
      <c r="AH15" s="116">
        <f t="shared" si="25"/>
        <v>2833.8728914636231</v>
      </c>
      <c r="AI15" s="243">
        <v>0</v>
      </c>
      <c r="AJ15" s="117">
        <f t="shared" si="6"/>
        <v>0</v>
      </c>
      <c r="AK15" s="117">
        <f t="shared" si="26"/>
        <v>0</v>
      </c>
      <c r="AL15" s="158">
        <f t="shared" si="7"/>
        <v>12474000.000000004</v>
      </c>
      <c r="AM15" s="118">
        <f t="shared" si="27"/>
        <v>2833.8728914636231</v>
      </c>
      <c r="AN15" s="159"/>
      <c r="AO15" s="160">
        <f t="shared" si="8"/>
        <v>27</v>
      </c>
      <c r="AP15" s="126">
        <f t="shared" si="9"/>
        <v>100674000</v>
      </c>
      <c r="AQ15" s="115">
        <f t="shared" si="28"/>
        <v>22871.35798262055</v>
      </c>
      <c r="AR15" s="120">
        <f t="shared" si="10"/>
        <v>100674000</v>
      </c>
      <c r="AS15" s="120">
        <f t="shared" si="29"/>
        <v>22871.35798262055</v>
      </c>
      <c r="AT15" s="162">
        <f t="shared" si="11"/>
        <v>0</v>
      </c>
      <c r="AU15" s="138">
        <f t="shared" si="30"/>
        <v>0</v>
      </c>
      <c r="AV15" s="161">
        <v>1</v>
      </c>
      <c r="AW15" s="163">
        <v>3500000</v>
      </c>
      <c r="AX15" s="152">
        <f t="shared" si="31"/>
        <v>795.13829726813196</v>
      </c>
      <c r="BH15" s="164">
        <f t="shared" si="12"/>
        <v>0</v>
      </c>
    </row>
    <row r="16" spans="1:60" x14ac:dyDescent="0.35">
      <c r="A16" s="202" t="str">
        <f>+'Summary Budget'!E19</f>
        <v>1.13. Business Partner Professional Tolima 1</v>
      </c>
      <c r="B16" s="26" t="s">
        <v>34</v>
      </c>
      <c r="C16" s="156">
        <v>12</v>
      </c>
      <c r="D16" s="126">
        <f t="shared" si="13"/>
        <v>3500000</v>
      </c>
      <c r="E16" s="115">
        <f t="shared" si="14"/>
        <v>795.13829726813196</v>
      </c>
      <c r="F16" s="241">
        <v>1</v>
      </c>
      <c r="G16" s="120">
        <f t="shared" si="0"/>
        <v>42000000</v>
      </c>
      <c r="H16" s="116">
        <f t="shared" si="15"/>
        <v>9541.6595672175845</v>
      </c>
      <c r="I16" s="243">
        <v>0</v>
      </c>
      <c r="J16" s="157">
        <f t="shared" si="1"/>
        <v>0</v>
      </c>
      <c r="K16" s="117">
        <f t="shared" si="16"/>
        <v>0</v>
      </c>
      <c r="L16" s="248">
        <f t="shared" si="32"/>
        <v>42000000</v>
      </c>
      <c r="M16" s="118">
        <f t="shared" si="17"/>
        <v>9541.6595672175845</v>
      </c>
      <c r="N16" s="159"/>
      <c r="O16" s="156" t="s">
        <v>189</v>
      </c>
      <c r="P16" s="156">
        <v>12</v>
      </c>
      <c r="Q16" s="126">
        <f t="shared" si="2"/>
        <v>3850000.0000000005</v>
      </c>
      <c r="R16" s="115">
        <f t="shared" si="18"/>
        <v>874.65212699494532</v>
      </c>
      <c r="S16" s="241">
        <v>1</v>
      </c>
      <c r="T16" s="116">
        <f t="shared" si="19"/>
        <v>46200000.000000007</v>
      </c>
      <c r="U16" s="116">
        <f t="shared" si="20"/>
        <v>10495.825523939344</v>
      </c>
      <c r="V16" s="243">
        <v>0</v>
      </c>
      <c r="W16" s="117">
        <f t="shared" si="21"/>
        <v>0</v>
      </c>
      <c r="X16" s="117">
        <f t="shared" si="22"/>
        <v>0</v>
      </c>
      <c r="Y16" s="158">
        <f t="shared" si="3"/>
        <v>46200000.000000007</v>
      </c>
      <c r="Z16" s="118">
        <f t="shared" si="23"/>
        <v>10495.825523939344</v>
      </c>
      <c r="AA16" s="159"/>
      <c r="AB16" s="156" t="s">
        <v>189</v>
      </c>
      <c r="AC16" s="156">
        <v>3</v>
      </c>
      <c r="AD16" s="126">
        <f t="shared" si="4"/>
        <v>4158000.0000000009</v>
      </c>
      <c r="AE16" s="115">
        <f t="shared" si="24"/>
        <v>944.62429715454107</v>
      </c>
      <c r="AF16" s="241">
        <v>1</v>
      </c>
      <c r="AG16" s="116">
        <f t="shared" si="5"/>
        <v>12474000.000000004</v>
      </c>
      <c r="AH16" s="116">
        <f t="shared" si="25"/>
        <v>2833.8728914636231</v>
      </c>
      <c r="AI16" s="243">
        <v>0</v>
      </c>
      <c r="AJ16" s="117">
        <f t="shared" si="6"/>
        <v>0</v>
      </c>
      <c r="AK16" s="117">
        <f t="shared" si="26"/>
        <v>0</v>
      </c>
      <c r="AL16" s="158">
        <f t="shared" si="7"/>
        <v>12474000.000000004</v>
      </c>
      <c r="AM16" s="118">
        <f t="shared" si="27"/>
        <v>2833.8728914636231</v>
      </c>
      <c r="AN16" s="159"/>
      <c r="AO16" s="160">
        <f t="shared" si="8"/>
        <v>27</v>
      </c>
      <c r="AP16" s="126">
        <f t="shared" si="9"/>
        <v>100674000</v>
      </c>
      <c r="AQ16" s="115">
        <f t="shared" si="28"/>
        <v>22871.35798262055</v>
      </c>
      <c r="AR16" s="120">
        <f t="shared" si="10"/>
        <v>100674000</v>
      </c>
      <c r="AS16" s="120">
        <f t="shared" si="29"/>
        <v>22871.35798262055</v>
      </c>
      <c r="AT16" s="162">
        <f t="shared" si="11"/>
        <v>0</v>
      </c>
      <c r="AU16" s="138">
        <f t="shared" si="30"/>
        <v>0</v>
      </c>
      <c r="AV16" s="161">
        <v>1</v>
      </c>
      <c r="AW16" s="163">
        <v>3500000</v>
      </c>
      <c r="AX16" s="152">
        <f t="shared" si="31"/>
        <v>795.13829726813196</v>
      </c>
      <c r="BH16" s="164">
        <f t="shared" si="12"/>
        <v>0</v>
      </c>
    </row>
    <row r="17" spans="1:60" x14ac:dyDescent="0.35">
      <c r="A17" s="202" t="str">
        <f>+'Summary Budget'!E20</f>
        <v>1.14. Business Partner Professional Tolima 2</v>
      </c>
      <c r="B17" s="26" t="s">
        <v>34</v>
      </c>
      <c r="C17" s="156">
        <v>12</v>
      </c>
      <c r="D17" s="126">
        <f t="shared" si="13"/>
        <v>3500000</v>
      </c>
      <c r="E17" s="115">
        <f t="shared" si="14"/>
        <v>795.13829726813196</v>
      </c>
      <c r="F17" s="241">
        <v>1</v>
      </c>
      <c r="G17" s="120">
        <f t="shared" si="0"/>
        <v>42000000</v>
      </c>
      <c r="H17" s="116">
        <f t="shared" si="15"/>
        <v>9541.6595672175845</v>
      </c>
      <c r="I17" s="243">
        <v>0</v>
      </c>
      <c r="J17" s="157">
        <f t="shared" si="1"/>
        <v>0</v>
      </c>
      <c r="K17" s="117">
        <f t="shared" si="16"/>
        <v>0</v>
      </c>
      <c r="L17" s="248">
        <f t="shared" si="32"/>
        <v>42000000</v>
      </c>
      <c r="M17" s="118">
        <f t="shared" si="17"/>
        <v>9541.6595672175845</v>
      </c>
      <c r="N17" s="159"/>
      <c r="O17" s="156" t="s">
        <v>189</v>
      </c>
      <c r="P17" s="156">
        <v>12</v>
      </c>
      <c r="Q17" s="126">
        <f t="shared" si="2"/>
        <v>3850000.0000000005</v>
      </c>
      <c r="R17" s="115">
        <f t="shared" si="18"/>
        <v>874.65212699494532</v>
      </c>
      <c r="S17" s="241">
        <v>1</v>
      </c>
      <c r="T17" s="116">
        <f t="shared" si="19"/>
        <v>46200000.000000007</v>
      </c>
      <c r="U17" s="116">
        <f t="shared" si="20"/>
        <v>10495.825523939344</v>
      </c>
      <c r="V17" s="243">
        <v>0</v>
      </c>
      <c r="W17" s="117">
        <f t="shared" si="21"/>
        <v>0</v>
      </c>
      <c r="X17" s="117">
        <f t="shared" si="22"/>
        <v>0</v>
      </c>
      <c r="Y17" s="158">
        <f t="shared" si="3"/>
        <v>46200000.000000007</v>
      </c>
      <c r="Z17" s="118">
        <f t="shared" si="23"/>
        <v>10495.825523939344</v>
      </c>
      <c r="AA17" s="159"/>
      <c r="AB17" s="156" t="s">
        <v>189</v>
      </c>
      <c r="AC17" s="156">
        <v>3</v>
      </c>
      <c r="AD17" s="126">
        <f t="shared" si="4"/>
        <v>4158000.0000000009</v>
      </c>
      <c r="AE17" s="115">
        <f t="shared" si="24"/>
        <v>944.62429715454107</v>
      </c>
      <c r="AF17" s="241">
        <v>1</v>
      </c>
      <c r="AG17" s="116">
        <f t="shared" si="5"/>
        <v>12474000.000000004</v>
      </c>
      <c r="AH17" s="116">
        <f t="shared" si="25"/>
        <v>2833.8728914636231</v>
      </c>
      <c r="AI17" s="243">
        <v>0</v>
      </c>
      <c r="AJ17" s="117">
        <f t="shared" si="6"/>
        <v>0</v>
      </c>
      <c r="AK17" s="117">
        <f t="shared" si="26"/>
        <v>0</v>
      </c>
      <c r="AL17" s="158">
        <f t="shared" si="7"/>
        <v>12474000.000000004</v>
      </c>
      <c r="AM17" s="118">
        <f t="shared" si="27"/>
        <v>2833.8728914636231</v>
      </c>
      <c r="AN17" s="159"/>
      <c r="AO17" s="160">
        <f t="shared" si="8"/>
        <v>27</v>
      </c>
      <c r="AP17" s="126">
        <f t="shared" si="9"/>
        <v>100674000</v>
      </c>
      <c r="AQ17" s="115">
        <f t="shared" si="28"/>
        <v>22871.35798262055</v>
      </c>
      <c r="AR17" s="120">
        <f t="shared" si="10"/>
        <v>100674000</v>
      </c>
      <c r="AS17" s="120">
        <f t="shared" si="29"/>
        <v>22871.35798262055</v>
      </c>
      <c r="AT17" s="162">
        <f t="shared" si="11"/>
        <v>0</v>
      </c>
      <c r="AU17" s="138">
        <f t="shared" si="30"/>
        <v>0</v>
      </c>
      <c r="AV17" s="161">
        <v>1</v>
      </c>
      <c r="AW17" s="163">
        <v>3500000</v>
      </c>
      <c r="AX17" s="152">
        <f t="shared" si="31"/>
        <v>795.13829726813196</v>
      </c>
      <c r="BH17" s="164">
        <f t="shared" si="12"/>
        <v>0</v>
      </c>
    </row>
    <row r="18" spans="1:60" x14ac:dyDescent="0.35">
      <c r="A18" s="202" t="str">
        <f>+'Summary Budget'!E21</f>
        <v>1.15. Business Partner Professional Tolima 3</v>
      </c>
      <c r="B18" s="26" t="s">
        <v>34</v>
      </c>
      <c r="C18" s="156">
        <v>12</v>
      </c>
      <c r="D18" s="126">
        <f t="shared" si="13"/>
        <v>1750000</v>
      </c>
      <c r="E18" s="115">
        <f t="shared" si="14"/>
        <v>397.56914863406598</v>
      </c>
      <c r="F18" s="241">
        <v>0</v>
      </c>
      <c r="G18" s="120">
        <f t="shared" si="0"/>
        <v>0</v>
      </c>
      <c r="H18" s="116">
        <f t="shared" si="15"/>
        <v>0</v>
      </c>
      <c r="I18" s="243">
        <v>1</v>
      </c>
      <c r="J18" s="157">
        <f t="shared" si="1"/>
        <v>21000000</v>
      </c>
      <c r="K18" s="117">
        <f t="shared" si="16"/>
        <v>4770.8297836087922</v>
      </c>
      <c r="L18" s="248">
        <f t="shared" si="32"/>
        <v>21000000</v>
      </c>
      <c r="M18" s="118">
        <f t="shared" si="17"/>
        <v>4770.8297836087922</v>
      </c>
      <c r="N18" s="159"/>
      <c r="O18" s="156" t="s">
        <v>189</v>
      </c>
      <c r="P18" s="156">
        <v>12</v>
      </c>
      <c r="Q18" s="126">
        <f t="shared" si="2"/>
        <v>1925000.0000000002</v>
      </c>
      <c r="R18" s="115">
        <f t="shared" si="18"/>
        <v>437.32606349747266</v>
      </c>
      <c r="S18" s="241">
        <v>0</v>
      </c>
      <c r="T18" s="116">
        <f t="shared" si="19"/>
        <v>0</v>
      </c>
      <c r="U18" s="116">
        <f t="shared" si="20"/>
        <v>0</v>
      </c>
      <c r="V18" s="243">
        <v>1</v>
      </c>
      <c r="W18" s="117">
        <f t="shared" si="21"/>
        <v>23100000.000000004</v>
      </c>
      <c r="X18" s="117">
        <f t="shared" si="22"/>
        <v>5247.9127619696719</v>
      </c>
      <c r="Y18" s="158">
        <f t="shared" si="3"/>
        <v>23100000.000000004</v>
      </c>
      <c r="Z18" s="118">
        <f t="shared" si="23"/>
        <v>5247.9127619696719</v>
      </c>
      <c r="AA18" s="159"/>
      <c r="AB18" s="156" t="s">
        <v>189</v>
      </c>
      <c r="AC18" s="156">
        <v>0</v>
      </c>
      <c r="AD18" s="126">
        <f t="shared" si="4"/>
        <v>2079000.0000000005</v>
      </c>
      <c r="AE18" s="115">
        <f t="shared" si="24"/>
        <v>472.31214857727053</v>
      </c>
      <c r="AF18" s="241">
        <v>0</v>
      </c>
      <c r="AG18" s="116">
        <f t="shared" si="5"/>
        <v>0</v>
      </c>
      <c r="AH18" s="116">
        <f t="shared" si="25"/>
        <v>0</v>
      </c>
      <c r="AI18" s="243">
        <v>1</v>
      </c>
      <c r="AJ18" s="117">
        <f t="shared" si="6"/>
        <v>0</v>
      </c>
      <c r="AK18" s="117">
        <f t="shared" si="26"/>
        <v>0</v>
      </c>
      <c r="AL18" s="158">
        <f t="shared" si="7"/>
        <v>0</v>
      </c>
      <c r="AM18" s="118">
        <f t="shared" si="27"/>
        <v>0</v>
      </c>
      <c r="AN18" s="159"/>
      <c r="AO18" s="160">
        <f t="shared" si="8"/>
        <v>24</v>
      </c>
      <c r="AP18" s="126">
        <f t="shared" si="9"/>
        <v>44100000</v>
      </c>
      <c r="AQ18" s="115">
        <f t="shared" si="28"/>
        <v>10018.742545578463</v>
      </c>
      <c r="AR18" s="120">
        <f t="shared" si="10"/>
        <v>0</v>
      </c>
      <c r="AS18" s="120">
        <f t="shared" si="29"/>
        <v>0</v>
      </c>
      <c r="AT18" s="162">
        <f t="shared" si="11"/>
        <v>44100000</v>
      </c>
      <c r="AU18" s="138">
        <f t="shared" si="30"/>
        <v>10018.742545578463</v>
      </c>
      <c r="AV18" s="161">
        <v>0.5</v>
      </c>
      <c r="AW18" s="163">
        <v>3500000</v>
      </c>
      <c r="AX18" s="152">
        <f t="shared" si="31"/>
        <v>795.13829726813196</v>
      </c>
      <c r="BH18" s="164">
        <f t="shared" si="12"/>
        <v>0</v>
      </c>
    </row>
    <row r="19" spans="1:60" x14ac:dyDescent="0.35">
      <c r="A19" s="86" t="str">
        <f>+'Summary Budget'!E22</f>
        <v>1.16. Administrative Coordinator</v>
      </c>
      <c r="B19" s="26" t="s">
        <v>34</v>
      </c>
      <c r="C19" s="26">
        <v>12</v>
      </c>
      <c r="D19" s="115">
        <f>+AW19*AV19</f>
        <v>2000000</v>
      </c>
      <c r="E19" s="115">
        <f t="shared" si="14"/>
        <v>454.36474129607541</v>
      </c>
      <c r="F19" s="240">
        <v>0</v>
      </c>
      <c r="G19" s="116">
        <f t="shared" si="0"/>
        <v>0</v>
      </c>
      <c r="H19" s="116">
        <f t="shared" si="15"/>
        <v>0</v>
      </c>
      <c r="I19" s="242">
        <v>1</v>
      </c>
      <c r="J19" s="117">
        <f t="shared" si="1"/>
        <v>24000000</v>
      </c>
      <c r="K19" s="117">
        <f t="shared" si="16"/>
        <v>5452.3768955529049</v>
      </c>
      <c r="L19" s="247">
        <f t="shared" si="32"/>
        <v>24000000</v>
      </c>
      <c r="M19" s="118">
        <f t="shared" si="17"/>
        <v>5452.3768955529049</v>
      </c>
      <c r="N19" s="119"/>
      <c r="O19" s="26" t="s">
        <v>189</v>
      </c>
      <c r="P19" s="26">
        <v>12</v>
      </c>
      <c r="Q19" s="115">
        <f t="shared" si="2"/>
        <v>2200000</v>
      </c>
      <c r="R19" s="115">
        <f t="shared" si="18"/>
        <v>499.80121542568298</v>
      </c>
      <c r="S19" s="240">
        <v>0</v>
      </c>
      <c r="T19" s="116">
        <f t="shared" si="19"/>
        <v>0</v>
      </c>
      <c r="U19" s="116">
        <f t="shared" si="20"/>
        <v>0</v>
      </c>
      <c r="V19" s="242">
        <v>1</v>
      </c>
      <c r="W19" s="117">
        <f t="shared" si="21"/>
        <v>26400000</v>
      </c>
      <c r="X19" s="117">
        <f t="shared" si="22"/>
        <v>5997.6145851081956</v>
      </c>
      <c r="Y19" s="118">
        <f t="shared" si="3"/>
        <v>26400000</v>
      </c>
      <c r="Z19" s="118">
        <f t="shared" si="23"/>
        <v>5997.6145851081956</v>
      </c>
      <c r="AA19" s="119"/>
      <c r="AB19" s="26" t="s">
        <v>189</v>
      </c>
      <c r="AC19" s="26">
        <v>4</v>
      </c>
      <c r="AD19" s="115">
        <f t="shared" si="4"/>
        <v>2376000</v>
      </c>
      <c r="AE19" s="115">
        <f t="shared" si="24"/>
        <v>539.78531265973766</v>
      </c>
      <c r="AF19" s="240">
        <v>0</v>
      </c>
      <c r="AG19" s="116">
        <f t="shared" si="5"/>
        <v>0</v>
      </c>
      <c r="AH19" s="116">
        <f t="shared" si="25"/>
        <v>0</v>
      </c>
      <c r="AI19" s="242">
        <v>1</v>
      </c>
      <c r="AJ19" s="117">
        <f t="shared" si="6"/>
        <v>9504000</v>
      </c>
      <c r="AK19" s="117">
        <f t="shared" si="26"/>
        <v>2159.1412506389506</v>
      </c>
      <c r="AL19" s="118">
        <f t="shared" si="7"/>
        <v>9504000</v>
      </c>
      <c r="AM19" s="118">
        <f t="shared" si="27"/>
        <v>2159.1412506389506</v>
      </c>
      <c r="AN19" s="119"/>
      <c r="AO19" s="88">
        <f t="shared" si="8"/>
        <v>28</v>
      </c>
      <c r="AP19" s="115">
        <f t="shared" si="9"/>
        <v>59904000</v>
      </c>
      <c r="AQ19" s="115">
        <f t="shared" si="28"/>
        <v>13609.132731300051</v>
      </c>
      <c r="AR19" s="120">
        <f t="shared" si="10"/>
        <v>0</v>
      </c>
      <c r="AS19" s="120">
        <f t="shared" si="29"/>
        <v>0</v>
      </c>
      <c r="AT19" s="138">
        <f t="shared" si="11"/>
        <v>59904000</v>
      </c>
      <c r="AU19" s="138">
        <f t="shared" si="30"/>
        <v>13609.132731300051</v>
      </c>
      <c r="AV19" s="82">
        <v>0.25</v>
      </c>
      <c r="AW19" s="101">
        <v>8000000</v>
      </c>
      <c r="AX19" s="152">
        <f t="shared" si="31"/>
        <v>1817.4589651843016</v>
      </c>
      <c r="BH19" s="99">
        <f t="shared" si="12"/>
        <v>0</v>
      </c>
    </row>
    <row r="20" spans="1:60" x14ac:dyDescent="0.35">
      <c r="A20" s="86" t="str">
        <f>+'Summary Budget'!E23</f>
        <v>1.17. C4D-IC Project Coordinator</v>
      </c>
      <c r="B20" s="26" t="s">
        <v>34</v>
      </c>
      <c r="C20" s="26">
        <v>12</v>
      </c>
      <c r="D20" s="115">
        <f t="shared" si="13"/>
        <v>3000000</v>
      </c>
      <c r="E20" s="115">
        <f t="shared" si="14"/>
        <v>681.54711194411311</v>
      </c>
      <c r="F20" s="240">
        <v>1</v>
      </c>
      <c r="G20" s="116">
        <f t="shared" si="0"/>
        <v>36000000</v>
      </c>
      <c r="H20" s="116">
        <f t="shared" si="15"/>
        <v>8178.5653433293573</v>
      </c>
      <c r="I20" s="242">
        <v>0</v>
      </c>
      <c r="J20" s="117">
        <f t="shared" si="1"/>
        <v>0</v>
      </c>
      <c r="K20" s="117">
        <f t="shared" si="16"/>
        <v>0</v>
      </c>
      <c r="L20" s="247">
        <f t="shared" si="32"/>
        <v>36000000</v>
      </c>
      <c r="M20" s="118">
        <f t="shared" si="17"/>
        <v>8178.5653433293573</v>
      </c>
      <c r="N20" s="119"/>
      <c r="O20" s="26" t="s">
        <v>189</v>
      </c>
      <c r="P20" s="26">
        <v>12</v>
      </c>
      <c r="Q20" s="115">
        <f t="shared" si="2"/>
        <v>3300000.0000000005</v>
      </c>
      <c r="R20" s="115">
        <f t="shared" si="18"/>
        <v>749.70182313852456</v>
      </c>
      <c r="S20" s="240">
        <v>1</v>
      </c>
      <c r="T20" s="116">
        <f t="shared" si="19"/>
        <v>39600000.000000007</v>
      </c>
      <c r="U20" s="116">
        <f t="shared" si="20"/>
        <v>8996.4218776622947</v>
      </c>
      <c r="V20" s="242">
        <v>0</v>
      </c>
      <c r="W20" s="117">
        <f t="shared" si="21"/>
        <v>0</v>
      </c>
      <c r="X20" s="117">
        <f t="shared" si="22"/>
        <v>0</v>
      </c>
      <c r="Y20" s="118">
        <f t="shared" si="3"/>
        <v>39600000.000000007</v>
      </c>
      <c r="Z20" s="118">
        <f t="shared" si="23"/>
        <v>8996.4218776622947</v>
      </c>
      <c r="AA20" s="119"/>
      <c r="AB20" s="26" t="s">
        <v>189</v>
      </c>
      <c r="AC20" s="26">
        <v>4</v>
      </c>
      <c r="AD20" s="115">
        <f t="shared" si="4"/>
        <v>3564000.0000000009</v>
      </c>
      <c r="AE20" s="115">
        <f t="shared" si="24"/>
        <v>809.6779689896066</v>
      </c>
      <c r="AF20" s="240">
        <v>1</v>
      </c>
      <c r="AG20" s="116">
        <f t="shared" si="5"/>
        <v>14256000.000000004</v>
      </c>
      <c r="AH20" s="116">
        <f t="shared" si="25"/>
        <v>3238.7118759584264</v>
      </c>
      <c r="AI20" s="242">
        <v>0</v>
      </c>
      <c r="AJ20" s="117">
        <f t="shared" si="6"/>
        <v>0</v>
      </c>
      <c r="AK20" s="117">
        <f t="shared" si="26"/>
        <v>0</v>
      </c>
      <c r="AL20" s="118">
        <f t="shared" si="7"/>
        <v>14256000.000000004</v>
      </c>
      <c r="AM20" s="118">
        <f t="shared" si="27"/>
        <v>3238.7118759584264</v>
      </c>
      <c r="AN20" s="119"/>
      <c r="AO20" s="88">
        <f t="shared" si="8"/>
        <v>28</v>
      </c>
      <c r="AP20" s="115">
        <f t="shared" si="9"/>
        <v>89856000</v>
      </c>
      <c r="AQ20" s="115">
        <f t="shared" si="28"/>
        <v>20413.699096950077</v>
      </c>
      <c r="AR20" s="120">
        <f t="shared" si="10"/>
        <v>89856000</v>
      </c>
      <c r="AS20" s="120">
        <f t="shared" si="29"/>
        <v>20413.699096950077</v>
      </c>
      <c r="AT20" s="138">
        <f t="shared" si="11"/>
        <v>0</v>
      </c>
      <c r="AU20" s="138">
        <f t="shared" si="30"/>
        <v>0</v>
      </c>
      <c r="AV20" s="82">
        <v>1</v>
      </c>
      <c r="AW20" s="101">
        <v>3000000</v>
      </c>
      <c r="AX20" s="152">
        <f t="shared" si="31"/>
        <v>681.54711194411311</v>
      </c>
      <c r="AY20" s="62"/>
      <c r="BH20" s="99">
        <f t="shared" si="12"/>
        <v>0</v>
      </c>
    </row>
    <row r="21" spans="1:60" x14ac:dyDescent="0.35">
      <c r="A21" s="86" t="str">
        <f>+'Summary Budget'!E24</f>
        <v>1.18. Administrative Assistant</v>
      </c>
      <c r="B21" s="26" t="s">
        <v>34</v>
      </c>
      <c r="C21" s="26">
        <v>12</v>
      </c>
      <c r="D21" s="115">
        <f t="shared" si="13"/>
        <v>2400000</v>
      </c>
      <c r="E21" s="115">
        <f t="shared" si="14"/>
        <v>545.23768955529056</v>
      </c>
      <c r="F21" s="240">
        <v>1</v>
      </c>
      <c r="G21" s="116">
        <f t="shared" si="0"/>
        <v>28800000</v>
      </c>
      <c r="H21" s="116">
        <f t="shared" si="15"/>
        <v>6542.8522746634862</v>
      </c>
      <c r="I21" s="242">
        <v>0</v>
      </c>
      <c r="J21" s="117">
        <f t="shared" si="1"/>
        <v>0</v>
      </c>
      <c r="K21" s="117">
        <f t="shared" si="16"/>
        <v>0</v>
      </c>
      <c r="L21" s="247">
        <f t="shared" si="32"/>
        <v>28800000</v>
      </c>
      <c r="M21" s="118">
        <f t="shared" si="17"/>
        <v>6542.8522746634862</v>
      </c>
      <c r="N21" s="119"/>
      <c r="O21" s="26" t="s">
        <v>189</v>
      </c>
      <c r="P21" s="26">
        <v>12</v>
      </c>
      <c r="Q21" s="115">
        <f t="shared" si="2"/>
        <v>2640000</v>
      </c>
      <c r="R21" s="115">
        <f t="shared" si="18"/>
        <v>599.76145851081958</v>
      </c>
      <c r="S21" s="240">
        <v>1</v>
      </c>
      <c r="T21" s="116">
        <f t="shared" si="19"/>
        <v>31680000</v>
      </c>
      <c r="U21" s="116">
        <f t="shared" si="20"/>
        <v>7197.1375021298345</v>
      </c>
      <c r="V21" s="242">
        <v>0</v>
      </c>
      <c r="W21" s="117">
        <f t="shared" si="21"/>
        <v>0</v>
      </c>
      <c r="X21" s="117">
        <f t="shared" si="22"/>
        <v>0</v>
      </c>
      <c r="Y21" s="118">
        <f t="shared" si="3"/>
        <v>31680000</v>
      </c>
      <c r="Z21" s="118">
        <f t="shared" si="23"/>
        <v>7197.1375021298345</v>
      </c>
      <c r="AA21" s="119"/>
      <c r="AB21" s="26" t="s">
        <v>189</v>
      </c>
      <c r="AC21" s="26">
        <v>4</v>
      </c>
      <c r="AD21" s="115">
        <f t="shared" si="4"/>
        <v>2851200</v>
      </c>
      <c r="AE21" s="115">
        <f t="shared" si="24"/>
        <v>647.74237519168514</v>
      </c>
      <c r="AF21" s="240">
        <v>1</v>
      </c>
      <c r="AG21" s="116">
        <f t="shared" si="5"/>
        <v>11404800</v>
      </c>
      <c r="AH21" s="116">
        <f t="shared" si="25"/>
        <v>2590.9695007667406</v>
      </c>
      <c r="AI21" s="242">
        <v>0</v>
      </c>
      <c r="AJ21" s="117">
        <f t="shared" si="6"/>
        <v>0</v>
      </c>
      <c r="AK21" s="117">
        <f>+AJ21/$A$1</f>
        <v>0</v>
      </c>
      <c r="AL21" s="118">
        <f t="shared" si="7"/>
        <v>11404800</v>
      </c>
      <c r="AM21" s="118">
        <f t="shared" si="27"/>
        <v>2590.9695007667406</v>
      </c>
      <c r="AN21" s="119"/>
      <c r="AO21" s="88">
        <f t="shared" si="8"/>
        <v>28</v>
      </c>
      <c r="AP21" s="115">
        <f t="shared" si="9"/>
        <v>71884800</v>
      </c>
      <c r="AQ21" s="115">
        <f t="shared" si="28"/>
        <v>16330.959277560061</v>
      </c>
      <c r="AR21" s="120">
        <f t="shared" si="10"/>
        <v>71884800</v>
      </c>
      <c r="AS21" s="120">
        <f t="shared" si="29"/>
        <v>16330.959277560061</v>
      </c>
      <c r="AT21" s="138">
        <f t="shared" si="11"/>
        <v>0</v>
      </c>
      <c r="AU21" s="138">
        <f t="shared" si="30"/>
        <v>0</v>
      </c>
      <c r="AV21" s="82">
        <v>1</v>
      </c>
      <c r="AW21" s="101">
        <v>2400000</v>
      </c>
      <c r="AX21" s="152">
        <f t="shared" si="31"/>
        <v>545.23768955529056</v>
      </c>
      <c r="BH21" s="99">
        <f t="shared" si="12"/>
        <v>0</v>
      </c>
    </row>
    <row r="22" spans="1:60" x14ac:dyDescent="0.35">
      <c r="A22" s="201" t="str">
        <f>+'Summary Budget'!E25</f>
        <v>2. Fringe benefits</v>
      </c>
      <c r="B22" s="28"/>
      <c r="C22" s="54">
        <v>0.58289999999999997</v>
      </c>
      <c r="D22" s="111"/>
      <c r="E22" s="111"/>
      <c r="F22" s="112"/>
      <c r="G22" s="112">
        <f>SUM(G23:G40)</f>
        <v>341677771.19999999</v>
      </c>
      <c r="H22" s="112">
        <f>SUM(H23:H40)</f>
        <v>77623.166058953822</v>
      </c>
      <c r="I22" s="97"/>
      <c r="J22" s="97">
        <f>SUM(J23:J40)</f>
        <v>44270340</v>
      </c>
      <c r="K22" s="97">
        <f>SUM(K23:K40)</f>
        <v>10057.44079059465</v>
      </c>
      <c r="L22" s="29">
        <f>+SUM(L23:L40)</f>
        <v>385948111.19999999</v>
      </c>
      <c r="M22" s="29">
        <f>SUM(M23:M40)</f>
        <v>87680.60684954848</v>
      </c>
      <c r="N22" s="31"/>
      <c r="O22" s="28"/>
      <c r="P22" s="54">
        <v>0.58289999999999997</v>
      </c>
      <c r="Q22" s="111"/>
      <c r="R22" s="111"/>
      <c r="S22" s="112"/>
      <c r="T22" s="112">
        <f>SUM(T23:T40)</f>
        <v>375845548.31999999</v>
      </c>
      <c r="U22" s="112">
        <f>SUM(U23:U40)</f>
        <v>85385.482664849187</v>
      </c>
      <c r="V22" s="97"/>
      <c r="W22" s="97">
        <f>SUM(W23:W40)</f>
        <v>48697374</v>
      </c>
      <c r="X22" s="97">
        <f>SUM(X23:X40)</f>
        <v>11063.184869654115</v>
      </c>
      <c r="Y22" s="29">
        <f>+SUM(Y23:Y40)</f>
        <v>424542922.31999999</v>
      </c>
      <c r="Z22" s="29">
        <f>SUM(Z23:Z40)</f>
        <v>96448.667534503315</v>
      </c>
      <c r="AA22" s="31"/>
      <c r="AB22" s="28"/>
      <c r="AC22" s="54">
        <v>0.58289999999999997</v>
      </c>
      <c r="AD22" s="111"/>
      <c r="AE22" s="111"/>
      <c r="AF22" s="114"/>
      <c r="AG22" s="114">
        <f>SUM(AG23:AG40)</f>
        <v>98948924.395199999</v>
      </c>
      <c r="AH22" s="114">
        <f>SUM(AH23:AH40)</f>
        <v>22479.451217174985</v>
      </c>
      <c r="AI22" s="97"/>
      <c r="AJ22" s="97">
        <f>SUM(AJ23:AJ40)</f>
        <v>12683658.24</v>
      </c>
      <c r="AK22" s="97">
        <f>SUM(AK23:AK40)</f>
        <v>2881.5035474527176</v>
      </c>
      <c r="AL22" s="29">
        <f>+SUM(AL23:AL40)</f>
        <v>111632582.63519998</v>
      </c>
      <c r="AM22" s="29">
        <f>SUM(AM23:AM40)</f>
        <v>25360.954764627699</v>
      </c>
      <c r="AN22" s="31"/>
      <c r="AO22" s="28"/>
      <c r="AP22" s="133">
        <f>+SUM(AP23:AP40)</f>
        <v>922123616.1552</v>
      </c>
      <c r="AQ22" s="133">
        <f>SUM(AQ23:AQ40)</f>
        <v>209490.22914867953</v>
      </c>
      <c r="AR22" s="141">
        <f>+SUM(AR23:AR40)</f>
        <v>816472243.91520011</v>
      </c>
      <c r="AS22" s="141">
        <f>SUM(AS23:AS40)</f>
        <v>185488.09994097805</v>
      </c>
      <c r="AT22" s="142">
        <f>+SUM(AT23:AT40)</f>
        <v>105651372.24000001</v>
      </c>
      <c r="AU22" s="142">
        <f>SUM(AU23:AU40)</f>
        <v>24002.12920770148</v>
      </c>
      <c r="AV22" s="12" t="s">
        <v>190</v>
      </c>
      <c r="AW22" s="139" t="s">
        <v>191</v>
      </c>
    </row>
    <row r="23" spans="1:60" x14ac:dyDescent="0.35">
      <c r="A23" s="40" t="str">
        <f t="shared" ref="A23:A37" si="33">+A4</f>
        <v>1.1. Program Coordinator</v>
      </c>
      <c r="B23" s="26" t="s">
        <v>34</v>
      </c>
      <c r="C23" s="26">
        <f t="shared" ref="C23:C37" si="34">+C4</f>
        <v>12</v>
      </c>
      <c r="D23" s="115">
        <f t="shared" ref="D23:D40" si="35">+D4*AW23</f>
        <v>1165800</v>
      </c>
      <c r="E23" s="115">
        <f>+D23/$A$1</f>
        <v>264.84920770148238</v>
      </c>
      <c r="F23" s="240">
        <f t="shared" ref="F23:F40" si="36">+F4</f>
        <v>0</v>
      </c>
      <c r="G23" s="116">
        <f t="shared" ref="G23:G40" si="37">L23*F23</f>
        <v>0</v>
      </c>
      <c r="H23" s="116">
        <f>+G23/$A$1</f>
        <v>0</v>
      </c>
      <c r="I23" s="242">
        <v>1</v>
      </c>
      <c r="J23" s="117">
        <f t="shared" ref="J23:J40" si="38">L23*I23</f>
        <v>13989600</v>
      </c>
      <c r="K23" s="117">
        <f>+J23/$A$1</f>
        <v>3178.1904924177884</v>
      </c>
      <c r="L23" s="118">
        <f t="shared" ref="L23:L40" si="39">+D23*C23</f>
        <v>13989600</v>
      </c>
      <c r="M23" s="118">
        <f>+L23/$A$1</f>
        <v>3178.1904924177884</v>
      </c>
      <c r="N23" s="119"/>
      <c r="O23" s="26" t="s">
        <v>189</v>
      </c>
      <c r="P23" s="26">
        <f t="shared" ref="P23:P37" si="40">+P4</f>
        <v>12</v>
      </c>
      <c r="Q23" s="115">
        <f t="shared" ref="Q23:Q40" si="41">+Q4*AW23</f>
        <v>1282380</v>
      </c>
      <c r="R23" s="115">
        <f>+Q23/$A$1</f>
        <v>291.33412847163061</v>
      </c>
      <c r="S23" s="240">
        <f t="shared" ref="S23:S40" si="42">+S4</f>
        <v>0</v>
      </c>
      <c r="T23" s="116">
        <f>+S23*Y23</f>
        <v>0</v>
      </c>
      <c r="U23" s="116">
        <f>+T23/$A$1</f>
        <v>0</v>
      </c>
      <c r="V23" s="242">
        <v>1</v>
      </c>
      <c r="W23" s="117">
        <f>+V23*Y23</f>
        <v>15388560</v>
      </c>
      <c r="X23" s="117">
        <f>+W23/$A$1</f>
        <v>3496.0095416595673</v>
      </c>
      <c r="Y23" s="118">
        <f t="shared" ref="Y23:Y40" si="43">+Q23*P23</f>
        <v>15388560</v>
      </c>
      <c r="Z23" s="118">
        <f>+Y23/$A$1</f>
        <v>3496.0095416595673</v>
      </c>
      <c r="AA23" s="119"/>
      <c r="AB23" s="26" t="s">
        <v>189</v>
      </c>
      <c r="AC23" s="26">
        <f t="shared" ref="AC23:AC37" si="44">+AC4</f>
        <v>4</v>
      </c>
      <c r="AD23" s="115">
        <f t="shared" ref="AD23:AD40" si="45">+AD4*AW23</f>
        <v>1384970.4</v>
      </c>
      <c r="AE23" s="115">
        <f>+AD23/$A$1</f>
        <v>314.64085874936103</v>
      </c>
      <c r="AF23" s="240">
        <f t="shared" ref="AF23:AF40" si="46">+AF4</f>
        <v>0</v>
      </c>
      <c r="AG23" s="116">
        <f t="shared" ref="AG23:AG40" si="47">+AF23*AL23</f>
        <v>0</v>
      </c>
      <c r="AH23" s="116">
        <f>+AG23/$A$1</f>
        <v>0</v>
      </c>
      <c r="AI23" s="242">
        <v>1</v>
      </c>
      <c r="AJ23" s="117">
        <f t="shared" ref="AJ23:AJ40" si="48">+AI23*AL23</f>
        <v>5539881.5999999996</v>
      </c>
      <c r="AK23" s="117">
        <f>+AJ23/$A$1</f>
        <v>1258.5634349974441</v>
      </c>
      <c r="AL23" s="118">
        <f t="shared" ref="AL23:AL40" si="49">+AD23*AC23</f>
        <v>5539881.5999999996</v>
      </c>
      <c r="AM23" s="118">
        <f>+AL23/$A$1</f>
        <v>1258.5634349974441</v>
      </c>
      <c r="AN23" s="119"/>
      <c r="AO23" s="88">
        <f t="shared" ref="AO23:AO37" si="50">+AO4</f>
        <v>28</v>
      </c>
      <c r="AP23" s="115">
        <f t="shared" ref="AP23:AP40" si="51">+L23+Y23+AL23</f>
        <v>34918041.600000001</v>
      </c>
      <c r="AQ23" s="115">
        <f>+AP23/$A$1</f>
        <v>7932.7634690748</v>
      </c>
      <c r="AR23" s="120">
        <f t="shared" ref="AR23:AR40" si="52">+AP23*F23</f>
        <v>0</v>
      </c>
      <c r="AS23" s="120">
        <f>+AR23/$A$1</f>
        <v>0</v>
      </c>
      <c r="AT23" s="138">
        <f t="shared" ref="AT23:AT40" si="53">+AP23*I23</f>
        <v>34918041.600000001</v>
      </c>
      <c r="AU23" s="138">
        <f>+AT23/$A$1</f>
        <v>7932.7634690748</v>
      </c>
      <c r="AV23" s="82">
        <f t="shared" ref="AV23:AV37" si="54">+AV4</f>
        <v>0.2</v>
      </c>
      <c r="AW23" s="102">
        <v>0.58289999999999997</v>
      </c>
      <c r="AX23" s="171"/>
      <c r="AY23" s="78"/>
      <c r="BA23" s="62"/>
      <c r="BB23" s="62"/>
      <c r="BC23" s="62"/>
      <c r="BF23" s="62"/>
      <c r="BH23" s="99">
        <f t="shared" ref="BH23:BH40" si="55">+AR23+AT23-AP23</f>
        <v>0</v>
      </c>
    </row>
    <row r="24" spans="1:60" x14ac:dyDescent="0.35">
      <c r="A24" s="40" t="str">
        <f t="shared" si="33"/>
        <v>1.2. Business Strengthening Coordinator</v>
      </c>
      <c r="B24" s="26" t="s">
        <v>34</v>
      </c>
      <c r="C24" s="26">
        <f t="shared" si="34"/>
        <v>12</v>
      </c>
      <c r="D24" s="115">
        <f t="shared" si="35"/>
        <v>2402713.7999999998</v>
      </c>
      <c r="E24" s="115">
        <f t="shared" ref="E24:E40" si="56">+D24/$A$1</f>
        <v>545.85421707275509</v>
      </c>
      <c r="F24" s="240">
        <f t="shared" si="36"/>
        <v>1</v>
      </c>
      <c r="G24" s="116">
        <f t="shared" si="37"/>
        <v>28832565.599999998</v>
      </c>
      <c r="H24" s="116">
        <f t="shared" ref="H24:H40" si="57">+G24/$A$1</f>
        <v>6550.2506048730611</v>
      </c>
      <c r="I24" s="242">
        <v>0</v>
      </c>
      <c r="J24" s="117">
        <f t="shared" si="38"/>
        <v>0</v>
      </c>
      <c r="K24" s="117">
        <f t="shared" ref="K24:K40" si="58">+J24/$A$1</f>
        <v>0</v>
      </c>
      <c r="L24" s="118">
        <f t="shared" si="39"/>
        <v>28832565.599999998</v>
      </c>
      <c r="M24" s="118">
        <f t="shared" ref="M24:M40" si="59">+L24/$A$1</f>
        <v>6550.2506048730611</v>
      </c>
      <c r="N24" s="119"/>
      <c r="O24" s="26" t="s">
        <v>189</v>
      </c>
      <c r="P24" s="26">
        <f t="shared" si="40"/>
        <v>12</v>
      </c>
      <c r="Q24" s="115">
        <f t="shared" si="41"/>
        <v>2642985.1799999997</v>
      </c>
      <c r="R24" s="115">
        <f t="shared" ref="R24:R39" si="60">+Q24/$A$1</f>
        <v>600.43963878003058</v>
      </c>
      <c r="S24" s="240">
        <f t="shared" si="42"/>
        <v>1</v>
      </c>
      <c r="T24" s="116">
        <f t="shared" ref="T24:T40" si="61">+S24*Y24</f>
        <v>31715822.159999996</v>
      </c>
      <c r="U24" s="116">
        <f t="shared" ref="U24:U40" si="62">+T24/$A$1</f>
        <v>7205.2756653603674</v>
      </c>
      <c r="V24" s="242">
        <v>0</v>
      </c>
      <c r="W24" s="117">
        <f t="shared" ref="W24:W40" si="63">+V24*Y24</f>
        <v>0</v>
      </c>
      <c r="X24" s="117">
        <f t="shared" ref="X24:X40" si="64">+W24/$A$1</f>
        <v>0</v>
      </c>
      <c r="Y24" s="118">
        <f t="shared" si="43"/>
        <v>31715822.159999996</v>
      </c>
      <c r="Z24" s="118">
        <f t="shared" ref="Z24:Z40" si="65">+Y24/$A$1</f>
        <v>7205.2756653603674</v>
      </c>
      <c r="AA24" s="119"/>
      <c r="AB24" s="26" t="s">
        <v>189</v>
      </c>
      <c r="AC24" s="26">
        <f t="shared" si="44"/>
        <v>4</v>
      </c>
      <c r="AD24" s="115">
        <f t="shared" si="45"/>
        <v>2854423.9943999997</v>
      </c>
      <c r="AE24" s="115">
        <f t="shared" ref="AE24:AE40" si="66">+AD24/$A$1</f>
        <v>648.47480988243308</v>
      </c>
      <c r="AF24" s="240">
        <f t="shared" si="46"/>
        <v>1</v>
      </c>
      <c r="AG24" s="116">
        <f t="shared" si="47"/>
        <v>11417695.977599999</v>
      </c>
      <c r="AH24" s="116">
        <f t="shared" ref="AH24:AH40" si="67">+AG24/$A$1</f>
        <v>2593.8992395297323</v>
      </c>
      <c r="AI24" s="242">
        <v>0</v>
      </c>
      <c r="AJ24" s="117">
        <f t="shared" si="48"/>
        <v>0</v>
      </c>
      <c r="AK24" s="117">
        <f t="shared" ref="AK24:AK40" si="68">+AJ24/$A$1</f>
        <v>0</v>
      </c>
      <c r="AL24" s="118">
        <f t="shared" si="49"/>
        <v>11417695.977599999</v>
      </c>
      <c r="AM24" s="118">
        <f t="shared" ref="AM24:AM40" si="69">+AL24/$A$1</f>
        <v>2593.8992395297323</v>
      </c>
      <c r="AN24" s="119"/>
      <c r="AO24" s="88">
        <f t="shared" si="50"/>
        <v>28</v>
      </c>
      <c r="AP24" s="115">
        <f t="shared" si="51"/>
        <v>71966083.737599984</v>
      </c>
      <c r="AQ24" s="115">
        <f t="shared" ref="AQ24:AQ40" si="70">+AP24/$A$1</f>
        <v>16349.425509763159</v>
      </c>
      <c r="AR24" s="120">
        <f t="shared" si="52"/>
        <v>71966083.737599984</v>
      </c>
      <c r="AS24" s="120">
        <f t="shared" ref="AS24:AS40" si="71">+AR24/$A$1</f>
        <v>16349.425509763159</v>
      </c>
      <c r="AT24" s="138">
        <f t="shared" si="53"/>
        <v>0</v>
      </c>
      <c r="AU24" s="138">
        <f t="shared" ref="AU24:AU40" si="72">+AT24/$A$1</f>
        <v>0</v>
      </c>
      <c r="AV24" s="82">
        <f t="shared" si="54"/>
        <v>1</v>
      </c>
      <c r="AW24" s="102">
        <v>0.58289999999999997</v>
      </c>
      <c r="AX24" s="171"/>
      <c r="BH24" s="99">
        <f t="shared" si="55"/>
        <v>0</v>
      </c>
    </row>
    <row r="25" spans="1:60" x14ac:dyDescent="0.35">
      <c r="A25" s="40" t="str">
        <f t="shared" si="33"/>
        <v>1.3. Cacao technical specialist</v>
      </c>
      <c r="B25" s="26" t="s">
        <v>34</v>
      </c>
      <c r="C25" s="26">
        <f t="shared" si="34"/>
        <v>12</v>
      </c>
      <c r="D25" s="115">
        <f t="shared" si="35"/>
        <v>2402713.7999999998</v>
      </c>
      <c r="E25" s="115">
        <f t="shared" si="56"/>
        <v>545.85421707275509</v>
      </c>
      <c r="F25" s="240">
        <f t="shared" si="36"/>
        <v>1</v>
      </c>
      <c r="G25" s="116">
        <f t="shared" si="37"/>
        <v>28832565.599999998</v>
      </c>
      <c r="H25" s="116">
        <f t="shared" si="57"/>
        <v>6550.2506048730611</v>
      </c>
      <c r="I25" s="242">
        <v>0</v>
      </c>
      <c r="J25" s="117">
        <f t="shared" si="38"/>
        <v>0</v>
      </c>
      <c r="K25" s="117">
        <f t="shared" si="58"/>
        <v>0</v>
      </c>
      <c r="L25" s="118">
        <f t="shared" si="39"/>
        <v>28832565.599999998</v>
      </c>
      <c r="M25" s="118">
        <f t="shared" si="59"/>
        <v>6550.2506048730611</v>
      </c>
      <c r="N25" s="119"/>
      <c r="O25" s="26" t="s">
        <v>189</v>
      </c>
      <c r="P25" s="26">
        <f t="shared" si="40"/>
        <v>12</v>
      </c>
      <c r="Q25" s="115">
        <f t="shared" si="41"/>
        <v>2642985.1799999997</v>
      </c>
      <c r="R25" s="115">
        <f t="shared" si="60"/>
        <v>600.43963878003058</v>
      </c>
      <c r="S25" s="240">
        <f t="shared" si="42"/>
        <v>1</v>
      </c>
      <c r="T25" s="116">
        <f t="shared" si="61"/>
        <v>31715822.159999996</v>
      </c>
      <c r="U25" s="116">
        <f t="shared" si="62"/>
        <v>7205.2756653603674</v>
      </c>
      <c r="V25" s="242">
        <v>0</v>
      </c>
      <c r="W25" s="117">
        <f t="shared" si="63"/>
        <v>0</v>
      </c>
      <c r="X25" s="117">
        <f t="shared" si="64"/>
        <v>0</v>
      </c>
      <c r="Y25" s="118">
        <f t="shared" si="43"/>
        <v>31715822.159999996</v>
      </c>
      <c r="Z25" s="118">
        <f t="shared" si="65"/>
        <v>7205.2756653603674</v>
      </c>
      <c r="AA25" s="119"/>
      <c r="AB25" s="26" t="s">
        <v>189</v>
      </c>
      <c r="AC25" s="26">
        <f t="shared" si="44"/>
        <v>4</v>
      </c>
      <c r="AD25" s="115">
        <f t="shared" si="45"/>
        <v>2854423.9943999997</v>
      </c>
      <c r="AE25" s="115">
        <f t="shared" si="66"/>
        <v>648.47480988243308</v>
      </c>
      <c r="AF25" s="240">
        <f t="shared" si="46"/>
        <v>1</v>
      </c>
      <c r="AG25" s="116">
        <f t="shared" si="47"/>
        <v>11417695.977599999</v>
      </c>
      <c r="AH25" s="116">
        <f t="shared" si="67"/>
        <v>2593.8992395297323</v>
      </c>
      <c r="AI25" s="242">
        <v>0</v>
      </c>
      <c r="AJ25" s="117">
        <f t="shared" si="48"/>
        <v>0</v>
      </c>
      <c r="AK25" s="117">
        <f t="shared" si="68"/>
        <v>0</v>
      </c>
      <c r="AL25" s="118">
        <f t="shared" si="49"/>
        <v>11417695.977599999</v>
      </c>
      <c r="AM25" s="118">
        <f t="shared" si="69"/>
        <v>2593.8992395297323</v>
      </c>
      <c r="AN25" s="119"/>
      <c r="AO25" s="88">
        <f t="shared" si="50"/>
        <v>28</v>
      </c>
      <c r="AP25" s="115">
        <f t="shared" si="51"/>
        <v>71966083.737599984</v>
      </c>
      <c r="AQ25" s="115">
        <f t="shared" si="70"/>
        <v>16349.425509763159</v>
      </c>
      <c r="AR25" s="120">
        <f t="shared" si="52"/>
        <v>71966083.737599984</v>
      </c>
      <c r="AS25" s="120">
        <f t="shared" si="71"/>
        <v>16349.425509763159</v>
      </c>
      <c r="AT25" s="138">
        <f t="shared" si="53"/>
        <v>0</v>
      </c>
      <c r="AU25" s="138">
        <f t="shared" si="72"/>
        <v>0</v>
      </c>
      <c r="AV25" s="82">
        <f t="shared" si="54"/>
        <v>1</v>
      </c>
      <c r="AW25" s="102">
        <v>0.58289999999999997</v>
      </c>
      <c r="AX25" s="171"/>
      <c r="BH25" s="99">
        <f t="shared" si="55"/>
        <v>0</v>
      </c>
    </row>
    <row r="26" spans="1:60" x14ac:dyDescent="0.35">
      <c r="A26" s="40" t="str">
        <f t="shared" si="33"/>
        <v>1.4. Organizational Professional</v>
      </c>
      <c r="B26" s="26" t="s">
        <v>34</v>
      </c>
      <c r="C26" s="26">
        <f t="shared" si="34"/>
        <v>12</v>
      </c>
      <c r="D26" s="115">
        <f t="shared" si="35"/>
        <v>1865280</v>
      </c>
      <c r="E26" s="115">
        <f t="shared" si="56"/>
        <v>423.75873232237177</v>
      </c>
      <c r="F26" s="240">
        <f t="shared" si="36"/>
        <v>0.75</v>
      </c>
      <c r="G26" s="116">
        <f t="shared" si="37"/>
        <v>16787520</v>
      </c>
      <c r="H26" s="116">
        <f t="shared" si="57"/>
        <v>3813.8285909013462</v>
      </c>
      <c r="I26" s="242">
        <v>0.25</v>
      </c>
      <c r="J26" s="117">
        <f t="shared" si="38"/>
        <v>5595840</v>
      </c>
      <c r="K26" s="117">
        <f t="shared" si="58"/>
        <v>1271.2761969671153</v>
      </c>
      <c r="L26" s="118">
        <f t="shared" si="39"/>
        <v>22383360</v>
      </c>
      <c r="M26" s="118">
        <f t="shared" si="59"/>
        <v>5085.1047878684612</v>
      </c>
      <c r="N26" s="119"/>
      <c r="O26" s="26" t="s">
        <v>189</v>
      </c>
      <c r="P26" s="26">
        <f t="shared" si="40"/>
        <v>12</v>
      </c>
      <c r="Q26" s="115">
        <f t="shared" si="41"/>
        <v>2051808.0000000002</v>
      </c>
      <c r="R26" s="115">
        <f t="shared" si="60"/>
        <v>466.13460555460904</v>
      </c>
      <c r="S26" s="240">
        <f t="shared" si="42"/>
        <v>0.75</v>
      </c>
      <c r="T26" s="116">
        <f t="shared" si="61"/>
        <v>18466272.000000004</v>
      </c>
      <c r="U26" s="116">
        <f t="shared" si="62"/>
        <v>4195.2114499914815</v>
      </c>
      <c r="V26" s="242">
        <v>0.25</v>
      </c>
      <c r="W26" s="117">
        <f t="shared" si="63"/>
        <v>6155424.0000000009</v>
      </c>
      <c r="X26" s="117">
        <f t="shared" si="64"/>
        <v>1398.403816663827</v>
      </c>
      <c r="Y26" s="118">
        <f t="shared" si="43"/>
        <v>24621696.000000004</v>
      </c>
      <c r="Z26" s="118">
        <f t="shared" si="65"/>
        <v>5593.615266655308</v>
      </c>
      <c r="AA26" s="119"/>
      <c r="AB26" s="26" t="s">
        <v>189</v>
      </c>
      <c r="AC26" s="26">
        <f t="shared" si="44"/>
        <v>4</v>
      </c>
      <c r="AD26" s="115">
        <f t="shared" si="45"/>
        <v>2215952.6400000006</v>
      </c>
      <c r="AE26" s="115">
        <f t="shared" si="66"/>
        <v>503.42537399897782</v>
      </c>
      <c r="AF26" s="240">
        <f t="shared" si="46"/>
        <v>0.75</v>
      </c>
      <c r="AG26" s="116">
        <f t="shared" si="47"/>
        <v>6647857.9200000018</v>
      </c>
      <c r="AH26" s="116">
        <f t="shared" si="67"/>
        <v>1510.2761219969334</v>
      </c>
      <c r="AI26" s="242">
        <v>0.25</v>
      </c>
      <c r="AJ26" s="117">
        <f t="shared" si="48"/>
        <v>2215952.6400000006</v>
      </c>
      <c r="AK26" s="117">
        <f t="shared" si="68"/>
        <v>503.42537399897782</v>
      </c>
      <c r="AL26" s="118">
        <f t="shared" si="49"/>
        <v>8863810.5600000024</v>
      </c>
      <c r="AM26" s="118">
        <f t="shared" si="69"/>
        <v>2013.7014959959113</v>
      </c>
      <c r="AN26" s="119"/>
      <c r="AO26" s="88">
        <f t="shared" si="50"/>
        <v>28</v>
      </c>
      <c r="AP26" s="115">
        <f t="shared" si="51"/>
        <v>55868866.560000002</v>
      </c>
      <c r="AQ26" s="115">
        <f t="shared" si="70"/>
        <v>12692.421550519681</v>
      </c>
      <c r="AR26" s="120">
        <f t="shared" si="52"/>
        <v>41901649.920000002</v>
      </c>
      <c r="AS26" s="120">
        <f t="shared" si="71"/>
        <v>9519.3161628897597</v>
      </c>
      <c r="AT26" s="138">
        <f t="shared" si="53"/>
        <v>13967216.640000001</v>
      </c>
      <c r="AU26" s="138">
        <f t="shared" si="72"/>
        <v>3173.1053876299202</v>
      </c>
      <c r="AV26" s="82">
        <f t="shared" si="54"/>
        <v>0.8</v>
      </c>
      <c r="AW26" s="102">
        <v>0.58289999999999997</v>
      </c>
      <c r="AX26" s="171"/>
      <c r="BH26" s="99">
        <f t="shared" si="55"/>
        <v>0</v>
      </c>
    </row>
    <row r="27" spans="1:60" x14ac:dyDescent="0.35">
      <c r="A27" s="40" t="str">
        <f t="shared" si="33"/>
        <v>1.5. F&amp;A Specialist</v>
      </c>
      <c r="B27" s="26" t="s">
        <v>34</v>
      </c>
      <c r="C27" s="26">
        <f t="shared" si="34"/>
        <v>12</v>
      </c>
      <c r="D27" s="115">
        <f t="shared" si="35"/>
        <v>1107510</v>
      </c>
      <c r="E27" s="115">
        <f t="shared" si="56"/>
        <v>251.60674731640825</v>
      </c>
      <c r="F27" s="240">
        <f t="shared" si="36"/>
        <v>1</v>
      </c>
      <c r="G27" s="116">
        <f t="shared" si="37"/>
        <v>13290120</v>
      </c>
      <c r="H27" s="116">
        <f t="shared" si="57"/>
        <v>3019.2809677968989</v>
      </c>
      <c r="I27" s="242">
        <v>0</v>
      </c>
      <c r="J27" s="117">
        <f t="shared" si="38"/>
        <v>0</v>
      </c>
      <c r="K27" s="117">
        <f t="shared" si="58"/>
        <v>0</v>
      </c>
      <c r="L27" s="118">
        <f t="shared" si="39"/>
        <v>13290120</v>
      </c>
      <c r="M27" s="118">
        <f t="shared" si="59"/>
        <v>3019.2809677968989</v>
      </c>
      <c r="N27" s="119"/>
      <c r="O27" s="26" t="s">
        <v>189</v>
      </c>
      <c r="P27" s="26">
        <f t="shared" si="40"/>
        <v>12</v>
      </c>
      <c r="Q27" s="115">
        <f t="shared" si="41"/>
        <v>1218261</v>
      </c>
      <c r="R27" s="115">
        <f t="shared" si="60"/>
        <v>276.76742204804907</v>
      </c>
      <c r="S27" s="240">
        <f t="shared" si="42"/>
        <v>1</v>
      </c>
      <c r="T27" s="116">
        <f t="shared" si="61"/>
        <v>14619132</v>
      </c>
      <c r="U27" s="116">
        <f t="shared" si="62"/>
        <v>3321.2090645765888</v>
      </c>
      <c r="V27" s="242">
        <v>0</v>
      </c>
      <c r="W27" s="117">
        <f t="shared" si="63"/>
        <v>0</v>
      </c>
      <c r="X27" s="117">
        <f t="shared" si="64"/>
        <v>0</v>
      </c>
      <c r="Y27" s="118">
        <f t="shared" si="43"/>
        <v>14619132</v>
      </c>
      <c r="Z27" s="118">
        <f t="shared" si="65"/>
        <v>3321.2090645765888</v>
      </c>
      <c r="AA27" s="119"/>
      <c r="AB27" s="26" t="s">
        <v>189</v>
      </c>
      <c r="AC27" s="26">
        <f t="shared" si="44"/>
        <v>4</v>
      </c>
      <c r="AD27" s="115">
        <f t="shared" si="45"/>
        <v>1315721.8800000001</v>
      </c>
      <c r="AE27" s="115">
        <f t="shared" si="66"/>
        <v>298.90881581189302</v>
      </c>
      <c r="AF27" s="240">
        <f t="shared" si="46"/>
        <v>1</v>
      </c>
      <c r="AG27" s="116">
        <f t="shared" si="47"/>
        <v>5262887.5200000005</v>
      </c>
      <c r="AH27" s="116">
        <f t="shared" si="67"/>
        <v>1195.6352632475721</v>
      </c>
      <c r="AI27" s="242">
        <v>0</v>
      </c>
      <c r="AJ27" s="117">
        <f t="shared" si="48"/>
        <v>0</v>
      </c>
      <c r="AK27" s="117">
        <f t="shared" si="68"/>
        <v>0</v>
      </c>
      <c r="AL27" s="118">
        <f t="shared" si="49"/>
        <v>5262887.5200000005</v>
      </c>
      <c r="AM27" s="118">
        <f t="shared" si="69"/>
        <v>1195.6352632475721</v>
      </c>
      <c r="AN27" s="119"/>
      <c r="AO27" s="88">
        <f t="shared" si="50"/>
        <v>28</v>
      </c>
      <c r="AP27" s="115">
        <f t="shared" si="51"/>
        <v>33172139.52</v>
      </c>
      <c r="AQ27" s="115">
        <f t="shared" si="70"/>
        <v>7536.1252956210601</v>
      </c>
      <c r="AR27" s="120">
        <f t="shared" si="52"/>
        <v>33172139.52</v>
      </c>
      <c r="AS27" s="120">
        <f t="shared" si="71"/>
        <v>7536.1252956210601</v>
      </c>
      <c r="AT27" s="138">
        <f t="shared" si="53"/>
        <v>0</v>
      </c>
      <c r="AU27" s="138">
        <f t="shared" si="72"/>
        <v>0</v>
      </c>
      <c r="AV27" s="82">
        <f t="shared" si="54"/>
        <v>0.5</v>
      </c>
      <c r="AW27" s="102">
        <v>0.58289999999999997</v>
      </c>
      <c r="AX27" s="171"/>
      <c r="BH27" s="99">
        <f t="shared" si="55"/>
        <v>0</v>
      </c>
    </row>
    <row r="28" spans="1:60" x14ac:dyDescent="0.35">
      <c r="A28" s="40" t="str">
        <f t="shared" si="33"/>
        <v>1.6. Business Partner Professional Antioquia, Córdoba 1</v>
      </c>
      <c r="B28" s="26" t="s">
        <v>34</v>
      </c>
      <c r="C28" s="26">
        <f t="shared" si="34"/>
        <v>12</v>
      </c>
      <c r="D28" s="115">
        <f t="shared" si="35"/>
        <v>2040150</v>
      </c>
      <c r="E28" s="115">
        <f t="shared" si="56"/>
        <v>463.48611347759413</v>
      </c>
      <c r="F28" s="240">
        <f t="shared" si="36"/>
        <v>1</v>
      </c>
      <c r="G28" s="116">
        <f t="shared" si="37"/>
        <v>24481800</v>
      </c>
      <c r="H28" s="116">
        <f t="shared" si="57"/>
        <v>5561.83336173113</v>
      </c>
      <c r="I28" s="242">
        <v>0</v>
      </c>
      <c r="J28" s="117">
        <f t="shared" si="38"/>
        <v>0</v>
      </c>
      <c r="K28" s="117">
        <f t="shared" si="58"/>
        <v>0</v>
      </c>
      <c r="L28" s="118">
        <f t="shared" si="39"/>
        <v>24481800</v>
      </c>
      <c r="M28" s="118">
        <f t="shared" si="59"/>
        <v>5561.83336173113</v>
      </c>
      <c r="N28" s="119"/>
      <c r="O28" s="26" t="s">
        <v>189</v>
      </c>
      <c r="P28" s="26">
        <f t="shared" si="40"/>
        <v>12</v>
      </c>
      <c r="Q28" s="115">
        <f t="shared" si="41"/>
        <v>2244165</v>
      </c>
      <c r="R28" s="115">
        <f t="shared" si="60"/>
        <v>509.83472482535353</v>
      </c>
      <c r="S28" s="240">
        <f t="shared" si="42"/>
        <v>1</v>
      </c>
      <c r="T28" s="116">
        <f t="shared" si="61"/>
        <v>26929980</v>
      </c>
      <c r="U28" s="116">
        <f t="shared" si="62"/>
        <v>6118.0166979042424</v>
      </c>
      <c r="V28" s="242">
        <v>0</v>
      </c>
      <c r="W28" s="117">
        <f t="shared" si="63"/>
        <v>0</v>
      </c>
      <c r="X28" s="117">
        <f t="shared" si="64"/>
        <v>0</v>
      </c>
      <c r="Y28" s="118">
        <f t="shared" si="43"/>
        <v>26929980</v>
      </c>
      <c r="Z28" s="118">
        <f t="shared" si="65"/>
        <v>6118.0166979042424</v>
      </c>
      <c r="AA28" s="119"/>
      <c r="AB28" s="26" t="s">
        <v>189</v>
      </c>
      <c r="AC28" s="26">
        <f t="shared" si="44"/>
        <v>3</v>
      </c>
      <c r="AD28" s="115">
        <f t="shared" si="45"/>
        <v>2423698.2000000007</v>
      </c>
      <c r="AE28" s="115">
        <f t="shared" si="66"/>
        <v>550.62150281138202</v>
      </c>
      <c r="AF28" s="240">
        <f t="shared" si="46"/>
        <v>1</v>
      </c>
      <c r="AG28" s="116">
        <f t="shared" si="47"/>
        <v>7271094.6000000015</v>
      </c>
      <c r="AH28" s="116">
        <f t="shared" si="67"/>
        <v>1651.8645084341458</v>
      </c>
      <c r="AI28" s="242">
        <v>0</v>
      </c>
      <c r="AJ28" s="117">
        <f t="shared" si="48"/>
        <v>0</v>
      </c>
      <c r="AK28" s="117">
        <f t="shared" si="68"/>
        <v>0</v>
      </c>
      <c r="AL28" s="118">
        <f t="shared" si="49"/>
        <v>7271094.6000000015</v>
      </c>
      <c r="AM28" s="118">
        <f t="shared" si="69"/>
        <v>1651.8645084341458</v>
      </c>
      <c r="AN28" s="119"/>
      <c r="AO28" s="88">
        <f t="shared" si="50"/>
        <v>27</v>
      </c>
      <c r="AP28" s="115">
        <f t="shared" si="51"/>
        <v>58682874.600000001</v>
      </c>
      <c r="AQ28" s="115">
        <f t="shared" si="70"/>
        <v>13331.714568069518</v>
      </c>
      <c r="AR28" s="120">
        <f t="shared" si="52"/>
        <v>58682874.600000001</v>
      </c>
      <c r="AS28" s="120">
        <f t="shared" si="71"/>
        <v>13331.714568069518</v>
      </c>
      <c r="AT28" s="138">
        <f t="shared" si="53"/>
        <v>0</v>
      </c>
      <c r="AU28" s="138">
        <f t="shared" si="72"/>
        <v>0</v>
      </c>
      <c r="AV28" s="82">
        <f t="shared" si="54"/>
        <v>1</v>
      </c>
      <c r="AW28" s="102">
        <v>0.58289999999999997</v>
      </c>
      <c r="AX28" s="171"/>
      <c r="BH28" s="99">
        <f t="shared" si="55"/>
        <v>0</v>
      </c>
    </row>
    <row r="29" spans="1:60" x14ac:dyDescent="0.35">
      <c r="A29" s="40" t="str">
        <f t="shared" si="33"/>
        <v>1.7. Business Partner Professional Antioquia, Córdoba 2</v>
      </c>
      <c r="B29" s="26" t="s">
        <v>34</v>
      </c>
      <c r="C29" s="26">
        <f t="shared" si="34"/>
        <v>12</v>
      </c>
      <c r="D29" s="115">
        <f t="shared" si="35"/>
        <v>2040150</v>
      </c>
      <c r="E29" s="115">
        <f t="shared" si="56"/>
        <v>463.48611347759413</v>
      </c>
      <c r="F29" s="240">
        <f t="shared" si="36"/>
        <v>1</v>
      </c>
      <c r="G29" s="116">
        <f t="shared" si="37"/>
        <v>24481800</v>
      </c>
      <c r="H29" s="116">
        <f t="shared" si="57"/>
        <v>5561.83336173113</v>
      </c>
      <c r="I29" s="242">
        <v>0</v>
      </c>
      <c r="J29" s="117">
        <f t="shared" si="38"/>
        <v>0</v>
      </c>
      <c r="K29" s="117">
        <f t="shared" si="58"/>
        <v>0</v>
      </c>
      <c r="L29" s="118">
        <f t="shared" si="39"/>
        <v>24481800</v>
      </c>
      <c r="M29" s="118">
        <f t="shared" si="59"/>
        <v>5561.83336173113</v>
      </c>
      <c r="N29" s="119"/>
      <c r="O29" s="26" t="s">
        <v>189</v>
      </c>
      <c r="P29" s="26">
        <f t="shared" si="40"/>
        <v>12</v>
      </c>
      <c r="Q29" s="115">
        <f t="shared" si="41"/>
        <v>2244165</v>
      </c>
      <c r="R29" s="115">
        <f t="shared" si="60"/>
        <v>509.83472482535353</v>
      </c>
      <c r="S29" s="240">
        <f t="shared" si="42"/>
        <v>1</v>
      </c>
      <c r="T29" s="116">
        <f t="shared" si="61"/>
        <v>26929980</v>
      </c>
      <c r="U29" s="116">
        <f t="shared" si="62"/>
        <v>6118.0166979042424</v>
      </c>
      <c r="V29" s="242">
        <v>0</v>
      </c>
      <c r="W29" s="117">
        <f t="shared" si="63"/>
        <v>0</v>
      </c>
      <c r="X29" s="117">
        <f t="shared" si="64"/>
        <v>0</v>
      </c>
      <c r="Y29" s="118">
        <f t="shared" si="43"/>
        <v>26929980</v>
      </c>
      <c r="Z29" s="118">
        <f t="shared" si="65"/>
        <v>6118.0166979042424</v>
      </c>
      <c r="AA29" s="119"/>
      <c r="AB29" s="26" t="s">
        <v>189</v>
      </c>
      <c r="AC29" s="26">
        <f t="shared" si="44"/>
        <v>0</v>
      </c>
      <c r="AD29" s="115">
        <f t="shared" si="45"/>
        <v>2423698.2000000007</v>
      </c>
      <c r="AE29" s="115">
        <f t="shared" si="66"/>
        <v>550.62150281138202</v>
      </c>
      <c r="AF29" s="240">
        <f t="shared" si="46"/>
        <v>1</v>
      </c>
      <c r="AG29" s="116">
        <f t="shared" si="47"/>
        <v>0</v>
      </c>
      <c r="AH29" s="116">
        <f t="shared" si="67"/>
        <v>0</v>
      </c>
      <c r="AI29" s="242">
        <v>0</v>
      </c>
      <c r="AJ29" s="117">
        <f t="shared" si="48"/>
        <v>0</v>
      </c>
      <c r="AK29" s="117">
        <f t="shared" si="68"/>
        <v>0</v>
      </c>
      <c r="AL29" s="118">
        <f t="shared" si="49"/>
        <v>0</v>
      </c>
      <c r="AM29" s="118">
        <f t="shared" si="69"/>
        <v>0</v>
      </c>
      <c r="AN29" s="119"/>
      <c r="AO29" s="88">
        <f t="shared" si="50"/>
        <v>24</v>
      </c>
      <c r="AP29" s="115">
        <f t="shared" si="51"/>
        <v>51411780</v>
      </c>
      <c r="AQ29" s="115">
        <f t="shared" si="70"/>
        <v>11679.850059635372</v>
      </c>
      <c r="AR29" s="120">
        <f t="shared" si="52"/>
        <v>51411780</v>
      </c>
      <c r="AS29" s="120">
        <f t="shared" si="71"/>
        <v>11679.850059635372</v>
      </c>
      <c r="AT29" s="138">
        <f t="shared" si="53"/>
        <v>0</v>
      </c>
      <c r="AU29" s="138">
        <f t="shared" si="72"/>
        <v>0</v>
      </c>
      <c r="AV29" s="82">
        <f t="shared" si="54"/>
        <v>1</v>
      </c>
      <c r="AW29" s="102">
        <v>0.58289999999999997</v>
      </c>
      <c r="AX29" s="171"/>
      <c r="BH29" s="99">
        <f t="shared" si="55"/>
        <v>0</v>
      </c>
    </row>
    <row r="30" spans="1:60" x14ac:dyDescent="0.35">
      <c r="A30" s="40" t="str">
        <f t="shared" si="33"/>
        <v>1.8. Business Partner Professional Caldas</v>
      </c>
      <c r="B30" s="26" t="s">
        <v>34</v>
      </c>
      <c r="C30" s="26">
        <f t="shared" si="34"/>
        <v>12</v>
      </c>
      <c r="D30" s="115">
        <f t="shared" si="35"/>
        <v>2040150</v>
      </c>
      <c r="E30" s="115">
        <f t="shared" si="56"/>
        <v>463.48611347759413</v>
      </c>
      <c r="F30" s="240">
        <f t="shared" si="36"/>
        <v>1</v>
      </c>
      <c r="G30" s="116">
        <f t="shared" si="37"/>
        <v>24481800</v>
      </c>
      <c r="H30" s="116">
        <f t="shared" si="57"/>
        <v>5561.83336173113</v>
      </c>
      <c r="I30" s="242">
        <v>0</v>
      </c>
      <c r="J30" s="117">
        <f t="shared" si="38"/>
        <v>0</v>
      </c>
      <c r="K30" s="117">
        <f t="shared" si="58"/>
        <v>0</v>
      </c>
      <c r="L30" s="118">
        <f t="shared" si="39"/>
        <v>24481800</v>
      </c>
      <c r="M30" s="118">
        <f t="shared" si="59"/>
        <v>5561.83336173113</v>
      </c>
      <c r="N30" s="119"/>
      <c r="O30" s="26" t="s">
        <v>189</v>
      </c>
      <c r="P30" s="26">
        <f t="shared" si="40"/>
        <v>12</v>
      </c>
      <c r="Q30" s="115">
        <f t="shared" si="41"/>
        <v>2244165</v>
      </c>
      <c r="R30" s="115">
        <f t="shared" si="60"/>
        <v>509.83472482535353</v>
      </c>
      <c r="S30" s="240">
        <f t="shared" si="42"/>
        <v>1</v>
      </c>
      <c r="T30" s="116">
        <f t="shared" si="61"/>
        <v>26929980</v>
      </c>
      <c r="U30" s="116">
        <f t="shared" si="62"/>
        <v>6118.0166979042424</v>
      </c>
      <c r="V30" s="242">
        <v>0</v>
      </c>
      <c r="W30" s="117">
        <f t="shared" si="63"/>
        <v>0</v>
      </c>
      <c r="X30" s="117">
        <f t="shared" si="64"/>
        <v>0</v>
      </c>
      <c r="Y30" s="118">
        <f t="shared" si="43"/>
        <v>26929980</v>
      </c>
      <c r="Z30" s="118">
        <f t="shared" si="65"/>
        <v>6118.0166979042424</v>
      </c>
      <c r="AA30" s="119"/>
      <c r="AB30" s="26" t="s">
        <v>189</v>
      </c>
      <c r="AC30" s="26">
        <f t="shared" si="44"/>
        <v>3</v>
      </c>
      <c r="AD30" s="115">
        <f t="shared" si="45"/>
        <v>2423698.2000000007</v>
      </c>
      <c r="AE30" s="115">
        <f t="shared" si="66"/>
        <v>550.62150281138202</v>
      </c>
      <c r="AF30" s="240">
        <f t="shared" si="46"/>
        <v>1</v>
      </c>
      <c r="AG30" s="116">
        <f t="shared" si="47"/>
        <v>7271094.6000000015</v>
      </c>
      <c r="AH30" s="116">
        <f t="shared" si="67"/>
        <v>1651.8645084341458</v>
      </c>
      <c r="AI30" s="242">
        <v>0</v>
      </c>
      <c r="AJ30" s="117">
        <f t="shared" si="48"/>
        <v>0</v>
      </c>
      <c r="AK30" s="117">
        <f t="shared" si="68"/>
        <v>0</v>
      </c>
      <c r="AL30" s="118">
        <f t="shared" si="49"/>
        <v>7271094.6000000015</v>
      </c>
      <c r="AM30" s="118">
        <f t="shared" si="69"/>
        <v>1651.8645084341458</v>
      </c>
      <c r="AN30" s="119"/>
      <c r="AO30" s="88">
        <f t="shared" si="50"/>
        <v>27</v>
      </c>
      <c r="AP30" s="115">
        <f t="shared" si="51"/>
        <v>58682874.600000001</v>
      </c>
      <c r="AQ30" s="115">
        <f t="shared" si="70"/>
        <v>13331.714568069518</v>
      </c>
      <c r="AR30" s="120">
        <f t="shared" si="52"/>
        <v>58682874.600000001</v>
      </c>
      <c r="AS30" s="120">
        <f t="shared" si="71"/>
        <v>13331.714568069518</v>
      </c>
      <c r="AT30" s="138">
        <f t="shared" si="53"/>
        <v>0</v>
      </c>
      <c r="AU30" s="138">
        <f t="shared" si="72"/>
        <v>0</v>
      </c>
      <c r="AV30" s="82">
        <f t="shared" si="54"/>
        <v>1</v>
      </c>
      <c r="AW30" s="102">
        <v>0.58289999999999997</v>
      </c>
      <c r="AX30" s="171"/>
      <c r="BH30" s="99">
        <f t="shared" si="55"/>
        <v>0</v>
      </c>
    </row>
    <row r="31" spans="1:60" ht="29" x14ac:dyDescent="0.35">
      <c r="A31" s="40" t="str">
        <f t="shared" si="33"/>
        <v>1.9. Business Partner Professional Guajira, Cesar, Magdalena</v>
      </c>
      <c r="B31" s="26" t="s">
        <v>34</v>
      </c>
      <c r="C31" s="26">
        <f t="shared" si="34"/>
        <v>12</v>
      </c>
      <c r="D31" s="115">
        <f t="shared" si="35"/>
        <v>2040150</v>
      </c>
      <c r="E31" s="115">
        <f t="shared" si="56"/>
        <v>463.48611347759413</v>
      </c>
      <c r="F31" s="240">
        <f t="shared" si="36"/>
        <v>1</v>
      </c>
      <c r="G31" s="116">
        <f t="shared" si="37"/>
        <v>24481800</v>
      </c>
      <c r="H31" s="116">
        <f t="shared" si="57"/>
        <v>5561.83336173113</v>
      </c>
      <c r="I31" s="242">
        <v>0</v>
      </c>
      <c r="J31" s="117">
        <f t="shared" si="38"/>
        <v>0</v>
      </c>
      <c r="K31" s="117">
        <f t="shared" si="58"/>
        <v>0</v>
      </c>
      <c r="L31" s="118">
        <f t="shared" si="39"/>
        <v>24481800</v>
      </c>
      <c r="M31" s="118">
        <f t="shared" si="59"/>
        <v>5561.83336173113</v>
      </c>
      <c r="N31" s="119"/>
      <c r="O31" s="26" t="s">
        <v>189</v>
      </c>
      <c r="P31" s="26">
        <f t="shared" si="40"/>
        <v>12</v>
      </c>
      <c r="Q31" s="115">
        <f t="shared" si="41"/>
        <v>2244165</v>
      </c>
      <c r="R31" s="115">
        <f t="shared" si="60"/>
        <v>509.83472482535353</v>
      </c>
      <c r="S31" s="240">
        <f t="shared" si="42"/>
        <v>1</v>
      </c>
      <c r="T31" s="116">
        <f t="shared" si="61"/>
        <v>26929980</v>
      </c>
      <c r="U31" s="116">
        <f t="shared" si="62"/>
        <v>6118.0166979042424</v>
      </c>
      <c r="V31" s="242">
        <v>0</v>
      </c>
      <c r="W31" s="117">
        <f t="shared" si="63"/>
        <v>0</v>
      </c>
      <c r="X31" s="117">
        <f t="shared" si="64"/>
        <v>0</v>
      </c>
      <c r="Y31" s="118">
        <f t="shared" si="43"/>
        <v>26929980</v>
      </c>
      <c r="Z31" s="118">
        <f t="shared" si="65"/>
        <v>6118.0166979042424</v>
      </c>
      <c r="AA31" s="119"/>
      <c r="AB31" s="26" t="s">
        <v>189</v>
      </c>
      <c r="AC31" s="26">
        <f t="shared" si="44"/>
        <v>3</v>
      </c>
      <c r="AD31" s="115">
        <f t="shared" si="45"/>
        <v>2423698.2000000007</v>
      </c>
      <c r="AE31" s="115">
        <f t="shared" si="66"/>
        <v>550.62150281138202</v>
      </c>
      <c r="AF31" s="240">
        <f t="shared" si="46"/>
        <v>1</v>
      </c>
      <c r="AG31" s="116">
        <f t="shared" si="47"/>
        <v>7271094.6000000015</v>
      </c>
      <c r="AH31" s="116">
        <f t="shared" si="67"/>
        <v>1651.8645084341458</v>
      </c>
      <c r="AI31" s="242">
        <v>0</v>
      </c>
      <c r="AJ31" s="117">
        <f t="shared" si="48"/>
        <v>0</v>
      </c>
      <c r="AK31" s="117">
        <f t="shared" si="68"/>
        <v>0</v>
      </c>
      <c r="AL31" s="118">
        <f t="shared" si="49"/>
        <v>7271094.6000000015</v>
      </c>
      <c r="AM31" s="118">
        <f t="shared" si="69"/>
        <v>1651.8645084341458</v>
      </c>
      <c r="AN31" s="119"/>
      <c r="AO31" s="88">
        <f t="shared" si="50"/>
        <v>27</v>
      </c>
      <c r="AP31" s="115">
        <f t="shared" si="51"/>
        <v>58682874.600000001</v>
      </c>
      <c r="AQ31" s="115">
        <f t="shared" si="70"/>
        <v>13331.714568069518</v>
      </c>
      <c r="AR31" s="120">
        <f t="shared" si="52"/>
        <v>58682874.600000001</v>
      </c>
      <c r="AS31" s="120">
        <f t="shared" si="71"/>
        <v>13331.714568069518</v>
      </c>
      <c r="AT31" s="138">
        <f t="shared" si="53"/>
        <v>0</v>
      </c>
      <c r="AU31" s="138">
        <f t="shared" si="72"/>
        <v>0</v>
      </c>
      <c r="AV31" s="82">
        <f t="shared" si="54"/>
        <v>1</v>
      </c>
      <c r="AW31" s="102">
        <v>0.58289999999999997</v>
      </c>
      <c r="AX31" s="171"/>
      <c r="BH31" s="99">
        <f t="shared" si="55"/>
        <v>0</v>
      </c>
    </row>
    <row r="32" spans="1:60" x14ac:dyDescent="0.35">
      <c r="A32" s="40" t="str">
        <f t="shared" si="33"/>
        <v>1.10. Business Partner Professional Huila</v>
      </c>
      <c r="B32" s="26" t="s">
        <v>34</v>
      </c>
      <c r="C32" s="26">
        <f t="shared" si="34"/>
        <v>12</v>
      </c>
      <c r="D32" s="115">
        <f t="shared" si="35"/>
        <v>2040150</v>
      </c>
      <c r="E32" s="115">
        <f t="shared" si="56"/>
        <v>463.48611347759413</v>
      </c>
      <c r="F32" s="240">
        <f t="shared" si="36"/>
        <v>1</v>
      </c>
      <c r="G32" s="116">
        <f t="shared" si="37"/>
        <v>24481800</v>
      </c>
      <c r="H32" s="116">
        <f t="shared" si="57"/>
        <v>5561.83336173113</v>
      </c>
      <c r="I32" s="242">
        <v>0</v>
      </c>
      <c r="J32" s="117">
        <f t="shared" si="38"/>
        <v>0</v>
      </c>
      <c r="K32" s="117">
        <f t="shared" si="58"/>
        <v>0</v>
      </c>
      <c r="L32" s="118">
        <f t="shared" si="39"/>
        <v>24481800</v>
      </c>
      <c r="M32" s="118">
        <f t="shared" si="59"/>
        <v>5561.83336173113</v>
      </c>
      <c r="N32" s="119"/>
      <c r="O32" s="26" t="s">
        <v>189</v>
      </c>
      <c r="P32" s="26">
        <f t="shared" si="40"/>
        <v>12</v>
      </c>
      <c r="Q32" s="115">
        <f t="shared" si="41"/>
        <v>2244165</v>
      </c>
      <c r="R32" s="115">
        <f t="shared" si="60"/>
        <v>509.83472482535353</v>
      </c>
      <c r="S32" s="240">
        <f t="shared" si="42"/>
        <v>1</v>
      </c>
      <c r="T32" s="116">
        <f t="shared" si="61"/>
        <v>26929980</v>
      </c>
      <c r="U32" s="116">
        <f t="shared" si="62"/>
        <v>6118.0166979042424</v>
      </c>
      <c r="V32" s="242">
        <v>0</v>
      </c>
      <c r="W32" s="117">
        <f t="shared" si="63"/>
        <v>0</v>
      </c>
      <c r="X32" s="117">
        <f t="shared" si="64"/>
        <v>0</v>
      </c>
      <c r="Y32" s="118">
        <f t="shared" si="43"/>
        <v>26929980</v>
      </c>
      <c r="Z32" s="118">
        <f t="shared" si="65"/>
        <v>6118.0166979042424</v>
      </c>
      <c r="AA32" s="119"/>
      <c r="AB32" s="26" t="s">
        <v>189</v>
      </c>
      <c r="AC32" s="26">
        <f t="shared" si="44"/>
        <v>3</v>
      </c>
      <c r="AD32" s="115">
        <f t="shared" si="45"/>
        <v>2423698.2000000007</v>
      </c>
      <c r="AE32" s="115">
        <f t="shared" si="66"/>
        <v>550.62150281138202</v>
      </c>
      <c r="AF32" s="240">
        <f t="shared" si="46"/>
        <v>1</v>
      </c>
      <c r="AG32" s="116">
        <f t="shared" si="47"/>
        <v>7271094.6000000015</v>
      </c>
      <c r="AH32" s="116">
        <f t="shared" si="67"/>
        <v>1651.8645084341458</v>
      </c>
      <c r="AI32" s="242">
        <v>0</v>
      </c>
      <c r="AJ32" s="117">
        <f t="shared" si="48"/>
        <v>0</v>
      </c>
      <c r="AK32" s="117">
        <f t="shared" si="68"/>
        <v>0</v>
      </c>
      <c r="AL32" s="118">
        <f t="shared" si="49"/>
        <v>7271094.6000000015</v>
      </c>
      <c r="AM32" s="118">
        <f t="shared" si="69"/>
        <v>1651.8645084341458</v>
      </c>
      <c r="AN32" s="119"/>
      <c r="AO32" s="88">
        <f t="shared" si="50"/>
        <v>27</v>
      </c>
      <c r="AP32" s="115">
        <f t="shared" si="51"/>
        <v>58682874.600000001</v>
      </c>
      <c r="AQ32" s="115">
        <f t="shared" si="70"/>
        <v>13331.714568069518</v>
      </c>
      <c r="AR32" s="120">
        <f t="shared" si="52"/>
        <v>58682874.600000001</v>
      </c>
      <c r="AS32" s="120">
        <f t="shared" si="71"/>
        <v>13331.714568069518</v>
      </c>
      <c r="AT32" s="138">
        <f t="shared" si="53"/>
        <v>0</v>
      </c>
      <c r="AU32" s="138">
        <f t="shared" si="72"/>
        <v>0</v>
      </c>
      <c r="AV32" s="82">
        <f t="shared" si="54"/>
        <v>1</v>
      </c>
      <c r="AW32" s="102">
        <v>0.58289999999999997</v>
      </c>
      <c r="AX32" s="171"/>
      <c r="BH32" s="99">
        <f t="shared" si="55"/>
        <v>0</v>
      </c>
    </row>
    <row r="33" spans="1:60" x14ac:dyDescent="0.35">
      <c r="A33" s="40" t="str">
        <f t="shared" si="33"/>
        <v>1.11. Business Partner Professional Santander and Bolivar</v>
      </c>
      <c r="B33" s="26" t="s">
        <v>34</v>
      </c>
      <c r="C33" s="26">
        <f t="shared" si="34"/>
        <v>12</v>
      </c>
      <c r="D33" s="115">
        <f t="shared" si="35"/>
        <v>2040150</v>
      </c>
      <c r="E33" s="115">
        <f t="shared" si="56"/>
        <v>463.48611347759413</v>
      </c>
      <c r="F33" s="240">
        <f t="shared" si="36"/>
        <v>1</v>
      </c>
      <c r="G33" s="116">
        <f t="shared" si="37"/>
        <v>24481800</v>
      </c>
      <c r="H33" s="116">
        <f t="shared" si="57"/>
        <v>5561.83336173113</v>
      </c>
      <c r="I33" s="242">
        <v>0</v>
      </c>
      <c r="J33" s="117">
        <f t="shared" si="38"/>
        <v>0</v>
      </c>
      <c r="K33" s="117">
        <f t="shared" si="58"/>
        <v>0</v>
      </c>
      <c r="L33" s="118">
        <f t="shared" si="39"/>
        <v>24481800</v>
      </c>
      <c r="M33" s="118">
        <f t="shared" si="59"/>
        <v>5561.83336173113</v>
      </c>
      <c r="N33" s="119"/>
      <c r="O33" s="26" t="s">
        <v>189</v>
      </c>
      <c r="P33" s="26">
        <f t="shared" si="40"/>
        <v>12</v>
      </c>
      <c r="Q33" s="115">
        <f t="shared" si="41"/>
        <v>2244165</v>
      </c>
      <c r="R33" s="115">
        <f t="shared" si="60"/>
        <v>509.83472482535353</v>
      </c>
      <c r="S33" s="240">
        <f t="shared" si="42"/>
        <v>1</v>
      </c>
      <c r="T33" s="116">
        <f t="shared" si="61"/>
        <v>26929980</v>
      </c>
      <c r="U33" s="116">
        <f t="shared" si="62"/>
        <v>6118.0166979042424</v>
      </c>
      <c r="V33" s="242">
        <v>0</v>
      </c>
      <c r="W33" s="117">
        <f t="shared" si="63"/>
        <v>0</v>
      </c>
      <c r="X33" s="117">
        <f t="shared" si="64"/>
        <v>0</v>
      </c>
      <c r="Y33" s="118">
        <f t="shared" si="43"/>
        <v>26929980</v>
      </c>
      <c r="Z33" s="118">
        <f t="shared" si="65"/>
        <v>6118.0166979042424</v>
      </c>
      <c r="AA33" s="119"/>
      <c r="AB33" s="26" t="s">
        <v>189</v>
      </c>
      <c r="AC33" s="26">
        <f t="shared" si="44"/>
        <v>0</v>
      </c>
      <c r="AD33" s="115">
        <f t="shared" si="45"/>
        <v>2423698.2000000007</v>
      </c>
      <c r="AE33" s="115">
        <f t="shared" si="66"/>
        <v>550.62150281138202</v>
      </c>
      <c r="AF33" s="240">
        <f t="shared" si="46"/>
        <v>1</v>
      </c>
      <c r="AG33" s="116">
        <f t="shared" si="47"/>
        <v>0</v>
      </c>
      <c r="AH33" s="116">
        <f t="shared" si="67"/>
        <v>0</v>
      </c>
      <c r="AI33" s="242">
        <v>0</v>
      </c>
      <c r="AJ33" s="117">
        <f t="shared" si="48"/>
        <v>0</v>
      </c>
      <c r="AK33" s="117">
        <f t="shared" si="68"/>
        <v>0</v>
      </c>
      <c r="AL33" s="118">
        <f t="shared" si="49"/>
        <v>0</v>
      </c>
      <c r="AM33" s="118">
        <f t="shared" si="69"/>
        <v>0</v>
      </c>
      <c r="AN33" s="119"/>
      <c r="AO33" s="88">
        <f t="shared" si="50"/>
        <v>24</v>
      </c>
      <c r="AP33" s="115">
        <f t="shared" si="51"/>
        <v>51411780</v>
      </c>
      <c r="AQ33" s="115">
        <f t="shared" si="70"/>
        <v>11679.850059635372</v>
      </c>
      <c r="AR33" s="120">
        <f t="shared" si="52"/>
        <v>51411780</v>
      </c>
      <c r="AS33" s="120">
        <f t="shared" si="71"/>
        <v>11679.850059635372</v>
      </c>
      <c r="AT33" s="138">
        <f t="shared" si="53"/>
        <v>0</v>
      </c>
      <c r="AU33" s="138">
        <f t="shared" si="72"/>
        <v>0</v>
      </c>
      <c r="AV33" s="82">
        <f t="shared" si="54"/>
        <v>1</v>
      </c>
      <c r="AW33" s="102">
        <v>0.58289999999999997</v>
      </c>
      <c r="AX33" s="171"/>
      <c r="BH33" s="99">
        <f t="shared" si="55"/>
        <v>0</v>
      </c>
    </row>
    <row r="34" spans="1:60" x14ac:dyDescent="0.35">
      <c r="A34" s="40" t="str">
        <f t="shared" si="33"/>
        <v>1.12. Business Partner Professional Cauca</v>
      </c>
      <c r="B34" s="26" t="s">
        <v>34</v>
      </c>
      <c r="C34" s="26">
        <f t="shared" si="34"/>
        <v>12</v>
      </c>
      <c r="D34" s="115">
        <f t="shared" si="35"/>
        <v>2040150</v>
      </c>
      <c r="E34" s="115">
        <f t="shared" si="56"/>
        <v>463.48611347759413</v>
      </c>
      <c r="F34" s="240">
        <f t="shared" si="36"/>
        <v>1</v>
      </c>
      <c r="G34" s="116">
        <f t="shared" si="37"/>
        <v>24481800</v>
      </c>
      <c r="H34" s="116">
        <f t="shared" si="57"/>
        <v>5561.83336173113</v>
      </c>
      <c r="I34" s="242">
        <v>0</v>
      </c>
      <c r="J34" s="117">
        <f t="shared" si="38"/>
        <v>0</v>
      </c>
      <c r="K34" s="117">
        <f t="shared" si="58"/>
        <v>0</v>
      </c>
      <c r="L34" s="118">
        <f t="shared" si="39"/>
        <v>24481800</v>
      </c>
      <c r="M34" s="118">
        <f t="shared" si="59"/>
        <v>5561.83336173113</v>
      </c>
      <c r="N34" s="119"/>
      <c r="O34" s="26" t="s">
        <v>189</v>
      </c>
      <c r="P34" s="26">
        <f t="shared" si="40"/>
        <v>12</v>
      </c>
      <c r="Q34" s="115">
        <f t="shared" si="41"/>
        <v>2244165</v>
      </c>
      <c r="R34" s="115">
        <f t="shared" si="60"/>
        <v>509.83472482535353</v>
      </c>
      <c r="S34" s="240">
        <f t="shared" si="42"/>
        <v>1</v>
      </c>
      <c r="T34" s="116">
        <f t="shared" si="61"/>
        <v>26929980</v>
      </c>
      <c r="U34" s="116">
        <f t="shared" si="62"/>
        <v>6118.0166979042424</v>
      </c>
      <c r="V34" s="242">
        <v>0</v>
      </c>
      <c r="W34" s="117">
        <f t="shared" si="63"/>
        <v>0</v>
      </c>
      <c r="X34" s="117">
        <f t="shared" si="64"/>
        <v>0</v>
      </c>
      <c r="Y34" s="118">
        <f t="shared" si="43"/>
        <v>26929980</v>
      </c>
      <c r="Z34" s="118">
        <f t="shared" si="65"/>
        <v>6118.0166979042424</v>
      </c>
      <c r="AA34" s="119"/>
      <c r="AB34" s="26" t="s">
        <v>189</v>
      </c>
      <c r="AC34" s="26">
        <f t="shared" si="44"/>
        <v>3</v>
      </c>
      <c r="AD34" s="115">
        <f t="shared" si="45"/>
        <v>2423698.2000000007</v>
      </c>
      <c r="AE34" s="115">
        <f t="shared" si="66"/>
        <v>550.62150281138202</v>
      </c>
      <c r="AF34" s="240">
        <f t="shared" si="46"/>
        <v>1</v>
      </c>
      <c r="AG34" s="116">
        <f t="shared" si="47"/>
        <v>7271094.6000000015</v>
      </c>
      <c r="AH34" s="116">
        <f t="shared" si="67"/>
        <v>1651.8645084341458</v>
      </c>
      <c r="AI34" s="242">
        <v>0</v>
      </c>
      <c r="AJ34" s="117">
        <f t="shared" si="48"/>
        <v>0</v>
      </c>
      <c r="AK34" s="117">
        <f t="shared" si="68"/>
        <v>0</v>
      </c>
      <c r="AL34" s="118">
        <f t="shared" si="49"/>
        <v>7271094.6000000015</v>
      </c>
      <c r="AM34" s="118">
        <f t="shared" si="69"/>
        <v>1651.8645084341458</v>
      </c>
      <c r="AN34" s="119"/>
      <c r="AO34" s="88">
        <f t="shared" si="50"/>
        <v>27</v>
      </c>
      <c r="AP34" s="115">
        <f t="shared" si="51"/>
        <v>58682874.600000001</v>
      </c>
      <c r="AQ34" s="115">
        <f t="shared" si="70"/>
        <v>13331.714568069518</v>
      </c>
      <c r="AR34" s="120">
        <f t="shared" si="52"/>
        <v>58682874.600000001</v>
      </c>
      <c r="AS34" s="120">
        <f t="shared" si="71"/>
        <v>13331.714568069518</v>
      </c>
      <c r="AT34" s="138">
        <f t="shared" si="53"/>
        <v>0</v>
      </c>
      <c r="AU34" s="138">
        <f t="shared" si="72"/>
        <v>0</v>
      </c>
      <c r="AV34" s="82">
        <f t="shared" si="54"/>
        <v>1</v>
      </c>
      <c r="AW34" s="102">
        <v>0.58289999999999997</v>
      </c>
      <c r="AX34" s="171"/>
      <c r="BH34" s="99">
        <f t="shared" si="55"/>
        <v>0</v>
      </c>
    </row>
    <row r="35" spans="1:60" x14ac:dyDescent="0.35">
      <c r="A35" s="40" t="str">
        <f t="shared" si="33"/>
        <v>1.13. Business Partner Professional Tolima 1</v>
      </c>
      <c r="B35" s="26" t="s">
        <v>34</v>
      </c>
      <c r="C35" s="26">
        <f t="shared" si="34"/>
        <v>12</v>
      </c>
      <c r="D35" s="115">
        <f t="shared" si="35"/>
        <v>2040150</v>
      </c>
      <c r="E35" s="115">
        <f t="shared" si="56"/>
        <v>463.48611347759413</v>
      </c>
      <c r="F35" s="240">
        <f t="shared" si="36"/>
        <v>1</v>
      </c>
      <c r="G35" s="116">
        <f t="shared" si="37"/>
        <v>24481800</v>
      </c>
      <c r="H35" s="116">
        <f t="shared" si="57"/>
        <v>5561.83336173113</v>
      </c>
      <c r="I35" s="242">
        <v>0</v>
      </c>
      <c r="J35" s="117">
        <f t="shared" si="38"/>
        <v>0</v>
      </c>
      <c r="K35" s="117">
        <f t="shared" si="58"/>
        <v>0</v>
      </c>
      <c r="L35" s="118">
        <f t="shared" si="39"/>
        <v>24481800</v>
      </c>
      <c r="M35" s="118">
        <f t="shared" si="59"/>
        <v>5561.83336173113</v>
      </c>
      <c r="N35" s="119"/>
      <c r="O35" s="26" t="s">
        <v>189</v>
      </c>
      <c r="P35" s="26">
        <f t="shared" si="40"/>
        <v>12</v>
      </c>
      <c r="Q35" s="115">
        <f t="shared" si="41"/>
        <v>2244165</v>
      </c>
      <c r="R35" s="115">
        <f t="shared" si="60"/>
        <v>509.83472482535353</v>
      </c>
      <c r="S35" s="240">
        <f t="shared" si="42"/>
        <v>1</v>
      </c>
      <c r="T35" s="116">
        <f t="shared" si="61"/>
        <v>26929980</v>
      </c>
      <c r="U35" s="116">
        <f t="shared" si="62"/>
        <v>6118.0166979042424</v>
      </c>
      <c r="V35" s="242">
        <v>0</v>
      </c>
      <c r="W35" s="117">
        <f t="shared" si="63"/>
        <v>0</v>
      </c>
      <c r="X35" s="117">
        <f t="shared" si="64"/>
        <v>0</v>
      </c>
      <c r="Y35" s="118">
        <f t="shared" si="43"/>
        <v>26929980</v>
      </c>
      <c r="Z35" s="118">
        <f t="shared" si="65"/>
        <v>6118.0166979042424</v>
      </c>
      <c r="AA35" s="119"/>
      <c r="AB35" s="26" t="s">
        <v>189</v>
      </c>
      <c r="AC35" s="26">
        <f t="shared" si="44"/>
        <v>3</v>
      </c>
      <c r="AD35" s="115">
        <f t="shared" si="45"/>
        <v>2423698.2000000007</v>
      </c>
      <c r="AE35" s="115">
        <f t="shared" si="66"/>
        <v>550.62150281138202</v>
      </c>
      <c r="AF35" s="240">
        <f t="shared" si="46"/>
        <v>1</v>
      </c>
      <c r="AG35" s="116">
        <f t="shared" si="47"/>
        <v>7271094.6000000015</v>
      </c>
      <c r="AH35" s="116">
        <f t="shared" si="67"/>
        <v>1651.8645084341458</v>
      </c>
      <c r="AI35" s="242">
        <v>0</v>
      </c>
      <c r="AJ35" s="117">
        <f t="shared" si="48"/>
        <v>0</v>
      </c>
      <c r="AK35" s="117">
        <f t="shared" si="68"/>
        <v>0</v>
      </c>
      <c r="AL35" s="118">
        <f t="shared" si="49"/>
        <v>7271094.6000000015</v>
      </c>
      <c r="AM35" s="118">
        <f t="shared" si="69"/>
        <v>1651.8645084341458</v>
      </c>
      <c r="AN35" s="119"/>
      <c r="AO35" s="88">
        <f t="shared" si="50"/>
        <v>27</v>
      </c>
      <c r="AP35" s="115">
        <f t="shared" si="51"/>
        <v>58682874.600000001</v>
      </c>
      <c r="AQ35" s="115">
        <f t="shared" si="70"/>
        <v>13331.714568069518</v>
      </c>
      <c r="AR35" s="120">
        <f t="shared" si="52"/>
        <v>58682874.600000001</v>
      </c>
      <c r="AS35" s="120">
        <f t="shared" si="71"/>
        <v>13331.714568069518</v>
      </c>
      <c r="AT35" s="138">
        <f t="shared" si="53"/>
        <v>0</v>
      </c>
      <c r="AU35" s="138">
        <f t="shared" si="72"/>
        <v>0</v>
      </c>
      <c r="AV35" s="82">
        <f t="shared" si="54"/>
        <v>1</v>
      </c>
      <c r="AW35" s="102">
        <v>0.58289999999999997</v>
      </c>
      <c r="AX35" s="171"/>
      <c r="BH35" s="99">
        <f t="shared" si="55"/>
        <v>0</v>
      </c>
    </row>
    <row r="36" spans="1:60" x14ac:dyDescent="0.35">
      <c r="A36" s="40" t="str">
        <f t="shared" si="33"/>
        <v>1.14. Business Partner Professional Tolima 2</v>
      </c>
      <c r="B36" s="26" t="s">
        <v>34</v>
      </c>
      <c r="C36" s="26">
        <f t="shared" si="34"/>
        <v>12</v>
      </c>
      <c r="D36" s="115">
        <f t="shared" si="35"/>
        <v>2040150</v>
      </c>
      <c r="E36" s="115">
        <f t="shared" si="56"/>
        <v>463.48611347759413</v>
      </c>
      <c r="F36" s="240">
        <f t="shared" si="36"/>
        <v>1</v>
      </c>
      <c r="G36" s="116">
        <f t="shared" si="37"/>
        <v>24481800</v>
      </c>
      <c r="H36" s="116">
        <f t="shared" si="57"/>
        <v>5561.83336173113</v>
      </c>
      <c r="I36" s="242">
        <v>0</v>
      </c>
      <c r="J36" s="117">
        <f t="shared" si="38"/>
        <v>0</v>
      </c>
      <c r="K36" s="117">
        <f t="shared" si="58"/>
        <v>0</v>
      </c>
      <c r="L36" s="118">
        <f t="shared" si="39"/>
        <v>24481800</v>
      </c>
      <c r="M36" s="118">
        <f t="shared" si="59"/>
        <v>5561.83336173113</v>
      </c>
      <c r="N36" s="119"/>
      <c r="O36" s="26" t="s">
        <v>189</v>
      </c>
      <c r="P36" s="26">
        <f t="shared" si="40"/>
        <v>12</v>
      </c>
      <c r="Q36" s="115">
        <f t="shared" si="41"/>
        <v>2244165</v>
      </c>
      <c r="R36" s="115">
        <f t="shared" si="60"/>
        <v>509.83472482535353</v>
      </c>
      <c r="S36" s="240">
        <f t="shared" si="42"/>
        <v>1</v>
      </c>
      <c r="T36" s="116">
        <f t="shared" si="61"/>
        <v>26929980</v>
      </c>
      <c r="U36" s="116">
        <f t="shared" si="62"/>
        <v>6118.0166979042424</v>
      </c>
      <c r="V36" s="242">
        <v>0</v>
      </c>
      <c r="W36" s="117">
        <f t="shared" si="63"/>
        <v>0</v>
      </c>
      <c r="X36" s="117">
        <f t="shared" si="64"/>
        <v>0</v>
      </c>
      <c r="Y36" s="118">
        <f t="shared" si="43"/>
        <v>26929980</v>
      </c>
      <c r="Z36" s="118">
        <f t="shared" si="65"/>
        <v>6118.0166979042424</v>
      </c>
      <c r="AA36" s="119"/>
      <c r="AB36" s="26" t="s">
        <v>189</v>
      </c>
      <c r="AC36" s="26">
        <f t="shared" si="44"/>
        <v>3</v>
      </c>
      <c r="AD36" s="115">
        <f t="shared" si="45"/>
        <v>2423698.2000000007</v>
      </c>
      <c r="AE36" s="115">
        <f t="shared" si="66"/>
        <v>550.62150281138202</v>
      </c>
      <c r="AF36" s="240">
        <f t="shared" si="46"/>
        <v>1</v>
      </c>
      <c r="AG36" s="116">
        <f t="shared" si="47"/>
        <v>7271094.6000000015</v>
      </c>
      <c r="AH36" s="116">
        <f t="shared" si="67"/>
        <v>1651.8645084341458</v>
      </c>
      <c r="AI36" s="242">
        <v>0</v>
      </c>
      <c r="AJ36" s="117">
        <f t="shared" si="48"/>
        <v>0</v>
      </c>
      <c r="AK36" s="117">
        <f t="shared" si="68"/>
        <v>0</v>
      </c>
      <c r="AL36" s="118">
        <f t="shared" si="49"/>
        <v>7271094.6000000015</v>
      </c>
      <c r="AM36" s="118">
        <f t="shared" si="69"/>
        <v>1651.8645084341458</v>
      </c>
      <c r="AN36" s="119"/>
      <c r="AO36" s="88">
        <f t="shared" si="50"/>
        <v>27</v>
      </c>
      <c r="AP36" s="115">
        <f t="shared" si="51"/>
        <v>58682874.600000001</v>
      </c>
      <c r="AQ36" s="115">
        <f t="shared" si="70"/>
        <v>13331.714568069518</v>
      </c>
      <c r="AR36" s="120">
        <f t="shared" si="52"/>
        <v>58682874.600000001</v>
      </c>
      <c r="AS36" s="120">
        <f t="shared" si="71"/>
        <v>13331.714568069518</v>
      </c>
      <c r="AT36" s="138">
        <f t="shared" si="53"/>
        <v>0</v>
      </c>
      <c r="AU36" s="138">
        <f t="shared" si="72"/>
        <v>0</v>
      </c>
      <c r="AV36" s="82">
        <f t="shared" si="54"/>
        <v>1</v>
      </c>
      <c r="AW36" s="102">
        <v>0.58289999999999997</v>
      </c>
      <c r="AX36" s="171"/>
      <c r="BH36" s="99">
        <f t="shared" si="55"/>
        <v>0</v>
      </c>
    </row>
    <row r="37" spans="1:60" x14ac:dyDescent="0.35">
      <c r="A37" s="40" t="str">
        <f t="shared" si="33"/>
        <v>1.15. Business Partner Professional Tolima 3</v>
      </c>
      <c r="B37" s="26" t="s">
        <v>34</v>
      </c>
      <c r="C37" s="26">
        <f t="shared" si="34"/>
        <v>12</v>
      </c>
      <c r="D37" s="115">
        <f t="shared" si="35"/>
        <v>1020075</v>
      </c>
      <c r="E37" s="115">
        <f t="shared" si="56"/>
        <v>231.74305673879707</v>
      </c>
      <c r="F37" s="240">
        <f t="shared" si="36"/>
        <v>0</v>
      </c>
      <c r="G37" s="116">
        <f t="shared" si="37"/>
        <v>0</v>
      </c>
      <c r="H37" s="116">
        <f t="shared" si="57"/>
        <v>0</v>
      </c>
      <c r="I37" s="242">
        <v>1</v>
      </c>
      <c r="J37" s="117">
        <f t="shared" si="38"/>
        <v>12240900</v>
      </c>
      <c r="K37" s="117">
        <f t="shared" si="58"/>
        <v>2780.916680865565</v>
      </c>
      <c r="L37" s="118">
        <f t="shared" si="39"/>
        <v>12240900</v>
      </c>
      <c r="M37" s="118">
        <f t="shared" si="59"/>
        <v>2780.916680865565</v>
      </c>
      <c r="N37" s="119"/>
      <c r="O37" s="26" t="s">
        <v>189</v>
      </c>
      <c r="P37" s="26">
        <f t="shared" si="40"/>
        <v>12</v>
      </c>
      <c r="Q37" s="115">
        <f t="shared" si="41"/>
        <v>1122082.5</v>
      </c>
      <c r="R37" s="115">
        <f t="shared" si="60"/>
        <v>254.91736241267677</v>
      </c>
      <c r="S37" s="240">
        <f t="shared" si="42"/>
        <v>0</v>
      </c>
      <c r="T37" s="116">
        <f t="shared" si="61"/>
        <v>0</v>
      </c>
      <c r="U37" s="116">
        <f t="shared" si="62"/>
        <v>0</v>
      </c>
      <c r="V37" s="242">
        <v>1</v>
      </c>
      <c r="W37" s="117">
        <f t="shared" si="63"/>
        <v>13464990</v>
      </c>
      <c r="X37" s="117">
        <f t="shared" si="64"/>
        <v>3059.0083489521212</v>
      </c>
      <c r="Y37" s="118">
        <f t="shared" si="43"/>
        <v>13464990</v>
      </c>
      <c r="Z37" s="118">
        <f t="shared" si="65"/>
        <v>3059.0083489521212</v>
      </c>
      <c r="AA37" s="119"/>
      <c r="AB37" s="26" t="s">
        <v>189</v>
      </c>
      <c r="AC37" s="26">
        <f t="shared" si="44"/>
        <v>0</v>
      </c>
      <c r="AD37" s="115">
        <f t="shared" si="45"/>
        <v>1211849.1000000003</v>
      </c>
      <c r="AE37" s="115">
        <f t="shared" si="66"/>
        <v>275.31075140569101</v>
      </c>
      <c r="AF37" s="240">
        <f t="shared" si="46"/>
        <v>0</v>
      </c>
      <c r="AG37" s="116">
        <f t="shared" si="47"/>
        <v>0</v>
      </c>
      <c r="AH37" s="116">
        <f t="shared" si="67"/>
        <v>0</v>
      </c>
      <c r="AI37" s="242">
        <v>1</v>
      </c>
      <c r="AJ37" s="117">
        <f t="shared" si="48"/>
        <v>0</v>
      </c>
      <c r="AK37" s="117">
        <f t="shared" si="68"/>
        <v>0</v>
      </c>
      <c r="AL37" s="118">
        <f t="shared" si="49"/>
        <v>0</v>
      </c>
      <c r="AM37" s="118">
        <f t="shared" si="69"/>
        <v>0</v>
      </c>
      <c r="AN37" s="119"/>
      <c r="AO37" s="88">
        <f t="shared" si="50"/>
        <v>24</v>
      </c>
      <c r="AP37" s="115">
        <f t="shared" si="51"/>
        <v>25705890</v>
      </c>
      <c r="AQ37" s="115">
        <f t="shared" si="70"/>
        <v>5839.9250298176858</v>
      </c>
      <c r="AR37" s="120">
        <f t="shared" si="52"/>
        <v>0</v>
      </c>
      <c r="AS37" s="120">
        <f t="shared" si="71"/>
        <v>0</v>
      </c>
      <c r="AT37" s="138">
        <f t="shared" si="53"/>
        <v>25705890</v>
      </c>
      <c r="AU37" s="138">
        <f t="shared" si="72"/>
        <v>5839.9250298176858</v>
      </c>
      <c r="AV37" s="82">
        <f t="shared" si="54"/>
        <v>0.5</v>
      </c>
      <c r="AW37" s="102">
        <v>0.58289999999999997</v>
      </c>
      <c r="AX37" s="171"/>
      <c r="BH37" s="99">
        <f t="shared" si="55"/>
        <v>0</v>
      </c>
    </row>
    <row r="38" spans="1:60" x14ac:dyDescent="0.35">
      <c r="A38" s="40" t="str">
        <f t="shared" ref="A38:A40" si="73">+A19</f>
        <v>1.16. Administrative Coordinator</v>
      </c>
      <c r="B38" s="26" t="s">
        <v>34</v>
      </c>
      <c r="C38" s="26">
        <f t="shared" ref="C38" si="74">+C19</f>
        <v>12</v>
      </c>
      <c r="D38" s="115">
        <f t="shared" si="35"/>
        <v>1036999.9999999999</v>
      </c>
      <c r="E38" s="115">
        <f t="shared" si="56"/>
        <v>235.58811836201508</v>
      </c>
      <c r="F38" s="240">
        <f t="shared" si="36"/>
        <v>0</v>
      </c>
      <c r="G38" s="116">
        <f t="shared" si="37"/>
        <v>0</v>
      </c>
      <c r="H38" s="116">
        <f t="shared" si="57"/>
        <v>0</v>
      </c>
      <c r="I38" s="242">
        <v>1</v>
      </c>
      <c r="J38" s="117">
        <f t="shared" si="38"/>
        <v>12443999.999999998</v>
      </c>
      <c r="K38" s="117">
        <f t="shared" si="58"/>
        <v>2827.0574203441811</v>
      </c>
      <c r="L38" s="118">
        <f t="shared" si="39"/>
        <v>12443999.999999998</v>
      </c>
      <c r="M38" s="118">
        <f t="shared" si="59"/>
        <v>2827.0574203441811</v>
      </c>
      <c r="N38" s="119"/>
      <c r="O38" s="26" t="s">
        <v>189</v>
      </c>
      <c r="P38" s="26">
        <f t="shared" ref="P38" si="75">+P19</f>
        <v>12</v>
      </c>
      <c r="Q38" s="115">
        <f t="shared" si="41"/>
        <v>1140700</v>
      </c>
      <c r="R38" s="115">
        <f t="shared" si="60"/>
        <v>259.14693019821664</v>
      </c>
      <c r="S38" s="240">
        <f t="shared" si="42"/>
        <v>0</v>
      </c>
      <c r="T38" s="116">
        <f t="shared" si="61"/>
        <v>0</v>
      </c>
      <c r="U38" s="116">
        <f t="shared" si="62"/>
        <v>0</v>
      </c>
      <c r="V38" s="242">
        <v>1</v>
      </c>
      <c r="W38" s="117">
        <f t="shared" si="63"/>
        <v>13688400</v>
      </c>
      <c r="X38" s="117">
        <f t="shared" si="64"/>
        <v>3109.7631623785996</v>
      </c>
      <c r="Y38" s="118">
        <f t="shared" si="43"/>
        <v>13688400</v>
      </c>
      <c r="Z38" s="118">
        <f t="shared" si="65"/>
        <v>3109.7631623785996</v>
      </c>
      <c r="AA38" s="119"/>
      <c r="AB38" s="26" t="s">
        <v>189</v>
      </c>
      <c r="AC38" s="26">
        <f t="shared" ref="AC38" si="76">+AC19</f>
        <v>4</v>
      </c>
      <c r="AD38" s="115">
        <f t="shared" si="45"/>
        <v>1231956</v>
      </c>
      <c r="AE38" s="115">
        <f t="shared" si="66"/>
        <v>279.87868461407396</v>
      </c>
      <c r="AF38" s="240">
        <f t="shared" si="46"/>
        <v>0</v>
      </c>
      <c r="AG38" s="116">
        <f t="shared" si="47"/>
        <v>0</v>
      </c>
      <c r="AH38" s="116">
        <f t="shared" si="67"/>
        <v>0</v>
      </c>
      <c r="AI38" s="242">
        <v>1</v>
      </c>
      <c r="AJ38" s="117">
        <f t="shared" si="48"/>
        <v>4927824</v>
      </c>
      <c r="AK38" s="117">
        <f t="shared" si="68"/>
        <v>1119.5147384562958</v>
      </c>
      <c r="AL38" s="118">
        <f t="shared" si="49"/>
        <v>4927824</v>
      </c>
      <c r="AM38" s="118">
        <f t="shared" si="69"/>
        <v>1119.5147384562958</v>
      </c>
      <c r="AN38" s="119"/>
      <c r="AO38" s="88">
        <f t="shared" ref="AO38" si="77">+AO19</f>
        <v>28</v>
      </c>
      <c r="AP38" s="115">
        <f t="shared" si="51"/>
        <v>31060224</v>
      </c>
      <c r="AQ38" s="115">
        <f t="shared" si="70"/>
        <v>7056.3353211790763</v>
      </c>
      <c r="AR38" s="120">
        <f t="shared" si="52"/>
        <v>0</v>
      </c>
      <c r="AS38" s="120">
        <f t="shared" si="71"/>
        <v>0</v>
      </c>
      <c r="AT38" s="138">
        <f t="shared" si="53"/>
        <v>31060224</v>
      </c>
      <c r="AU38" s="138">
        <f t="shared" si="72"/>
        <v>7056.3353211790763</v>
      </c>
      <c r="AV38" s="82">
        <f t="shared" ref="AV38" si="78">+AV19</f>
        <v>0.25</v>
      </c>
      <c r="AW38" s="102">
        <v>0.51849999999999996</v>
      </c>
      <c r="AX38" s="171"/>
      <c r="AY38" s="62"/>
      <c r="BF38" s="62"/>
      <c r="BH38" s="99">
        <f t="shared" si="55"/>
        <v>0</v>
      </c>
    </row>
    <row r="39" spans="1:60" x14ac:dyDescent="0.35">
      <c r="A39" s="40" t="str">
        <f t="shared" si="73"/>
        <v>1.17. C4D-IC Project Coordinator</v>
      </c>
      <c r="B39" s="26" t="s">
        <v>34</v>
      </c>
      <c r="C39" s="26">
        <f>+C20</f>
        <v>12</v>
      </c>
      <c r="D39" s="115">
        <f t="shared" si="35"/>
        <v>1555499.9999999998</v>
      </c>
      <c r="E39" s="115">
        <f t="shared" si="56"/>
        <v>353.38217754302264</v>
      </c>
      <c r="F39" s="240">
        <f t="shared" si="36"/>
        <v>1</v>
      </c>
      <c r="G39" s="116">
        <f t="shared" si="37"/>
        <v>18665999.999999996</v>
      </c>
      <c r="H39" s="116">
        <f t="shared" si="57"/>
        <v>4240.5861305162707</v>
      </c>
      <c r="I39" s="242">
        <v>0</v>
      </c>
      <c r="J39" s="117">
        <f t="shared" si="38"/>
        <v>0</v>
      </c>
      <c r="K39" s="117">
        <f t="shared" si="58"/>
        <v>0</v>
      </c>
      <c r="L39" s="118">
        <f t="shared" si="39"/>
        <v>18665999.999999996</v>
      </c>
      <c r="M39" s="118">
        <f t="shared" si="59"/>
        <v>4240.5861305162707</v>
      </c>
      <c r="N39" s="119"/>
      <c r="O39" s="26" t="s">
        <v>189</v>
      </c>
      <c r="P39" s="26">
        <f>+P20</f>
        <v>12</v>
      </c>
      <c r="Q39" s="115">
        <f t="shared" si="41"/>
        <v>1711050</v>
      </c>
      <c r="R39" s="115">
        <f t="shared" si="60"/>
        <v>388.72039529732496</v>
      </c>
      <c r="S39" s="240">
        <f t="shared" si="42"/>
        <v>1</v>
      </c>
      <c r="T39" s="116">
        <f t="shared" si="61"/>
        <v>20532600</v>
      </c>
      <c r="U39" s="116">
        <f t="shared" si="62"/>
        <v>4664.6447435678992</v>
      </c>
      <c r="V39" s="242">
        <v>0</v>
      </c>
      <c r="W39" s="117">
        <f t="shared" si="63"/>
        <v>0</v>
      </c>
      <c r="X39" s="117">
        <f t="shared" si="64"/>
        <v>0</v>
      </c>
      <c r="Y39" s="118">
        <f t="shared" si="43"/>
        <v>20532600</v>
      </c>
      <c r="Z39" s="118">
        <f t="shared" si="65"/>
        <v>4664.6447435678992</v>
      </c>
      <c r="AA39" s="119"/>
      <c r="AB39" s="26" t="s">
        <v>189</v>
      </c>
      <c r="AC39" s="26">
        <f>+AC20</f>
        <v>4</v>
      </c>
      <c r="AD39" s="115">
        <f t="shared" si="45"/>
        <v>1847934.0000000002</v>
      </c>
      <c r="AE39" s="115">
        <f t="shared" si="66"/>
        <v>419.81802692111097</v>
      </c>
      <c r="AF39" s="240">
        <f t="shared" si="46"/>
        <v>1</v>
      </c>
      <c r="AG39" s="116">
        <f t="shared" si="47"/>
        <v>7391736.0000000009</v>
      </c>
      <c r="AH39" s="116">
        <f t="shared" si="67"/>
        <v>1679.2721076844439</v>
      </c>
      <c r="AI39" s="242">
        <v>0</v>
      </c>
      <c r="AJ39" s="117">
        <f t="shared" si="48"/>
        <v>0</v>
      </c>
      <c r="AK39" s="117">
        <f t="shared" si="68"/>
        <v>0</v>
      </c>
      <c r="AL39" s="118">
        <f t="shared" si="49"/>
        <v>7391736.0000000009</v>
      </c>
      <c r="AM39" s="118">
        <f t="shared" si="69"/>
        <v>1679.2721076844439</v>
      </c>
      <c r="AN39" s="119"/>
      <c r="AO39" s="88">
        <f>+AO20</f>
        <v>28</v>
      </c>
      <c r="AP39" s="115">
        <f t="shared" si="51"/>
        <v>46590336</v>
      </c>
      <c r="AQ39" s="115">
        <f t="shared" si="70"/>
        <v>10584.502981768615</v>
      </c>
      <c r="AR39" s="120">
        <f t="shared" si="52"/>
        <v>46590336</v>
      </c>
      <c r="AS39" s="120">
        <f t="shared" si="71"/>
        <v>10584.502981768615</v>
      </c>
      <c r="AT39" s="138">
        <f t="shared" si="53"/>
        <v>0</v>
      </c>
      <c r="AU39" s="138">
        <f t="shared" si="72"/>
        <v>0</v>
      </c>
      <c r="AV39" s="82">
        <f>+AV20</f>
        <v>1</v>
      </c>
      <c r="AW39" s="102">
        <v>0.51849999999999996</v>
      </c>
      <c r="AX39" s="171"/>
      <c r="BH39" s="99">
        <f t="shared" si="55"/>
        <v>0</v>
      </c>
    </row>
    <row r="40" spans="1:60" x14ac:dyDescent="0.35">
      <c r="A40" s="40" t="str">
        <f t="shared" si="73"/>
        <v>1.18. Administrative Assistant</v>
      </c>
      <c r="B40" s="26" t="s">
        <v>34</v>
      </c>
      <c r="C40" s="26">
        <f>+C21</f>
        <v>12</v>
      </c>
      <c r="D40" s="115">
        <f t="shared" si="35"/>
        <v>1244400</v>
      </c>
      <c r="E40" s="115">
        <f t="shared" si="56"/>
        <v>282.70574203441811</v>
      </c>
      <c r="F40" s="240">
        <f t="shared" si="36"/>
        <v>1</v>
      </c>
      <c r="G40" s="116">
        <f t="shared" si="37"/>
        <v>14932800</v>
      </c>
      <c r="H40" s="116">
        <f t="shared" si="57"/>
        <v>3392.4689044130178</v>
      </c>
      <c r="I40" s="242">
        <v>0</v>
      </c>
      <c r="J40" s="117">
        <f t="shared" si="38"/>
        <v>0</v>
      </c>
      <c r="K40" s="117">
        <f t="shared" si="58"/>
        <v>0</v>
      </c>
      <c r="L40" s="118">
        <f t="shared" si="39"/>
        <v>14932800</v>
      </c>
      <c r="M40" s="118">
        <f t="shared" si="59"/>
        <v>3392.4689044130178</v>
      </c>
      <c r="N40" s="119"/>
      <c r="O40" s="26" t="s">
        <v>189</v>
      </c>
      <c r="P40" s="26">
        <f>+P21</f>
        <v>12</v>
      </c>
      <c r="Q40" s="115">
        <f t="shared" si="41"/>
        <v>1368840</v>
      </c>
      <c r="R40" s="115">
        <f>+Q40/$A$1</f>
        <v>310.97631623785992</v>
      </c>
      <c r="S40" s="240">
        <f t="shared" si="42"/>
        <v>1</v>
      </c>
      <c r="T40" s="116">
        <f t="shared" si="61"/>
        <v>16426080</v>
      </c>
      <c r="U40" s="116">
        <f t="shared" si="62"/>
        <v>3731.7157948543195</v>
      </c>
      <c r="V40" s="242">
        <v>0</v>
      </c>
      <c r="W40" s="117">
        <f t="shared" si="63"/>
        <v>0</v>
      </c>
      <c r="X40" s="117">
        <f t="shared" si="64"/>
        <v>0</v>
      </c>
      <c r="Y40" s="118">
        <f t="shared" si="43"/>
        <v>16426080</v>
      </c>
      <c r="Z40" s="118">
        <f t="shared" si="65"/>
        <v>3731.7157948543195</v>
      </c>
      <c r="AA40" s="119"/>
      <c r="AB40" s="26" t="s">
        <v>189</v>
      </c>
      <c r="AC40" s="26">
        <f>+AC21</f>
        <v>4</v>
      </c>
      <c r="AD40" s="115">
        <f t="shared" si="45"/>
        <v>1478347.2</v>
      </c>
      <c r="AE40" s="115">
        <f t="shared" si="66"/>
        <v>335.85442153688871</v>
      </c>
      <c r="AF40" s="240">
        <f t="shared" si="46"/>
        <v>1</v>
      </c>
      <c r="AG40" s="116">
        <f t="shared" si="47"/>
        <v>5913388.7999999998</v>
      </c>
      <c r="AH40" s="116">
        <f t="shared" si="67"/>
        <v>1343.4176861475548</v>
      </c>
      <c r="AI40" s="242">
        <v>0</v>
      </c>
      <c r="AJ40" s="117">
        <f t="shared" si="48"/>
        <v>0</v>
      </c>
      <c r="AK40" s="117">
        <f t="shared" si="68"/>
        <v>0</v>
      </c>
      <c r="AL40" s="118">
        <f t="shared" si="49"/>
        <v>5913388.7999999998</v>
      </c>
      <c r="AM40" s="118">
        <f t="shared" si="69"/>
        <v>1343.4176861475548</v>
      </c>
      <c r="AN40" s="119"/>
      <c r="AO40" s="88">
        <f>+AO21</f>
        <v>28</v>
      </c>
      <c r="AP40" s="115">
        <f t="shared" si="51"/>
        <v>37272268.799999997</v>
      </c>
      <c r="AQ40" s="115">
        <f t="shared" si="70"/>
        <v>8467.6023854148916</v>
      </c>
      <c r="AR40" s="120">
        <f t="shared" si="52"/>
        <v>37272268.799999997</v>
      </c>
      <c r="AS40" s="120">
        <f t="shared" si="71"/>
        <v>8467.6023854148916</v>
      </c>
      <c r="AT40" s="138">
        <f t="shared" si="53"/>
        <v>0</v>
      </c>
      <c r="AU40" s="138">
        <f t="shared" si="72"/>
        <v>0</v>
      </c>
      <c r="AV40" s="82">
        <f>+AV21</f>
        <v>1</v>
      </c>
      <c r="AW40" s="102">
        <v>0.51849999999999996</v>
      </c>
      <c r="AX40" s="171"/>
      <c r="BH40" s="99">
        <f t="shared" si="55"/>
        <v>0</v>
      </c>
    </row>
    <row r="41" spans="1:60" x14ac:dyDescent="0.35">
      <c r="A41" s="201" t="str">
        <f>+'Summary Budget'!E44</f>
        <v>3. Travel costs</v>
      </c>
      <c r="B41" s="28"/>
      <c r="C41" s="28"/>
      <c r="D41" s="111"/>
      <c r="E41" s="111"/>
      <c r="F41" s="114"/>
      <c r="G41" s="114">
        <f>SUM(G42:G45)</f>
        <v>136800000</v>
      </c>
      <c r="H41" s="114">
        <f>SUM(H42:H45)</f>
        <v>31078.548304651558</v>
      </c>
      <c r="I41" s="97"/>
      <c r="J41" s="97">
        <f>SUM(J42:J45)</f>
        <v>0</v>
      </c>
      <c r="K41" s="97">
        <f>SUM(K42:K45)</f>
        <v>0</v>
      </c>
      <c r="L41" s="29">
        <f>+SUM(L42:L45)</f>
        <v>136800000</v>
      </c>
      <c r="M41" s="29">
        <f>SUM(M42:M45)</f>
        <v>31078.548304651558</v>
      </c>
      <c r="N41" s="31"/>
      <c r="O41" s="28"/>
      <c r="P41" s="28"/>
      <c r="Q41" s="111"/>
      <c r="R41" s="111"/>
      <c r="S41" s="112"/>
      <c r="T41" s="112">
        <f>SUM(T42:T45)</f>
        <v>141350000</v>
      </c>
      <c r="U41" s="112">
        <f>SUM(U42:U45)</f>
        <v>32112.228091100129</v>
      </c>
      <c r="V41" s="97"/>
      <c r="W41" s="97">
        <f>SUM(W42:W45)</f>
        <v>0</v>
      </c>
      <c r="X41" s="97">
        <f>SUM(X42:X45)</f>
        <v>0</v>
      </c>
      <c r="Y41" s="29">
        <f>+SUM(Y42:Y45)</f>
        <v>141350000</v>
      </c>
      <c r="Z41" s="29">
        <f>SUM(Z42:Z45)</f>
        <v>32112.228091100129</v>
      </c>
      <c r="AA41" s="31"/>
      <c r="AB41" s="28"/>
      <c r="AC41" s="28"/>
      <c r="AD41" s="111"/>
      <c r="AE41" s="111"/>
      <c r="AF41" s="114"/>
      <c r="AG41" s="114">
        <f>SUM(AG42:AG45)</f>
        <v>10150000</v>
      </c>
      <c r="AH41" s="114">
        <f>SUM(AH42:AH45)</f>
        <v>2305.9010620775825</v>
      </c>
      <c r="AI41" s="97"/>
      <c r="AJ41" s="97">
        <f>SUM(AJ42:AJ45)</f>
        <v>0</v>
      </c>
      <c r="AK41" s="97">
        <f>SUM(AK42:AK45)</f>
        <v>0</v>
      </c>
      <c r="AL41" s="29">
        <f>+SUM(AL42:AL45)</f>
        <v>10150000</v>
      </c>
      <c r="AM41" s="29">
        <f>SUM(AM42:AM45)</f>
        <v>2305.9010620775825</v>
      </c>
      <c r="AN41" s="121"/>
      <c r="AO41" s="32"/>
      <c r="AP41" s="133">
        <f>+SUM(AP42:AP45)</f>
        <v>288300000</v>
      </c>
      <c r="AQ41" s="133">
        <f>SUM(AQ42:AQ45)</f>
        <v>65496.677457829275</v>
      </c>
      <c r="AR41" s="141">
        <f>+SUM(AR42:AR45)</f>
        <v>288300000</v>
      </c>
      <c r="AS41" s="141">
        <f>SUM(AS42:AS45)</f>
        <v>65496.677457829275</v>
      </c>
      <c r="AT41" s="142">
        <f>+SUM(AT42:AT45)</f>
        <v>0</v>
      </c>
      <c r="AU41" s="142">
        <f>SUM(AU42:AU45)</f>
        <v>0</v>
      </c>
      <c r="AW41" s="13"/>
      <c r="AX41" s="13"/>
      <c r="AZ41" s="37"/>
      <c r="BF41" s="50"/>
    </row>
    <row r="42" spans="1:60" x14ac:dyDescent="0.35">
      <c r="A42" s="40" t="str">
        <f>+'Summary Budget'!E45</f>
        <v>3.1. Air transportation</v>
      </c>
      <c r="B42" s="26" t="s">
        <v>83</v>
      </c>
      <c r="C42" s="26">
        <f>+Travels!B35+Travels!B47/3</f>
        <v>27</v>
      </c>
      <c r="D42" s="115">
        <f>+Travels!C35</f>
        <v>1000000</v>
      </c>
      <c r="E42" s="115">
        <f>+D42/$A$1</f>
        <v>227.1823706480377</v>
      </c>
      <c r="F42" s="240">
        <v>1</v>
      </c>
      <c r="G42" s="116">
        <f>L42*F42</f>
        <v>27000000</v>
      </c>
      <c r="H42" s="116">
        <f>+G42/$A$1</f>
        <v>6133.9240074970185</v>
      </c>
      <c r="I42" s="242">
        <v>0</v>
      </c>
      <c r="J42" s="117">
        <f>L42*I42</f>
        <v>0</v>
      </c>
      <c r="K42" s="117">
        <f>+J42/$A$1</f>
        <v>0</v>
      </c>
      <c r="L42" s="122">
        <f>+C42*D42</f>
        <v>27000000</v>
      </c>
      <c r="M42" s="122">
        <f>+L42/$A$1</f>
        <v>6133.9240074970185</v>
      </c>
      <c r="N42" s="31"/>
      <c r="O42" s="26" t="str">
        <f>B42</f>
        <v>round trip</v>
      </c>
      <c r="P42" s="26">
        <f>+Travels!B47/3+10</f>
        <v>22</v>
      </c>
      <c r="Q42" s="115">
        <f>+Travels!C35</f>
        <v>1000000</v>
      </c>
      <c r="R42" s="115">
        <f>+Q42/$A$1</f>
        <v>227.1823706480377</v>
      </c>
      <c r="S42" s="240">
        <v>1</v>
      </c>
      <c r="T42" s="116">
        <f>+S42*Y42</f>
        <v>22000000</v>
      </c>
      <c r="U42" s="116">
        <f>+T42/$A$1</f>
        <v>4998.0121542568295</v>
      </c>
      <c r="V42" s="242">
        <v>0</v>
      </c>
      <c r="W42" s="117">
        <f>+V42*Y42</f>
        <v>0</v>
      </c>
      <c r="X42" s="117">
        <f>+W42/$A$1</f>
        <v>0</v>
      </c>
      <c r="Y42" s="122">
        <f>+P42*Q42</f>
        <v>22000000</v>
      </c>
      <c r="Z42" s="122">
        <f>+Y42/$A$1</f>
        <v>4998.0121542568295</v>
      </c>
      <c r="AA42" s="31"/>
      <c r="AB42" s="26" t="str">
        <f>B42</f>
        <v>round trip</v>
      </c>
      <c r="AC42" s="26">
        <v>2</v>
      </c>
      <c r="AD42" s="115">
        <f>+Q42</f>
        <v>1000000</v>
      </c>
      <c r="AE42" s="115">
        <f>+AD42/$A$1</f>
        <v>227.1823706480377</v>
      </c>
      <c r="AF42" s="240">
        <v>1</v>
      </c>
      <c r="AG42" s="116">
        <f>+AF42*AL42</f>
        <v>2000000</v>
      </c>
      <c r="AH42" s="116">
        <f>+AG42/$A$1</f>
        <v>454.36474129607541</v>
      </c>
      <c r="AI42" s="242">
        <v>0</v>
      </c>
      <c r="AJ42" s="117">
        <f>+AI42*AL42</f>
        <v>0</v>
      </c>
      <c r="AK42" s="117">
        <f>+AJ42/$A$1</f>
        <v>0</v>
      </c>
      <c r="AL42" s="122">
        <f>+AC42*AD42</f>
        <v>2000000</v>
      </c>
      <c r="AM42" s="122">
        <f>+AL42/$A$1</f>
        <v>454.36474129607541</v>
      </c>
      <c r="AN42" s="121"/>
      <c r="AO42" s="32"/>
      <c r="AP42" s="115">
        <f>+L42+Y42+AL42</f>
        <v>51000000</v>
      </c>
      <c r="AQ42" s="115">
        <f>+AP42/$A$1</f>
        <v>11586.300903049923</v>
      </c>
      <c r="AR42" s="120">
        <f>+AP42*F42</f>
        <v>51000000</v>
      </c>
      <c r="AS42" s="120">
        <f>+AR42/$A$1</f>
        <v>11586.300903049923</v>
      </c>
      <c r="AT42" s="138">
        <f>+AP42*I42</f>
        <v>0</v>
      </c>
      <c r="AU42" s="138">
        <f>+AT42/$A$1</f>
        <v>0</v>
      </c>
      <c r="AW42" s="13"/>
      <c r="AX42" s="13"/>
      <c r="AZ42" s="37"/>
      <c r="BH42" s="105">
        <f>+AR42+AT42-AP42</f>
        <v>0</v>
      </c>
    </row>
    <row r="43" spans="1:60" x14ac:dyDescent="0.35">
      <c r="A43" s="40" t="str">
        <f>+'Summary Budget'!E46</f>
        <v>3.2. Land transportation</v>
      </c>
      <c r="B43" s="26" t="s">
        <v>87</v>
      </c>
      <c r="C43" s="26">
        <f>+Travels!B36+Travels!B48/3</f>
        <v>171</v>
      </c>
      <c r="D43" s="115">
        <f>+Travels!C36</f>
        <v>150000</v>
      </c>
      <c r="E43" s="115">
        <f t="shared" ref="E43:E45" si="79">+D43/$A$1</f>
        <v>34.07735559720566</v>
      </c>
      <c r="F43" s="240">
        <v>1</v>
      </c>
      <c r="G43" s="116">
        <f>L43*F43</f>
        <v>25650000</v>
      </c>
      <c r="H43" s="116">
        <f t="shared" ref="H43:H45" si="80">+G43/$A$1</f>
        <v>5827.2278071221672</v>
      </c>
      <c r="I43" s="242">
        <v>0</v>
      </c>
      <c r="J43" s="117">
        <f>L43*I43</f>
        <v>0</v>
      </c>
      <c r="K43" s="117">
        <f t="shared" ref="K43:K45" si="81">+J43/$A$1</f>
        <v>0</v>
      </c>
      <c r="L43" s="122">
        <f>+C43*D43</f>
        <v>25650000</v>
      </c>
      <c r="M43" s="122">
        <f t="shared" ref="M43:M45" si="82">+L43/$A$1</f>
        <v>5827.2278071221672</v>
      </c>
      <c r="N43" s="31"/>
      <c r="O43" s="26" t="str">
        <f>B43</f>
        <v>trip</v>
      </c>
      <c r="P43" s="26">
        <f>+Travels!B48/3+82</f>
        <v>184</v>
      </c>
      <c r="Q43" s="115">
        <f>+Travels!C36</f>
        <v>150000</v>
      </c>
      <c r="R43" s="115">
        <f t="shared" ref="R43:R45" si="83">+Q43/$A$1</f>
        <v>34.07735559720566</v>
      </c>
      <c r="S43" s="240">
        <v>1</v>
      </c>
      <c r="T43" s="116">
        <f t="shared" ref="T43:T45" si="84">+S43*Y43</f>
        <v>27600000</v>
      </c>
      <c r="U43" s="116">
        <f t="shared" ref="U43:U45" si="85">+T43/$A$1</f>
        <v>6270.2334298858405</v>
      </c>
      <c r="V43" s="242">
        <v>0</v>
      </c>
      <c r="W43" s="117">
        <f t="shared" ref="W43:W45" si="86">+V43*Y43</f>
        <v>0</v>
      </c>
      <c r="X43" s="117">
        <f t="shared" ref="X43:X45" si="87">+W43/$A$1</f>
        <v>0</v>
      </c>
      <c r="Y43" s="122">
        <f>+P43*Q43</f>
        <v>27600000</v>
      </c>
      <c r="Z43" s="122">
        <f t="shared" ref="Z43:Z45" si="88">+Y43/$A$1</f>
        <v>6270.2334298858405</v>
      </c>
      <c r="AA43" s="31"/>
      <c r="AB43" s="26" t="str">
        <f>B43</f>
        <v>trip</v>
      </c>
      <c r="AC43" s="26">
        <v>20</v>
      </c>
      <c r="AD43" s="115">
        <f>+Q43</f>
        <v>150000</v>
      </c>
      <c r="AE43" s="115">
        <f t="shared" ref="AE43:AE45" si="89">+AD43/$A$1</f>
        <v>34.07735559720566</v>
      </c>
      <c r="AF43" s="240">
        <v>1</v>
      </c>
      <c r="AG43" s="116">
        <f>+AF43*AL43</f>
        <v>3000000</v>
      </c>
      <c r="AH43" s="116">
        <f t="shared" ref="AH43:AH45" si="90">+AG43/$A$1</f>
        <v>681.54711194411311</v>
      </c>
      <c r="AI43" s="242">
        <v>0</v>
      </c>
      <c r="AJ43" s="117">
        <f>+AI43*AL43</f>
        <v>0</v>
      </c>
      <c r="AK43" s="117">
        <f t="shared" ref="AK43:AK45" si="91">+AJ43/$A$1</f>
        <v>0</v>
      </c>
      <c r="AL43" s="122">
        <f>+AC43*AD43</f>
        <v>3000000</v>
      </c>
      <c r="AM43" s="122">
        <f t="shared" ref="AM43:AM45" si="92">+AL43/$A$1</f>
        <v>681.54711194411311</v>
      </c>
      <c r="AN43" s="121"/>
      <c r="AO43" s="32"/>
      <c r="AP43" s="115">
        <f>+L43+Y43+AL43</f>
        <v>56250000</v>
      </c>
      <c r="AQ43" s="115">
        <f t="shared" ref="AQ43:AQ45" si="93">+AP43/$A$1</f>
        <v>12779.008348952122</v>
      </c>
      <c r="AR43" s="120">
        <f>+AP43*F43</f>
        <v>56250000</v>
      </c>
      <c r="AS43" s="120">
        <f t="shared" ref="AS43:AS45" si="94">+AR43/$A$1</f>
        <v>12779.008348952122</v>
      </c>
      <c r="AT43" s="138">
        <f>+AP43*I43</f>
        <v>0</v>
      </c>
      <c r="AU43" s="138">
        <f t="shared" ref="AU43:AU45" si="95">+AT43/$A$1</f>
        <v>0</v>
      </c>
      <c r="AW43" s="13"/>
      <c r="AX43" s="13"/>
      <c r="AZ43" s="37"/>
      <c r="BH43" s="105">
        <f>+AR43+AT43-AP43</f>
        <v>0</v>
      </c>
    </row>
    <row r="44" spans="1:60" x14ac:dyDescent="0.35">
      <c r="A44" s="40" t="str">
        <f>+'Summary Budget'!E47</f>
        <v>3.3. Lodging</v>
      </c>
      <c r="B44" s="26" t="s">
        <v>192</v>
      </c>
      <c r="C44" s="26">
        <f>+Travels!B37+Travels!B49/3</f>
        <v>396</v>
      </c>
      <c r="D44" s="115">
        <f>+Travels!C37</f>
        <v>100000</v>
      </c>
      <c r="E44" s="115">
        <f t="shared" si="79"/>
        <v>22.71823706480377</v>
      </c>
      <c r="F44" s="240">
        <v>1</v>
      </c>
      <c r="G44" s="116">
        <f>L44*F44</f>
        <v>39600000</v>
      </c>
      <c r="H44" s="116">
        <f t="shared" si="80"/>
        <v>8996.4218776622929</v>
      </c>
      <c r="I44" s="242">
        <v>0</v>
      </c>
      <c r="J44" s="117">
        <f>L44*I44</f>
        <v>0</v>
      </c>
      <c r="K44" s="117">
        <f t="shared" si="81"/>
        <v>0</v>
      </c>
      <c r="L44" s="122">
        <f>+C44*D44</f>
        <v>39600000</v>
      </c>
      <c r="M44" s="122">
        <f t="shared" si="82"/>
        <v>8996.4218776622929</v>
      </c>
      <c r="N44" s="31"/>
      <c r="O44" s="26" t="str">
        <f>B44</f>
        <v>night</v>
      </c>
      <c r="P44" s="26">
        <f>+Travels!B49/3+208</f>
        <v>436</v>
      </c>
      <c r="Q44" s="115">
        <f>+Travels!C37</f>
        <v>100000</v>
      </c>
      <c r="R44" s="115">
        <f t="shared" si="83"/>
        <v>22.71823706480377</v>
      </c>
      <c r="S44" s="240">
        <v>1</v>
      </c>
      <c r="T44" s="116">
        <f t="shared" si="84"/>
        <v>43600000</v>
      </c>
      <c r="U44" s="116">
        <f t="shared" si="85"/>
        <v>9905.1513602544437</v>
      </c>
      <c r="V44" s="242">
        <v>0</v>
      </c>
      <c r="W44" s="117">
        <f t="shared" si="86"/>
        <v>0</v>
      </c>
      <c r="X44" s="117">
        <f t="shared" si="87"/>
        <v>0</v>
      </c>
      <c r="Y44" s="122">
        <f>+P44*Q44</f>
        <v>43600000</v>
      </c>
      <c r="Z44" s="122">
        <f t="shared" si="88"/>
        <v>9905.1513602544437</v>
      </c>
      <c r="AA44" s="31"/>
      <c r="AB44" s="26" t="str">
        <f>B44</f>
        <v>night</v>
      </c>
      <c r="AC44" s="26">
        <v>20</v>
      </c>
      <c r="AD44" s="115">
        <f>+Q44</f>
        <v>100000</v>
      </c>
      <c r="AE44" s="115">
        <f t="shared" si="89"/>
        <v>22.71823706480377</v>
      </c>
      <c r="AF44" s="240">
        <v>1</v>
      </c>
      <c r="AG44" s="116">
        <f>+AF44*AL44</f>
        <v>2000000</v>
      </c>
      <c r="AH44" s="116">
        <f t="shared" si="90"/>
        <v>454.36474129607541</v>
      </c>
      <c r="AI44" s="242">
        <v>0</v>
      </c>
      <c r="AJ44" s="117">
        <f>+AI44*AL44</f>
        <v>0</v>
      </c>
      <c r="AK44" s="117">
        <f t="shared" si="91"/>
        <v>0</v>
      </c>
      <c r="AL44" s="122">
        <f>+AC44*AD44</f>
        <v>2000000</v>
      </c>
      <c r="AM44" s="122">
        <f t="shared" si="92"/>
        <v>454.36474129607541</v>
      </c>
      <c r="AN44" s="121"/>
      <c r="AO44" s="32"/>
      <c r="AP44" s="115">
        <f>+L44+Y44+AL44</f>
        <v>85200000</v>
      </c>
      <c r="AQ44" s="115">
        <f t="shared" si="93"/>
        <v>19355.937979212813</v>
      </c>
      <c r="AR44" s="120">
        <f>+AP44*F44</f>
        <v>85200000</v>
      </c>
      <c r="AS44" s="120">
        <f t="shared" si="94"/>
        <v>19355.937979212813</v>
      </c>
      <c r="AT44" s="138">
        <f>+AP44*I44</f>
        <v>0</v>
      </c>
      <c r="AU44" s="138">
        <f t="shared" si="95"/>
        <v>0</v>
      </c>
      <c r="AW44" s="13"/>
      <c r="AX44" s="13"/>
      <c r="AZ44" s="37"/>
      <c r="BH44" s="105">
        <f>+AR44+AT44-AP44</f>
        <v>0</v>
      </c>
    </row>
    <row r="45" spans="1:60" x14ac:dyDescent="0.35">
      <c r="A45" s="40" t="str">
        <f>+'Summary Budget'!E48</f>
        <v>3.4. Perdiem</v>
      </c>
      <c r="B45" s="26" t="s">
        <v>95</v>
      </c>
      <c r="C45" s="26">
        <f>+Travels!B38+Travels!B50/3</f>
        <v>495</v>
      </c>
      <c r="D45" s="115">
        <f>+Travels!C38</f>
        <v>90000</v>
      </c>
      <c r="E45" s="115">
        <f t="shared" si="79"/>
        <v>20.446413358323394</v>
      </c>
      <c r="F45" s="240">
        <v>1</v>
      </c>
      <c r="G45" s="116">
        <f>L45*F45</f>
        <v>44550000</v>
      </c>
      <c r="H45" s="116">
        <f t="shared" si="80"/>
        <v>10120.974612370081</v>
      </c>
      <c r="I45" s="242">
        <v>0</v>
      </c>
      <c r="J45" s="117">
        <f>L45*I45</f>
        <v>0</v>
      </c>
      <c r="K45" s="117">
        <f t="shared" si="81"/>
        <v>0</v>
      </c>
      <c r="L45" s="122">
        <f>+C45*D45</f>
        <v>44550000</v>
      </c>
      <c r="M45" s="122">
        <f t="shared" si="82"/>
        <v>10120.974612370081</v>
      </c>
      <c r="N45" s="31"/>
      <c r="O45" s="26" t="str">
        <f>B45</f>
        <v>day</v>
      </c>
      <c r="P45" s="26">
        <f>+Travels!B50/3+250</f>
        <v>535</v>
      </c>
      <c r="Q45" s="115">
        <f>+Travels!C38</f>
        <v>90000</v>
      </c>
      <c r="R45" s="115">
        <f t="shared" si="83"/>
        <v>20.446413358323394</v>
      </c>
      <c r="S45" s="240">
        <v>1</v>
      </c>
      <c r="T45" s="116">
        <f t="shared" si="84"/>
        <v>48150000</v>
      </c>
      <c r="U45" s="116">
        <f t="shared" si="85"/>
        <v>10938.831146703016</v>
      </c>
      <c r="V45" s="242">
        <v>0</v>
      </c>
      <c r="W45" s="117">
        <f t="shared" si="86"/>
        <v>0</v>
      </c>
      <c r="X45" s="117">
        <f t="shared" si="87"/>
        <v>0</v>
      </c>
      <c r="Y45" s="122">
        <f>+P45*Q45</f>
        <v>48150000</v>
      </c>
      <c r="Z45" s="122">
        <f t="shared" si="88"/>
        <v>10938.831146703016</v>
      </c>
      <c r="AA45" s="31"/>
      <c r="AB45" s="26" t="str">
        <f>B45</f>
        <v>day</v>
      </c>
      <c r="AC45" s="26">
        <v>35</v>
      </c>
      <c r="AD45" s="115">
        <f>+Q45</f>
        <v>90000</v>
      </c>
      <c r="AE45" s="115">
        <f t="shared" si="89"/>
        <v>20.446413358323394</v>
      </c>
      <c r="AF45" s="240">
        <v>1</v>
      </c>
      <c r="AG45" s="116">
        <f>+AF45*AL45</f>
        <v>3150000</v>
      </c>
      <c r="AH45" s="116">
        <f t="shared" si="90"/>
        <v>715.62446754131884</v>
      </c>
      <c r="AI45" s="242">
        <v>0</v>
      </c>
      <c r="AJ45" s="117">
        <f>+AI45*AL45</f>
        <v>0</v>
      </c>
      <c r="AK45" s="117">
        <f t="shared" si="91"/>
        <v>0</v>
      </c>
      <c r="AL45" s="122">
        <f>+AC45*AD45</f>
        <v>3150000</v>
      </c>
      <c r="AM45" s="122">
        <f t="shared" si="92"/>
        <v>715.62446754131884</v>
      </c>
      <c r="AN45" s="121"/>
      <c r="AO45" s="32"/>
      <c r="AP45" s="115">
        <f>+L45+Y45+AL45</f>
        <v>95850000</v>
      </c>
      <c r="AQ45" s="115">
        <f t="shared" si="93"/>
        <v>21775.430226614415</v>
      </c>
      <c r="AR45" s="120">
        <f>+AP45*F45</f>
        <v>95850000</v>
      </c>
      <c r="AS45" s="120">
        <f t="shared" si="94"/>
        <v>21775.430226614415</v>
      </c>
      <c r="AT45" s="138">
        <f>+AP45*I45</f>
        <v>0</v>
      </c>
      <c r="AU45" s="138">
        <f t="shared" si="95"/>
        <v>0</v>
      </c>
      <c r="AW45" s="13"/>
      <c r="AX45" s="13"/>
      <c r="AZ45" s="37"/>
      <c r="BH45" s="105">
        <f>+AR45+AT45-AP45</f>
        <v>0</v>
      </c>
    </row>
    <row r="46" spans="1:60" x14ac:dyDescent="0.35">
      <c r="A46" s="201" t="str">
        <f>+'Summary Budget'!E49</f>
        <v>4. Professional services (consultants)</v>
      </c>
      <c r="B46" s="28"/>
      <c r="C46" s="28"/>
      <c r="D46" s="111"/>
      <c r="E46" s="111"/>
      <c r="F46" s="114"/>
      <c r="G46" s="114">
        <f>SUM(G47:G49)</f>
        <v>283500000</v>
      </c>
      <c r="H46" s="114">
        <f>SUM(H47:H49)</f>
        <v>64406.202078718692</v>
      </c>
      <c r="I46" s="97"/>
      <c r="J46" s="97">
        <f>SUM(J47:J49)</f>
        <v>0</v>
      </c>
      <c r="K46" s="97">
        <f>SUM(K47:K49)</f>
        <v>0</v>
      </c>
      <c r="L46" s="29">
        <f>+SUM(L47:L49)</f>
        <v>283500000</v>
      </c>
      <c r="M46" s="29">
        <f>SUM(M47:M49)</f>
        <v>64406.202078718692</v>
      </c>
      <c r="N46" s="31"/>
      <c r="O46" s="28"/>
      <c r="P46" s="28"/>
      <c r="Q46" s="111"/>
      <c r="R46" s="111"/>
      <c r="S46" s="112"/>
      <c r="T46" s="112">
        <f>SUM(T47:T49)</f>
        <v>315500000</v>
      </c>
      <c r="U46" s="112">
        <f>SUM(U47:U49)</f>
        <v>71676.037939455899</v>
      </c>
      <c r="V46" s="97"/>
      <c r="W46" s="97">
        <f>SUM(W47:W49)</f>
        <v>63000000</v>
      </c>
      <c r="X46" s="97">
        <f>SUM(X47:X49)</f>
        <v>14312.489350826376</v>
      </c>
      <c r="Y46" s="29">
        <f>+SUM(Y47:Y49)</f>
        <v>378500000</v>
      </c>
      <c r="Z46" s="29">
        <f>SUM(Z47:Z49)</f>
        <v>85988.527290282276</v>
      </c>
      <c r="AA46" s="31"/>
      <c r="AB46" s="28"/>
      <c r="AC46" s="28"/>
      <c r="AD46" s="111"/>
      <c r="AE46" s="111"/>
      <c r="AF46" s="123"/>
      <c r="AG46" s="123">
        <f>SUM(AG47:AG49)</f>
        <v>0</v>
      </c>
      <c r="AH46" s="123">
        <f>SUM(AH47:AH49)</f>
        <v>0</v>
      </c>
      <c r="AI46" s="124"/>
      <c r="AJ46" s="124">
        <f>SUM(AJ47:AJ49)</f>
        <v>0</v>
      </c>
      <c r="AK46" s="124">
        <f>SUM(AK47:AK49)</f>
        <v>0</v>
      </c>
      <c r="AL46" s="29">
        <f>+SUM(AL47:AL49)</f>
        <v>0</v>
      </c>
      <c r="AM46" s="29">
        <f>SUM(AM47:AM49)</f>
        <v>0</v>
      </c>
      <c r="AN46" s="121"/>
      <c r="AO46" s="32"/>
      <c r="AP46" s="133">
        <f>+SUM(AP47:AP49)</f>
        <v>662000000</v>
      </c>
      <c r="AQ46" s="133">
        <f>SUM(AQ47:AQ49)</f>
        <v>150394.72936900094</v>
      </c>
      <c r="AR46" s="141">
        <f>+SUM(AR47:AR49)</f>
        <v>599000000</v>
      </c>
      <c r="AS46" s="141">
        <f>SUM(AS47:AS49)</f>
        <v>136082.24001817458</v>
      </c>
      <c r="AT46" s="142">
        <f>+SUM(AT47:AT49)</f>
        <v>63000000</v>
      </c>
      <c r="AU46" s="142">
        <f>SUM(AU47:AU49)</f>
        <v>14312.489350826376</v>
      </c>
      <c r="AW46" s="13"/>
      <c r="AX46" s="13"/>
      <c r="AZ46" s="37"/>
      <c r="BC46" s="37">
        <f>+AT46</f>
        <v>63000000</v>
      </c>
    </row>
    <row r="47" spans="1:60" ht="29" x14ac:dyDescent="0.35">
      <c r="A47" s="40" t="s">
        <v>99</v>
      </c>
      <c r="B47" s="26" t="s">
        <v>100</v>
      </c>
      <c r="C47" s="26">
        <v>1</v>
      </c>
      <c r="D47" s="115">
        <v>283500000</v>
      </c>
      <c r="E47" s="115">
        <f>+D47/$A$1</f>
        <v>64406.202078718692</v>
      </c>
      <c r="F47" s="240">
        <v>1</v>
      </c>
      <c r="G47" s="116">
        <f>L47*F47</f>
        <v>283500000</v>
      </c>
      <c r="H47" s="116">
        <f>+G47/$A$1</f>
        <v>64406.202078718692</v>
      </c>
      <c r="I47" s="242">
        <v>0</v>
      </c>
      <c r="J47" s="117">
        <f>L47*I47</f>
        <v>0</v>
      </c>
      <c r="K47" s="117">
        <f>+J47/$A$1</f>
        <v>0</v>
      </c>
      <c r="L47" s="118">
        <f>+C47*D47</f>
        <v>283500000</v>
      </c>
      <c r="M47" s="118">
        <f>+L47/$A$1</f>
        <v>64406.202078718692</v>
      </c>
      <c r="N47" s="119"/>
      <c r="O47" s="26" t="str">
        <f>B47</f>
        <v>product</v>
      </c>
      <c r="P47" s="26">
        <v>1</v>
      </c>
      <c r="Q47" s="115">
        <f>D47</f>
        <v>283500000</v>
      </c>
      <c r="R47" s="115">
        <f>+Q47/$A$1</f>
        <v>64406.202078718692</v>
      </c>
      <c r="S47" s="240">
        <v>1</v>
      </c>
      <c r="T47" s="116">
        <f>+S47*Y47</f>
        <v>283500000</v>
      </c>
      <c r="U47" s="116">
        <f>+T47/$A$1</f>
        <v>64406.202078718692</v>
      </c>
      <c r="V47" s="242">
        <v>0</v>
      </c>
      <c r="W47" s="117">
        <f>+V47*Y47</f>
        <v>0</v>
      </c>
      <c r="X47" s="117">
        <f>+W47/$A$1</f>
        <v>0</v>
      </c>
      <c r="Y47" s="122">
        <f>+P47*Q47</f>
        <v>283500000</v>
      </c>
      <c r="Z47" s="122">
        <f>+Y47/$A$1</f>
        <v>64406.202078718692</v>
      </c>
      <c r="AA47" s="31"/>
      <c r="AB47" s="26" t="str">
        <f>B47</f>
        <v>product</v>
      </c>
      <c r="AC47" s="26"/>
      <c r="AD47" s="115">
        <v>0</v>
      </c>
      <c r="AE47" s="115">
        <f>+AD47/$A$1</f>
        <v>0</v>
      </c>
      <c r="AF47" s="240">
        <v>1</v>
      </c>
      <c r="AG47" s="116">
        <f>+AF47*AL47</f>
        <v>0</v>
      </c>
      <c r="AH47" s="116">
        <f>+AG47/$A$1</f>
        <v>0</v>
      </c>
      <c r="AI47" s="242">
        <v>0</v>
      </c>
      <c r="AJ47" s="117">
        <f>+AI47*AL47</f>
        <v>0</v>
      </c>
      <c r="AK47" s="117">
        <f>+AJ47/$A$1</f>
        <v>0</v>
      </c>
      <c r="AL47" s="122">
        <f t="shared" ref="AL47" si="96">+AC47*AD47</f>
        <v>0</v>
      </c>
      <c r="AM47" s="122">
        <f>+AL47/$A$1</f>
        <v>0</v>
      </c>
      <c r="AN47" s="121"/>
      <c r="AO47" s="32"/>
      <c r="AP47" s="115">
        <f>+L47+Y47+AL47</f>
        <v>567000000</v>
      </c>
      <c r="AQ47" s="115">
        <f>+AP47/$A$1</f>
        <v>128812.40415743738</v>
      </c>
      <c r="AR47" s="120">
        <f>+AP47*F47</f>
        <v>567000000</v>
      </c>
      <c r="AS47" s="120">
        <f>+AR47/$A$1</f>
        <v>128812.40415743738</v>
      </c>
      <c r="AT47" s="138">
        <f>+AP47*I47</f>
        <v>0</v>
      </c>
      <c r="AU47" s="138">
        <f>+AT47/$A$1</f>
        <v>0</v>
      </c>
      <c r="AW47" s="13"/>
      <c r="AX47" s="13"/>
      <c r="AZ47" s="37"/>
      <c r="BH47" s="105">
        <f>+AR47+AT47-AP47</f>
        <v>0</v>
      </c>
    </row>
    <row r="48" spans="1:60" x14ac:dyDescent="0.35">
      <c r="A48" s="40" t="s">
        <v>103</v>
      </c>
      <c r="B48" s="26" t="s">
        <v>104</v>
      </c>
      <c r="C48" s="26">
        <v>0</v>
      </c>
      <c r="D48" s="115">
        <v>0</v>
      </c>
      <c r="E48" s="115">
        <f t="shared" ref="E48:E49" si="97">+D48/$A$1</f>
        <v>0</v>
      </c>
      <c r="F48" s="240">
        <v>0</v>
      </c>
      <c r="G48" s="116">
        <f>L48*F48</f>
        <v>0</v>
      </c>
      <c r="H48" s="116">
        <f t="shared" ref="H48:H49" si="98">+G48/$A$1</f>
        <v>0</v>
      </c>
      <c r="I48" s="242">
        <v>1</v>
      </c>
      <c r="J48" s="117">
        <f>L48*I48</f>
        <v>0</v>
      </c>
      <c r="K48" s="117">
        <f t="shared" ref="K48:K49" si="99">+J48/$A$1</f>
        <v>0</v>
      </c>
      <c r="L48" s="122">
        <f>+C48*D48</f>
        <v>0</v>
      </c>
      <c r="M48" s="118">
        <f t="shared" ref="M48:M49" si="100">+L48/$A$1</f>
        <v>0</v>
      </c>
      <c r="N48" s="31"/>
      <c r="O48" s="26" t="str">
        <f>B48</f>
        <v>evaluation</v>
      </c>
      <c r="P48" s="26">
        <v>15</v>
      </c>
      <c r="Q48" s="115">
        <v>4200000</v>
      </c>
      <c r="R48" s="115">
        <f t="shared" ref="R48:R49" si="101">+Q48/$A$1</f>
        <v>954.16595672175845</v>
      </c>
      <c r="S48" s="240">
        <v>0</v>
      </c>
      <c r="T48" s="116">
        <f t="shared" ref="T48:T49" si="102">+S48*Y48</f>
        <v>0</v>
      </c>
      <c r="U48" s="116">
        <f t="shared" ref="U48:U49" si="103">+T48/$A$1</f>
        <v>0</v>
      </c>
      <c r="V48" s="242">
        <v>1</v>
      </c>
      <c r="W48" s="117">
        <f t="shared" ref="W48:W49" si="104">+V48*Y48</f>
        <v>63000000</v>
      </c>
      <c r="X48" s="117">
        <f t="shared" ref="X48:X49" si="105">+W48/$A$1</f>
        <v>14312.489350826376</v>
      </c>
      <c r="Y48" s="122">
        <f>+P48*Q48</f>
        <v>63000000</v>
      </c>
      <c r="Z48" s="122">
        <f t="shared" ref="Z48:Z49" si="106">+Y48/$A$1</f>
        <v>14312.489350826376</v>
      </c>
      <c r="AA48" s="31"/>
      <c r="AB48" s="26" t="str">
        <f>B48</f>
        <v>evaluation</v>
      </c>
      <c r="AC48" s="26"/>
      <c r="AD48" s="125"/>
      <c r="AE48" s="115">
        <f t="shared" ref="AE48:AE49" si="107">+AD48/$A$1</f>
        <v>0</v>
      </c>
      <c r="AF48" s="240">
        <v>0</v>
      </c>
      <c r="AG48" s="116">
        <f>+AF48*AL48</f>
        <v>0</v>
      </c>
      <c r="AH48" s="116">
        <f t="shared" ref="AH48:AH49" si="108">+AG48/$A$1</f>
        <v>0</v>
      </c>
      <c r="AI48" s="242">
        <v>1</v>
      </c>
      <c r="AJ48" s="117">
        <f>+AI48*AL48</f>
        <v>0</v>
      </c>
      <c r="AK48" s="117">
        <f t="shared" ref="AK48:AK49" si="109">+AJ48/$A$1</f>
        <v>0</v>
      </c>
      <c r="AL48" s="118"/>
      <c r="AM48" s="122">
        <f t="shared" ref="AM48:AM49" si="110">+AL48/$A$1</f>
        <v>0</v>
      </c>
      <c r="AN48" s="121"/>
      <c r="AO48" s="32"/>
      <c r="AP48" s="115">
        <f>+L48+Y48+AL48</f>
        <v>63000000</v>
      </c>
      <c r="AQ48" s="115">
        <f t="shared" ref="AQ48:AQ49" si="111">+AP48/$A$1</f>
        <v>14312.489350826376</v>
      </c>
      <c r="AR48" s="120">
        <f>+AP48*F48</f>
        <v>0</v>
      </c>
      <c r="AS48" s="120">
        <f t="shared" ref="AS48:AS49" si="112">+AR48/$A$1</f>
        <v>0</v>
      </c>
      <c r="AT48" s="138">
        <f>+AP48*I48</f>
        <v>63000000</v>
      </c>
      <c r="AU48" s="138">
        <f t="shared" ref="AU48:AU49" si="113">+AT48/$A$1</f>
        <v>14312.489350826376</v>
      </c>
      <c r="AW48" s="13"/>
      <c r="AX48" s="13"/>
      <c r="AZ48" s="37"/>
      <c r="BH48" s="105">
        <f>+AR48+AT48-AP48</f>
        <v>0</v>
      </c>
    </row>
    <row r="49" spans="1:60" ht="29" x14ac:dyDescent="0.35">
      <c r="A49" s="40" t="s">
        <v>107</v>
      </c>
      <c r="B49" s="26" t="s">
        <v>108</v>
      </c>
      <c r="C49" s="26"/>
      <c r="D49" s="115"/>
      <c r="E49" s="115">
        <f t="shared" si="97"/>
        <v>0</v>
      </c>
      <c r="F49" s="240">
        <v>1</v>
      </c>
      <c r="G49" s="116">
        <f>L49*F49</f>
        <v>0</v>
      </c>
      <c r="H49" s="116">
        <f t="shared" si="98"/>
        <v>0</v>
      </c>
      <c r="I49" s="242">
        <v>0</v>
      </c>
      <c r="J49" s="117">
        <f>L49*I49</f>
        <v>0</v>
      </c>
      <c r="K49" s="117">
        <f t="shared" si="99"/>
        <v>0</v>
      </c>
      <c r="L49" s="122"/>
      <c r="M49" s="118">
        <f t="shared" si="100"/>
        <v>0</v>
      </c>
      <c r="N49" s="31"/>
      <c r="O49" s="26" t="str">
        <f>B49</f>
        <v>consulting</v>
      </c>
      <c r="P49" s="26">
        <v>10</v>
      </c>
      <c r="Q49" s="115">
        <v>3200000</v>
      </c>
      <c r="R49" s="115">
        <f t="shared" si="101"/>
        <v>726.98358607372063</v>
      </c>
      <c r="S49" s="240">
        <v>1</v>
      </c>
      <c r="T49" s="116">
        <f t="shared" si="102"/>
        <v>32000000</v>
      </c>
      <c r="U49" s="116">
        <f t="shared" si="103"/>
        <v>7269.8358607372065</v>
      </c>
      <c r="V49" s="242">
        <v>0</v>
      </c>
      <c r="W49" s="117">
        <f t="shared" si="104"/>
        <v>0</v>
      </c>
      <c r="X49" s="117">
        <f t="shared" si="105"/>
        <v>0</v>
      </c>
      <c r="Y49" s="122">
        <f>+P49*Q49</f>
        <v>32000000</v>
      </c>
      <c r="Z49" s="122">
        <f t="shared" si="106"/>
        <v>7269.8358607372065</v>
      </c>
      <c r="AA49" s="31"/>
      <c r="AB49" s="26" t="str">
        <f>B49</f>
        <v>consulting</v>
      </c>
      <c r="AC49" s="26"/>
      <c r="AD49" s="115"/>
      <c r="AE49" s="115">
        <f t="shared" si="107"/>
        <v>0</v>
      </c>
      <c r="AF49" s="240">
        <v>1</v>
      </c>
      <c r="AG49" s="116">
        <f>+AF49*AL49</f>
        <v>0</v>
      </c>
      <c r="AH49" s="116">
        <f t="shared" si="108"/>
        <v>0</v>
      </c>
      <c r="AI49" s="242">
        <v>0</v>
      </c>
      <c r="AJ49" s="117">
        <f>+AI49*AL49</f>
        <v>0</v>
      </c>
      <c r="AK49" s="117">
        <f t="shared" si="109"/>
        <v>0</v>
      </c>
      <c r="AL49" s="122"/>
      <c r="AM49" s="122">
        <f t="shared" si="110"/>
        <v>0</v>
      </c>
      <c r="AN49" s="121"/>
      <c r="AO49" s="32"/>
      <c r="AP49" s="115">
        <f>+L49+Y49+AL49</f>
        <v>32000000</v>
      </c>
      <c r="AQ49" s="115">
        <f t="shared" si="111"/>
        <v>7269.8358607372065</v>
      </c>
      <c r="AR49" s="120">
        <f>+AP49*F49</f>
        <v>32000000</v>
      </c>
      <c r="AS49" s="120">
        <f t="shared" si="112"/>
        <v>7269.8358607372065</v>
      </c>
      <c r="AT49" s="138">
        <f>+AP49*I49</f>
        <v>0</v>
      </c>
      <c r="AU49" s="138">
        <f t="shared" si="113"/>
        <v>0</v>
      </c>
      <c r="AW49" s="13"/>
      <c r="AX49" s="13"/>
      <c r="AZ49" s="37"/>
      <c r="BH49" s="105">
        <f>+AR49+AT49-AP49</f>
        <v>0</v>
      </c>
    </row>
    <row r="50" spans="1:60" x14ac:dyDescent="0.35">
      <c r="A50" s="201" t="str">
        <f>+'Summary Budget'!E53</f>
        <v>5. Supplies</v>
      </c>
      <c r="B50" s="28"/>
      <c r="C50" s="28"/>
      <c r="D50" s="111"/>
      <c r="E50" s="111"/>
      <c r="F50" s="114"/>
      <c r="G50" s="114">
        <f>SUM(G51:G51)</f>
        <v>30420000</v>
      </c>
      <c r="H50" s="114">
        <f>SUM(H51:H51)</f>
        <v>6910.8877151133074</v>
      </c>
      <c r="I50" s="97"/>
      <c r="J50" s="97">
        <f>SUM(J51:J51)</f>
        <v>0</v>
      </c>
      <c r="K50" s="97">
        <f>SUM(K51:K51)</f>
        <v>0</v>
      </c>
      <c r="L50" s="29">
        <f>+SUM(L51:L51)</f>
        <v>30420000</v>
      </c>
      <c r="M50" s="29">
        <f>SUM(M51:M51)</f>
        <v>6910.8877151133074</v>
      </c>
      <c r="N50" s="31"/>
      <c r="O50" s="28"/>
      <c r="P50" s="28"/>
      <c r="Q50" s="111"/>
      <c r="R50" s="111"/>
      <c r="S50" s="114"/>
      <c r="T50" s="114">
        <f>SUM(T51:T51)</f>
        <v>33462000.000000007</v>
      </c>
      <c r="U50" s="114">
        <f>SUM(U51:U51)</f>
        <v>7601.9764866246396</v>
      </c>
      <c r="V50" s="97"/>
      <c r="W50" s="97">
        <f>SUM(W51:W51)</f>
        <v>0</v>
      </c>
      <c r="X50" s="97">
        <f>SUM(X51:X51)</f>
        <v>0</v>
      </c>
      <c r="Y50" s="29">
        <f>+SUM(Y51:Y51)</f>
        <v>33462000.000000007</v>
      </c>
      <c r="Z50" s="29">
        <f>SUM(Z51:Z51)</f>
        <v>7601.9764866246396</v>
      </c>
      <c r="AA50" s="31"/>
      <c r="AB50" s="28"/>
      <c r="AC50" s="28"/>
      <c r="AD50" s="111"/>
      <c r="AE50" s="111"/>
      <c r="AF50" s="114"/>
      <c r="AG50" s="114">
        <f>SUM(AG51:AG51)</f>
        <v>9266400.0000000019</v>
      </c>
      <c r="AH50" s="114">
        <f>SUM(AH51:AH51)</f>
        <v>2105.1627193729769</v>
      </c>
      <c r="AI50" s="97"/>
      <c r="AJ50" s="97">
        <f>SUM(AJ51:AJ51)</f>
        <v>0</v>
      </c>
      <c r="AK50" s="97">
        <f>SUM(AK51:AK51)</f>
        <v>0</v>
      </c>
      <c r="AL50" s="29">
        <f>+SUM(AL51:AL51)</f>
        <v>9266400.0000000019</v>
      </c>
      <c r="AM50" s="29">
        <f>SUM(AM51:AM51)</f>
        <v>2105.1627193729769</v>
      </c>
      <c r="AN50" s="121"/>
      <c r="AO50" s="32"/>
      <c r="AP50" s="133">
        <f>+SUM(AP51:AP51)</f>
        <v>73148400.000000015</v>
      </c>
      <c r="AQ50" s="133">
        <f>SUM(AQ51:AQ51)</f>
        <v>16618.026921110926</v>
      </c>
      <c r="AR50" s="141">
        <f>+SUM(AR51:AR51)</f>
        <v>73148400.000000015</v>
      </c>
      <c r="AS50" s="141">
        <f>SUM(AS51:AS51)</f>
        <v>16618.026921110926</v>
      </c>
      <c r="AT50" s="142">
        <f>+SUM(AT51:AT51)</f>
        <v>0</v>
      </c>
      <c r="AU50" s="142">
        <f>SUM(AU51:AU51)</f>
        <v>0</v>
      </c>
      <c r="AW50" s="13"/>
      <c r="AX50" s="13"/>
      <c r="AZ50" s="37"/>
    </row>
    <row r="51" spans="1:60" x14ac:dyDescent="0.35">
      <c r="A51" s="86" t="s">
        <v>112</v>
      </c>
      <c r="B51" s="26" t="s">
        <v>34</v>
      </c>
      <c r="C51" s="26">
        <v>12</v>
      </c>
      <c r="D51" s="126">
        <f>195000*13</f>
        <v>2535000</v>
      </c>
      <c r="E51" s="246">
        <f>+D51/$A$1</f>
        <v>575.90730959277562</v>
      </c>
      <c r="F51" s="241">
        <v>1</v>
      </c>
      <c r="G51" s="116">
        <f>L51*F51</f>
        <v>30420000</v>
      </c>
      <c r="H51" s="116">
        <f>+G51/$A$1</f>
        <v>6910.8877151133074</v>
      </c>
      <c r="I51" s="117">
        <v>0</v>
      </c>
      <c r="J51" s="117">
        <f>L51*I51</f>
        <v>0</v>
      </c>
      <c r="K51" s="117">
        <f>+J51/$A$1</f>
        <v>0</v>
      </c>
      <c r="L51" s="127">
        <f>+C51*D51</f>
        <v>30420000</v>
      </c>
      <c r="M51" s="122">
        <f>+L51/$A$1</f>
        <v>6910.8877151133074</v>
      </c>
      <c r="N51" s="31"/>
      <c r="O51" s="26" t="str">
        <f>B51</f>
        <v>month</v>
      </c>
      <c r="P51" s="26">
        <v>12</v>
      </c>
      <c r="Q51" s="115">
        <f>+(195000*(1+10%))*13</f>
        <v>2788500.0000000005</v>
      </c>
      <c r="R51" s="115">
        <f>+Q51/$A$1</f>
        <v>633.49804055205323</v>
      </c>
      <c r="S51" s="241">
        <v>1</v>
      </c>
      <c r="T51" s="116">
        <f>+S51*Y51</f>
        <v>33462000.000000007</v>
      </c>
      <c r="U51" s="116">
        <f>+T51/$A$1</f>
        <v>7601.9764866246396</v>
      </c>
      <c r="V51" s="243">
        <v>0</v>
      </c>
      <c r="W51" s="117">
        <f>+V51*Y51</f>
        <v>0</v>
      </c>
      <c r="X51" s="117">
        <f>+W51/$A$1</f>
        <v>0</v>
      </c>
      <c r="Y51" s="122">
        <f>+P51*Q51</f>
        <v>33462000.000000007</v>
      </c>
      <c r="Z51" s="122">
        <f>+Y51/$A$1</f>
        <v>7601.9764866246396</v>
      </c>
      <c r="AA51" s="31"/>
      <c r="AB51" s="26" t="str">
        <f>B51</f>
        <v>month</v>
      </c>
      <c r="AC51" s="26">
        <v>4</v>
      </c>
      <c r="AD51" s="115">
        <f>+(195000*(1+10%)*(1+8%))*10</f>
        <v>2316600.0000000005</v>
      </c>
      <c r="AE51" s="115">
        <f>+AD51/$A$1</f>
        <v>526.29067984324422</v>
      </c>
      <c r="AF51" s="241">
        <v>1</v>
      </c>
      <c r="AG51" s="116">
        <f>+AF51*AL51</f>
        <v>9266400.0000000019</v>
      </c>
      <c r="AH51" s="116">
        <f>+AG51/$A$1</f>
        <v>2105.1627193729769</v>
      </c>
      <c r="AI51" s="243">
        <v>0</v>
      </c>
      <c r="AJ51" s="117">
        <f>+AI51*AL51</f>
        <v>0</v>
      </c>
      <c r="AK51" s="117">
        <f>+AJ51/$A$1</f>
        <v>0</v>
      </c>
      <c r="AL51" s="122">
        <f>+AC51*AD51</f>
        <v>9266400.0000000019</v>
      </c>
      <c r="AM51" s="122">
        <f>+AL51/$A$1</f>
        <v>2105.1627193729769</v>
      </c>
      <c r="AN51" s="121"/>
      <c r="AO51" s="32"/>
      <c r="AP51" s="115">
        <f>+L51+Y51+AL51</f>
        <v>73148400.000000015</v>
      </c>
      <c r="AQ51" s="115">
        <f>+AP51/$A$1</f>
        <v>16618.026921110926</v>
      </c>
      <c r="AR51" s="120">
        <f>+AP51*F51</f>
        <v>73148400.000000015</v>
      </c>
      <c r="AS51" s="120">
        <f>+AR51/$A$1</f>
        <v>16618.026921110926</v>
      </c>
      <c r="AT51" s="138">
        <f>AP51*I51</f>
        <v>0</v>
      </c>
      <c r="AU51" s="138">
        <f>+AT51/$A$1</f>
        <v>0</v>
      </c>
      <c r="AV51" s="134"/>
      <c r="AW51" s="13"/>
      <c r="AX51" s="13"/>
      <c r="AZ51" s="37">
        <f>+AP51/18</f>
        <v>4063800.0000000009</v>
      </c>
      <c r="BA51" s="36">
        <f>+AZ51*4</f>
        <v>16255200.000000004</v>
      </c>
      <c r="BC51" s="36">
        <f>+L51*24/100</f>
        <v>7300800</v>
      </c>
      <c r="BD51" s="36">
        <f>+Y51*24/100</f>
        <v>8030880.0000000028</v>
      </c>
      <c r="BE51" s="36">
        <f>+AL51*24/100</f>
        <v>2223936.0000000005</v>
      </c>
      <c r="BH51" s="105">
        <f>+AR51+AT51-AP51</f>
        <v>0</v>
      </c>
    </row>
    <row r="52" spans="1:60" x14ac:dyDescent="0.35">
      <c r="A52" s="201" t="str">
        <f>+'Summary Budget'!E55</f>
        <v>6. Direct operating costs</v>
      </c>
      <c r="B52" s="28"/>
      <c r="C52" s="28"/>
      <c r="D52" s="111"/>
      <c r="E52" s="111"/>
      <c r="F52" s="114"/>
      <c r="G52" s="114">
        <f>SUM(G53:G58)</f>
        <v>56610000</v>
      </c>
      <c r="H52" s="114">
        <f>SUM(H53:H58)</f>
        <v>12860.794002385415</v>
      </c>
      <c r="I52" s="97"/>
      <c r="J52" s="97">
        <f>SUM(J53:J58)</f>
        <v>148000000</v>
      </c>
      <c r="K52" s="97">
        <f>SUM(K53:K64)</f>
        <v>33622.990855909578</v>
      </c>
      <c r="L52" s="29">
        <f>+SUM(L53:L64)</f>
        <v>228531600</v>
      </c>
      <c r="M52" s="29">
        <f>SUM(M53:M64)</f>
        <v>51918.350655989103</v>
      </c>
      <c r="N52" s="31"/>
      <c r="O52" s="28"/>
      <c r="P52" s="28"/>
      <c r="Q52" s="111"/>
      <c r="R52" s="111"/>
      <c r="S52" s="114"/>
      <c r="T52" s="114">
        <f>SUM(T53:T58)</f>
        <v>45560000</v>
      </c>
      <c r="U52" s="114">
        <f>SUM(U53:U58)</f>
        <v>10350.428806724598</v>
      </c>
      <c r="V52" s="97"/>
      <c r="W52" s="97">
        <f>SUM(W53:W58)</f>
        <v>1068000000</v>
      </c>
      <c r="X52" s="97">
        <f>SUM(X53:X58)</f>
        <v>242630.77185210428</v>
      </c>
      <c r="Y52" s="29">
        <f>+SUM(Y53:Y64)</f>
        <v>1132723760</v>
      </c>
      <c r="Z52" s="29">
        <f>SUM(Z53:Z64)</f>
        <v>257334.86908615896</v>
      </c>
      <c r="AA52" s="31"/>
      <c r="AB52" s="28"/>
      <c r="AC52" s="28"/>
      <c r="AD52" s="111"/>
      <c r="AE52" s="111"/>
      <c r="AF52" s="114"/>
      <c r="AG52" s="114">
        <f>SUM(AG53:AG58)</f>
        <v>4760000</v>
      </c>
      <c r="AH52" s="114">
        <f>SUM(AH53:AH58)</f>
        <v>1081.3880842846595</v>
      </c>
      <c r="AI52" s="97"/>
      <c r="AJ52" s="97">
        <f>SUM(AJ53:AJ58)</f>
        <v>28000000</v>
      </c>
      <c r="AK52" s="97">
        <f>SUM(AK53:AK58)</f>
        <v>6361.1063781450557</v>
      </c>
      <c r="AL52" s="29">
        <f>+SUM(AL53:AL64)</f>
        <v>38395872</v>
      </c>
      <c r="AM52" s="29">
        <f>SUM(AM53:AM64)</f>
        <v>8722.8652240586125</v>
      </c>
      <c r="AN52" s="121"/>
      <c r="AO52" s="32"/>
      <c r="AP52" s="133">
        <f>+SUM(AP53:AP58)</f>
        <v>1350930000</v>
      </c>
      <c r="AQ52" s="133">
        <f>SUM(AQ53:AQ58)</f>
        <v>306907.47997955361</v>
      </c>
      <c r="AR52" s="141">
        <f>+SUM(AR53:AR58)</f>
        <v>106930000</v>
      </c>
      <c r="AS52" s="141">
        <f>SUM(AS53:AS58)</f>
        <v>24292.610893394671</v>
      </c>
      <c r="AT52" s="142">
        <f>+SUM(AT53:AT58)</f>
        <v>1244000000</v>
      </c>
      <c r="AU52" s="142">
        <f>SUM(AU53:AU58)</f>
        <v>282614.86908615893</v>
      </c>
      <c r="AW52" s="13"/>
      <c r="AX52" s="13"/>
      <c r="AZ52" s="37"/>
    </row>
    <row r="53" spans="1:60" ht="29" x14ac:dyDescent="0.35">
      <c r="A53" s="40" t="s">
        <v>116</v>
      </c>
      <c r="B53" s="26" t="s">
        <v>117</v>
      </c>
      <c r="C53" s="26">
        <f>Travels!B41</f>
        <v>74</v>
      </c>
      <c r="D53" s="115">
        <f>+Travels!D41*Travels!C41</f>
        <v>390000</v>
      </c>
      <c r="E53" s="239">
        <f>+D53/$A$1</f>
        <v>88.601124552734703</v>
      </c>
      <c r="F53" s="240">
        <v>1</v>
      </c>
      <c r="G53" s="116">
        <f t="shared" ref="G53:G58" si="114">L53*F53</f>
        <v>28860000</v>
      </c>
      <c r="H53" s="116">
        <f>+G53/$A$1</f>
        <v>6556.4832169023684</v>
      </c>
      <c r="I53" s="242">
        <v>0</v>
      </c>
      <c r="J53" s="117">
        <f t="shared" ref="J53:J58" si="115">L53*I53</f>
        <v>0</v>
      </c>
      <c r="K53" s="117">
        <f>+J53/$A$1</f>
        <v>0</v>
      </c>
      <c r="L53" s="122">
        <f t="shared" ref="L53:L58" si="116">+C53*D53</f>
        <v>28860000</v>
      </c>
      <c r="M53" s="122">
        <f>+L53/$A$1</f>
        <v>6556.4832169023684</v>
      </c>
      <c r="N53" s="31"/>
      <c r="O53" s="26" t="str">
        <f t="shared" ref="O53:O58" si="117">B53</f>
        <v>workshop</v>
      </c>
      <c r="P53" s="26"/>
      <c r="Q53" s="115">
        <v>0</v>
      </c>
      <c r="R53" s="115">
        <f>+Q53/$A$1</f>
        <v>0</v>
      </c>
      <c r="S53" s="240">
        <v>1</v>
      </c>
      <c r="T53" s="116">
        <f>+S53*Y53</f>
        <v>0</v>
      </c>
      <c r="U53" s="116">
        <f>+T53/$A$1</f>
        <v>0</v>
      </c>
      <c r="V53" s="242">
        <v>0</v>
      </c>
      <c r="W53" s="117">
        <f>+V53*Y53</f>
        <v>0</v>
      </c>
      <c r="X53" s="117">
        <f>+W53/$A$1</f>
        <v>0</v>
      </c>
      <c r="Y53" s="122">
        <f t="shared" ref="Y53:Y58" si="118">+P53*Q53</f>
        <v>0</v>
      </c>
      <c r="Z53" s="122">
        <f>+Y53/$A$1</f>
        <v>0</v>
      </c>
      <c r="AA53" s="31"/>
      <c r="AB53" s="26" t="str">
        <f t="shared" ref="AB53:AB58" si="119">B53</f>
        <v>workshop</v>
      </c>
      <c r="AC53" s="26"/>
      <c r="AD53" s="115">
        <v>0</v>
      </c>
      <c r="AE53" s="115">
        <f>+AD53/$A$1</f>
        <v>0</v>
      </c>
      <c r="AF53" s="240">
        <v>1</v>
      </c>
      <c r="AG53" s="116">
        <f t="shared" ref="AG53:AG58" si="120">+AF53*AL53</f>
        <v>0</v>
      </c>
      <c r="AH53" s="116">
        <f>+AG53/$A$1</f>
        <v>0</v>
      </c>
      <c r="AI53" s="242">
        <v>0</v>
      </c>
      <c r="AJ53" s="117">
        <f t="shared" ref="AJ53:AJ58" si="121">+AI53*AL53</f>
        <v>0</v>
      </c>
      <c r="AK53" s="117">
        <f>+AJ53/$A$1</f>
        <v>0</v>
      </c>
      <c r="AL53" s="122">
        <f t="shared" ref="AL53:AL58" si="122">+AC53*AD53</f>
        <v>0</v>
      </c>
      <c r="AM53" s="122">
        <f>+AL53/$A$1</f>
        <v>0</v>
      </c>
      <c r="AN53" s="121"/>
      <c r="AO53" s="32"/>
      <c r="AP53" s="115">
        <f t="shared" ref="AP53:AP58" si="123">+L53+Y53+AL53</f>
        <v>28860000</v>
      </c>
      <c r="AQ53" s="115">
        <f>+AP53/$A$1</f>
        <v>6556.4832169023684</v>
      </c>
      <c r="AR53" s="120">
        <f t="shared" ref="AR53:AR58" si="124">+AP53*F53</f>
        <v>28860000</v>
      </c>
      <c r="AS53" s="120">
        <f>+AR53/$A$1</f>
        <v>6556.4832169023684</v>
      </c>
      <c r="AT53" s="138">
        <f t="shared" ref="AT53:AT58" si="125">+AP53*I53</f>
        <v>0</v>
      </c>
      <c r="AU53" s="138">
        <f>+AT53/$A$1</f>
        <v>0</v>
      </c>
      <c r="AW53" s="13"/>
      <c r="AX53" s="13"/>
      <c r="AZ53" s="37"/>
      <c r="BH53" s="105">
        <f t="shared" ref="BH53:BH64" si="126">+AR53+AT53-AP53</f>
        <v>0</v>
      </c>
    </row>
    <row r="54" spans="1:60" ht="29" x14ac:dyDescent="0.35">
      <c r="A54" s="40" t="s">
        <v>120</v>
      </c>
      <c r="B54" s="26" t="s">
        <v>117</v>
      </c>
      <c r="C54" s="26">
        <f>Travels!B42</f>
        <v>74</v>
      </c>
      <c r="D54" s="115">
        <f>+Travels!D42*Travels!C42</f>
        <v>35000</v>
      </c>
      <c r="E54" s="239">
        <f t="shared" ref="E54:E58" si="127">+D54/$A$1</f>
        <v>7.9513829726813201</v>
      </c>
      <c r="F54" s="240">
        <v>1</v>
      </c>
      <c r="G54" s="116">
        <f t="shared" si="114"/>
        <v>2590000</v>
      </c>
      <c r="H54" s="116">
        <f>+G54/$A$1</f>
        <v>588.40233997841767</v>
      </c>
      <c r="I54" s="242">
        <v>0</v>
      </c>
      <c r="J54" s="117">
        <f t="shared" si="115"/>
        <v>0</v>
      </c>
      <c r="K54" s="117">
        <f>+J54/$A$1</f>
        <v>0</v>
      </c>
      <c r="L54" s="122">
        <f t="shared" si="116"/>
        <v>2590000</v>
      </c>
      <c r="M54" s="122">
        <f>+L54/$A$1</f>
        <v>588.40233997841767</v>
      </c>
      <c r="N54" s="31"/>
      <c r="O54" s="26" t="str">
        <f t="shared" si="117"/>
        <v>workshop</v>
      </c>
      <c r="P54" s="26"/>
      <c r="Q54" s="115">
        <v>0</v>
      </c>
      <c r="R54" s="115">
        <f>+Q54/$A$1</f>
        <v>0</v>
      </c>
      <c r="S54" s="240">
        <v>1</v>
      </c>
      <c r="T54" s="116">
        <f t="shared" ref="T54:T58" si="128">+S54*Y54</f>
        <v>0</v>
      </c>
      <c r="U54" s="116">
        <f>+T54/$A$1</f>
        <v>0</v>
      </c>
      <c r="V54" s="242">
        <v>0</v>
      </c>
      <c r="W54" s="117">
        <f t="shared" ref="W54:W58" si="129">+V54*Y54</f>
        <v>0</v>
      </c>
      <c r="X54" s="117">
        <f>+W54/$A$1</f>
        <v>0</v>
      </c>
      <c r="Y54" s="122">
        <f t="shared" si="118"/>
        <v>0</v>
      </c>
      <c r="Z54" s="122">
        <f>+Y54/$A$1</f>
        <v>0</v>
      </c>
      <c r="AA54" s="31"/>
      <c r="AB54" s="26" t="str">
        <f t="shared" si="119"/>
        <v>workshop</v>
      </c>
      <c r="AC54" s="26"/>
      <c r="AD54" s="115">
        <v>0</v>
      </c>
      <c r="AE54" s="115">
        <f>+AD54/$A$1</f>
        <v>0</v>
      </c>
      <c r="AF54" s="240">
        <v>1</v>
      </c>
      <c r="AG54" s="116">
        <f t="shared" si="120"/>
        <v>0</v>
      </c>
      <c r="AH54" s="116">
        <f>+AG54/$A$1</f>
        <v>0</v>
      </c>
      <c r="AI54" s="242">
        <v>0</v>
      </c>
      <c r="AJ54" s="117">
        <f t="shared" si="121"/>
        <v>0</v>
      </c>
      <c r="AK54" s="117">
        <f>+AJ54/$A$1</f>
        <v>0</v>
      </c>
      <c r="AL54" s="122">
        <f t="shared" si="122"/>
        <v>0</v>
      </c>
      <c r="AM54" s="122">
        <f t="shared" ref="AM54:AM56" si="130">+AL54/$A$1</f>
        <v>0</v>
      </c>
      <c r="AN54" s="121"/>
      <c r="AO54" s="32"/>
      <c r="AP54" s="115">
        <f t="shared" si="123"/>
        <v>2590000</v>
      </c>
      <c r="AQ54" s="115">
        <f>+AP54/$A$1</f>
        <v>588.40233997841767</v>
      </c>
      <c r="AR54" s="120">
        <f t="shared" si="124"/>
        <v>2590000</v>
      </c>
      <c r="AS54" s="120">
        <f>+AR54/$A$1</f>
        <v>588.40233997841767</v>
      </c>
      <c r="AT54" s="138">
        <f t="shared" si="125"/>
        <v>0</v>
      </c>
      <c r="AU54" s="138">
        <f>+AT54/$A$1</f>
        <v>0</v>
      </c>
      <c r="AW54" s="13"/>
      <c r="AX54" s="13"/>
      <c r="AZ54" s="37"/>
      <c r="BH54" s="105">
        <f t="shared" si="126"/>
        <v>0</v>
      </c>
    </row>
    <row r="55" spans="1:60" ht="29" x14ac:dyDescent="0.35">
      <c r="A55" s="40" t="s">
        <v>123</v>
      </c>
      <c r="B55" s="26" t="s">
        <v>117</v>
      </c>
      <c r="C55" s="26">
        <f>+('Summary Budget'!G58/3)</f>
        <v>74</v>
      </c>
      <c r="D55" s="115">
        <f>+Travels!D43*Travels!C43</f>
        <v>312000</v>
      </c>
      <c r="E55" s="239">
        <f t="shared" si="127"/>
        <v>70.880899642187771</v>
      </c>
      <c r="F55" s="240">
        <v>1</v>
      </c>
      <c r="G55" s="116">
        <f t="shared" si="114"/>
        <v>23088000</v>
      </c>
      <c r="H55" s="116">
        <f>+G55/$A$1</f>
        <v>5245.1865735218944</v>
      </c>
      <c r="I55" s="242">
        <v>0</v>
      </c>
      <c r="J55" s="117">
        <f t="shared" si="115"/>
        <v>0</v>
      </c>
      <c r="K55" s="117">
        <f>+J55/$A$1</f>
        <v>0</v>
      </c>
      <c r="L55" s="122">
        <f t="shared" si="116"/>
        <v>23088000</v>
      </c>
      <c r="M55" s="122">
        <f>+L55/$A$1</f>
        <v>5245.1865735218944</v>
      </c>
      <c r="N55" s="31"/>
      <c r="O55" s="26" t="str">
        <f t="shared" si="117"/>
        <v>workshop</v>
      </c>
      <c r="P55" s="26">
        <v>134</v>
      </c>
      <c r="Q55" s="115">
        <f>+D55</f>
        <v>312000</v>
      </c>
      <c r="R55" s="115">
        <f>+Q55/$A$1</f>
        <v>70.880899642187771</v>
      </c>
      <c r="S55" s="240">
        <v>1</v>
      </c>
      <c r="T55" s="116">
        <f t="shared" si="128"/>
        <v>41808000</v>
      </c>
      <c r="U55" s="116">
        <f>+T55/$A$1</f>
        <v>9498.0405520531604</v>
      </c>
      <c r="V55" s="242">
        <v>0</v>
      </c>
      <c r="W55" s="117">
        <f t="shared" si="129"/>
        <v>0</v>
      </c>
      <c r="X55" s="117">
        <f>+W55/$A$1</f>
        <v>0</v>
      </c>
      <c r="Y55" s="122">
        <f t="shared" si="118"/>
        <v>41808000</v>
      </c>
      <c r="Z55" s="122">
        <f>+Y55/$A$1</f>
        <v>9498.0405520531604</v>
      </c>
      <c r="AA55" s="31"/>
      <c r="AB55" s="26" t="str">
        <f t="shared" si="119"/>
        <v>workshop</v>
      </c>
      <c r="AC55" s="26">
        <v>14</v>
      </c>
      <c r="AD55" s="115">
        <f>+Q55</f>
        <v>312000</v>
      </c>
      <c r="AE55" s="115">
        <f>+AD55/$A$1</f>
        <v>70.880899642187771</v>
      </c>
      <c r="AF55" s="240">
        <v>1</v>
      </c>
      <c r="AG55" s="116">
        <f t="shared" si="120"/>
        <v>4368000</v>
      </c>
      <c r="AH55" s="116">
        <f>+AG55/$A$1</f>
        <v>992.33259499062876</v>
      </c>
      <c r="AI55" s="242">
        <v>0</v>
      </c>
      <c r="AJ55" s="117">
        <f t="shared" si="121"/>
        <v>0</v>
      </c>
      <c r="AK55" s="117">
        <f>+AJ55/$A$1</f>
        <v>0</v>
      </c>
      <c r="AL55" s="122">
        <f t="shared" si="122"/>
        <v>4368000</v>
      </c>
      <c r="AM55" s="122">
        <f t="shared" si="130"/>
        <v>992.33259499062876</v>
      </c>
      <c r="AN55" s="121"/>
      <c r="AO55" s="32"/>
      <c r="AP55" s="115">
        <f t="shared" si="123"/>
        <v>69264000</v>
      </c>
      <c r="AQ55" s="115">
        <f>+AP55/$A$1</f>
        <v>15735.559720565685</v>
      </c>
      <c r="AR55" s="120">
        <f t="shared" si="124"/>
        <v>69264000</v>
      </c>
      <c r="AS55" s="120">
        <f>+AR55/$A$1</f>
        <v>15735.559720565685</v>
      </c>
      <c r="AT55" s="138">
        <f t="shared" si="125"/>
        <v>0</v>
      </c>
      <c r="AU55" s="138">
        <f>+AT55/$A$1</f>
        <v>0</v>
      </c>
      <c r="AW55" s="13"/>
      <c r="AX55" s="13"/>
      <c r="AZ55" s="37"/>
      <c r="BH55" s="105">
        <f t="shared" si="126"/>
        <v>0</v>
      </c>
    </row>
    <row r="56" spans="1:60" ht="29" x14ac:dyDescent="0.35">
      <c r="A56" s="40" t="s">
        <v>126</v>
      </c>
      <c r="B56" s="26" t="s">
        <v>117</v>
      </c>
      <c r="C56" s="26">
        <f>+('Summary Budget'!G59/3)</f>
        <v>74</v>
      </c>
      <c r="D56" s="115">
        <f>+Travels!D44*Travels!C44</f>
        <v>28000</v>
      </c>
      <c r="E56" s="239">
        <f t="shared" si="127"/>
        <v>6.3611063781450561</v>
      </c>
      <c r="F56" s="240">
        <v>1</v>
      </c>
      <c r="G56" s="116">
        <f t="shared" si="114"/>
        <v>2072000</v>
      </c>
      <c r="H56" s="116">
        <f>+G56/$A$1</f>
        <v>470.72187198273411</v>
      </c>
      <c r="I56" s="242">
        <v>0</v>
      </c>
      <c r="J56" s="117">
        <f t="shared" si="115"/>
        <v>0</v>
      </c>
      <c r="K56" s="117">
        <f>+J56/$A$1</f>
        <v>0</v>
      </c>
      <c r="L56" s="122">
        <f t="shared" si="116"/>
        <v>2072000</v>
      </c>
      <c r="M56" s="122">
        <f>+L56/$A$1</f>
        <v>470.72187198273411</v>
      </c>
      <c r="N56" s="31"/>
      <c r="O56" s="26" t="str">
        <f t="shared" si="117"/>
        <v>workshop</v>
      </c>
      <c r="P56" s="26">
        <v>134</v>
      </c>
      <c r="Q56" s="115">
        <f>+D56</f>
        <v>28000</v>
      </c>
      <c r="R56" s="115">
        <f>+Q56/$A$1</f>
        <v>6.3611063781450561</v>
      </c>
      <c r="S56" s="240">
        <v>1</v>
      </c>
      <c r="T56" s="116">
        <f t="shared" si="128"/>
        <v>3752000</v>
      </c>
      <c r="U56" s="116">
        <f>+T56/$A$1</f>
        <v>852.38825467143749</v>
      </c>
      <c r="V56" s="242">
        <v>0</v>
      </c>
      <c r="W56" s="117">
        <f t="shared" si="129"/>
        <v>0</v>
      </c>
      <c r="X56" s="117">
        <f>+W56/$A$1</f>
        <v>0</v>
      </c>
      <c r="Y56" s="122">
        <f t="shared" si="118"/>
        <v>3752000</v>
      </c>
      <c r="Z56" s="122">
        <f>+Y56/$A$1</f>
        <v>852.38825467143749</v>
      </c>
      <c r="AA56" s="31"/>
      <c r="AB56" s="26" t="str">
        <f t="shared" si="119"/>
        <v>workshop</v>
      </c>
      <c r="AC56" s="26">
        <v>14</v>
      </c>
      <c r="AD56" s="115">
        <f>+Q56</f>
        <v>28000</v>
      </c>
      <c r="AE56" s="115">
        <f>+AD56/$A$1</f>
        <v>6.3611063781450561</v>
      </c>
      <c r="AF56" s="240">
        <v>1</v>
      </c>
      <c r="AG56" s="116">
        <f t="shared" si="120"/>
        <v>392000</v>
      </c>
      <c r="AH56" s="116">
        <f>+AG56/$A$1</f>
        <v>89.055489294030778</v>
      </c>
      <c r="AI56" s="242">
        <v>0</v>
      </c>
      <c r="AJ56" s="117">
        <f t="shared" si="121"/>
        <v>0</v>
      </c>
      <c r="AK56" s="117">
        <f>+AJ56/$A$1</f>
        <v>0</v>
      </c>
      <c r="AL56" s="122">
        <f t="shared" si="122"/>
        <v>392000</v>
      </c>
      <c r="AM56" s="122">
        <f t="shared" si="130"/>
        <v>89.055489294030778</v>
      </c>
      <c r="AN56" s="121"/>
      <c r="AO56" s="32"/>
      <c r="AP56" s="115">
        <f t="shared" si="123"/>
        <v>6216000</v>
      </c>
      <c r="AQ56" s="115">
        <f>+AP56/$A$1</f>
        <v>1412.1656159482025</v>
      </c>
      <c r="AR56" s="120">
        <f t="shared" si="124"/>
        <v>6216000</v>
      </c>
      <c r="AS56" s="120">
        <f>+AR56/$A$1</f>
        <v>1412.1656159482025</v>
      </c>
      <c r="AT56" s="138">
        <f t="shared" si="125"/>
        <v>0</v>
      </c>
      <c r="AU56" s="138">
        <f>+AT56/$A$1</f>
        <v>0</v>
      </c>
      <c r="AW56" s="13"/>
      <c r="AX56" s="13"/>
      <c r="AZ56" s="37"/>
      <c r="BH56" s="105">
        <f t="shared" si="126"/>
        <v>0</v>
      </c>
    </row>
    <row r="57" spans="1:60" x14ac:dyDescent="0.35">
      <c r="A57" s="40" t="s">
        <v>129</v>
      </c>
      <c r="B57" s="26" t="s">
        <v>130</v>
      </c>
      <c r="C57" s="26"/>
      <c r="D57" s="115">
        <v>0</v>
      </c>
      <c r="E57" s="239">
        <f t="shared" si="127"/>
        <v>0</v>
      </c>
      <c r="F57" s="240">
        <v>0</v>
      </c>
      <c r="G57" s="116">
        <f t="shared" si="114"/>
        <v>0</v>
      </c>
      <c r="H57" s="116">
        <f t="shared" ref="H57:H58" si="131">+G57/$A$1</f>
        <v>0</v>
      </c>
      <c r="I57" s="242">
        <v>1</v>
      </c>
      <c r="J57" s="117">
        <f t="shared" si="115"/>
        <v>0</v>
      </c>
      <c r="K57" s="117">
        <f t="shared" ref="K57:K58" si="132">+J57/$A$1</f>
        <v>0</v>
      </c>
      <c r="L57" s="122">
        <f t="shared" si="116"/>
        <v>0</v>
      </c>
      <c r="M57" s="122">
        <f t="shared" ref="M57:M58" si="133">+L57/$A$1</f>
        <v>0</v>
      </c>
      <c r="N57" s="31"/>
      <c r="O57" s="26" t="str">
        <f t="shared" si="117"/>
        <v>global</v>
      </c>
      <c r="P57" s="26">
        <v>1</v>
      </c>
      <c r="Q57" s="115">
        <v>800000000</v>
      </c>
      <c r="R57" s="115">
        <f t="shared" ref="R57:R58" si="134">+Q57/$A$1</f>
        <v>181745.89651843018</v>
      </c>
      <c r="S57" s="240">
        <v>0</v>
      </c>
      <c r="T57" s="116">
        <f t="shared" si="128"/>
        <v>0</v>
      </c>
      <c r="U57" s="116">
        <f t="shared" ref="U57:U58" si="135">+T57/$A$1</f>
        <v>0</v>
      </c>
      <c r="V57" s="242">
        <v>1</v>
      </c>
      <c r="W57" s="117">
        <f t="shared" si="129"/>
        <v>800000000</v>
      </c>
      <c r="X57" s="117">
        <f t="shared" ref="X57:X58" si="136">+W57/$A$1</f>
        <v>181745.89651843018</v>
      </c>
      <c r="Y57" s="122">
        <f t="shared" si="118"/>
        <v>800000000</v>
      </c>
      <c r="Z57" s="122">
        <f t="shared" ref="Z57:Z58" si="137">+Y57/$A$1</f>
        <v>181745.89651843018</v>
      </c>
      <c r="AA57" s="31"/>
      <c r="AB57" s="26" t="str">
        <f t="shared" si="119"/>
        <v>global</v>
      </c>
      <c r="AC57" s="26"/>
      <c r="AD57" s="115"/>
      <c r="AE57" s="115">
        <f t="shared" ref="AE57:AE58" si="138">+AD57/$A$1</f>
        <v>0</v>
      </c>
      <c r="AF57" s="240">
        <v>0</v>
      </c>
      <c r="AG57" s="116">
        <f t="shared" si="120"/>
        <v>0</v>
      </c>
      <c r="AH57" s="116">
        <f t="shared" ref="AH57:AH58" si="139">+AG57/$A$1</f>
        <v>0</v>
      </c>
      <c r="AI57" s="242">
        <v>1</v>
      </c>
      <c r="AJ57" s="117">
        <f t="shared" si="121"/>
        <v>0</v>
      </c>
      <c r="AK57" s="117">
        <f t="shared" ref="AK57:AK58" si="140">+AJ57/$A$1</f>
        <v>0</v>
      </c>
      <c r="AL57" s="118">
        <f t="shared" si="122"/>
        <v>0</v>
      </c>
      <c r="AM57" s="122">
        <f t="shared" ref="AM57:AM58" si="141">+AL57/$A$1</f>
        <v>0</v>
      </c>
      <c r="AN57" s="121"/>
      <c r="AO57" s="32"/>
      <c r="AP57" s="115">
        <f t="shared" si="123"/>
        <v>800000000</v>
      </c>
      <c r="AQ57" s="115">
        <f t="shared" ref="AQ57:AQ65" si="142">+AP57/$A$1</f>
        <v>181745.89651843018</v>
      </c>
      <c r="AR57" s="120">
        <f t="shared" si="124"/>
        <v>0</v>
      </c>
      <c r="AS57" s="120">
        <f t="shared" ref="AS57:AS65" si="143">+AR57/$A$1</f>
        <v>0</v>
      </c>
      <c r="AT57" s="138">
        <f t="shared" si="125"/>
        <v>800000000</v>
      </c>
      <c r="AU57" s="138">
        <f t="shared" ref="AU57:AU65" si="144">+AT57/$A$1</f>
        <v>181745.89651843018</v>
      </c>
      <c r="AW57" s="13"/>
      <c r="AX57" s="13"/>
      <c r="AZ57" s="37"/>
      <c r="BC57" s="37">
        <f>+AT57</f>
        <v>800000000</v>
      </c>
      <c r="BH57" s="105">
        <f t="shared" si="126"/>
        <v>0</v>
      </c>
    </row>
    <row r="58" spans="1:60" ht="43.5" x14ac:dyDescent="0.35">
      <c r="A58" s="40" t="s">
        <v>193</v>
      </c>
      <c r="B58" s="26" t="s">
        <v>134</v>
      </c>
      <c r="C58" s="26">
        <v>74</v>
      </c>
      <c r="D58" s="115">
        <v>2000000</v>
      </c>
      <c r="E58" s="239">
        <f t="shared" si="127"/>
        <v>454.36474129607541</v>
      </c>
      <c r="F58" s="240">
        <v>0</v>
      </c>
      <c r="G58" s="116">
        <f t="shared" si="114"/>
        <v>0</v>
      </c>
      <c r="H58" s="116">
        <f t="shared" si="131"/>
        <v>0</v>
      </c>
      <c r="I58" s="242">
        <v>1</v>
      </c>
      <c r="J58" s="117">
        <f t="shared" si="115"/>
        <v>148000000</v>
      </c>
      <c r="K58" s="117">
        <f t="shared" si="132"/>
        <v>33622.990855909578</v>
      </c>
      <c r="L58" s="122">
        <f t="shared" si="116"/>
        <v>148000000</v>
      </c>
      <c r="M58" s="122">
        <f t="shared" si="133"/>
        <v>33622.990855909578</v>
      </c>
      <c r="N58" s="31"/>
      <c r="O58" s="26" t="str">
        <f t="shared" si="117"/>
        <v>asociation</v>
      </c>
      <c r="P58" s="26">
        <v>134</v>
      </c>
      <c r="Q58" s="115">
        <v>2000000</v>
      </c>
      <c r="R58" s="115">
        <f t="shared" si="134"/>
        <v>454.36474129607541</v>
      </c>
      <c r="S58" s="240">
        <v>0</v>
      </c>
      <c r="T58" s="116">
        <f t="shared" si="128"/>
        <v>0</v>
      </c>
      <c r="U58" s="116">
        <f t="shared" si="135"/>
        <v>0</v>
      </c>
      <c r="V58" s="242">
        <v>1</v>
      </c>
      <c r="W58" s="117">
        <f t="shared" si="129"/>
        <v>268000000</v>
      </c>
      <c r="X58" s="117">
        <f t="shared" si="136"/>
        <v>60884.875333674107</v>
      </c>
      <c r="Y58" s="122">
        <f t="shared" si="118"/>
        <v>268000000</v>
      </c>
      <c r="Z58" s="122">
        <f t="shared" si="137"/>
        <v>60884.875333674107</v>
      </c>
      <c r="AA58" s="31"/>
      <c r="AB58" s="26" t="str">
        <f t="shared" si="119"/>
        <v>asociation</v>
      </c>
      <c r="AC58" s="26">
        <v>14</v>
      </c>
      <c r="AD58" s="115">
        <v>2000000</v>
      </c>
      <c r="AE58" s="115">
        <f t="shared" si="138"/>
        <v>454.36474129607541</v>
      </c>
      <c r="AF58" s="240">
        <v>0</v>
      </c>
      <c r="AG58" s="116">
        <f t="shared" si="120"/>
        <v>0</v>
      </c>
      <c r="AH58" s="116">
        <f t="shared" si="139"/>
        <v>0</v>
      </c>
      <c r="AI58" s="242">
        <v>1</v>
      </c>
      <c r="AJ58" s="117">
        <f t="shared" si="121"/>
        <v>28000000</v>
      </c>
      <c r="AK58" s="117">
        <f t="shared" si="140"/>
        <v>6361.1063781450557</v>
      </c>
      <c r="AL58" s="122">
        <f t="shared" si="122"/>
        <v>28000000</v>
      </c>
      <c r="AM58" s="122">
        <f t="shared" si="141"/>
        <v>6361.1063781450557</v>
      </c>
      <c r="AN58" s="121"/>
      <c r="AO58" s="32"/>
      <c r="AP58" s="115">
        <f t="shared" si="123"/>
        <v>444000000</v>
      </c>
      <c r="AQ58" s="115">
        <f t="shared" si="142"/>
        <v>100868.97256772875</v>
      </c>
      <c r="AR58" s="120">
        <f t="shared" si="124"/>
        <v>0</v>
      </c>
      <c r="AS58" s="120">
        <f t="shared" si="143"/>
        <v>0</v>
      </c>
      <c r="AT58" s="138">
        <f t="shared" si="125"/>
        <v>444000000</v>
      </c>
      <c r="AU58" s="138">
        <f t="shared" si="144"/>
        <v>100868.97256772875</v>
      </c>
      <c r="AW58" s="13"/>
      <c r="AX58" s="13"/>
      <c r="AZ58" s="37"/>
      <c r="BC58" s="37">
        <f>+AT58</f>
        <v>444000000</v>
      </c>
      <c r="BH58" s="105">
        <f t="shared" si="126"/>
        <v>0</v>
      </c>
    </row>
    <row r="59" spans="1:60" x14ac:dyDescent="0.35">
      <c r="A59" s="201" t="s">
        <v>136</v>
      </c>
      <c r="B59" s="28"/>
      <c r="C59" s="28"/>
      <c r="D59" s="111"/>
      <c r="E59" s="111"/>
      <c r="F59" s="114"/>
      <c r="G59" s="114">
        <f>SUM(G60:G64)</f>
        <v>23921600</v>
      </c>
      <c r="H59" s="114">
        <f>SUM(H60:H64)</f>
        <v>5434.5657976940984</v>
      </c>
      <c r="I59" s="97"/>
      <c r="J59" s="97">
        <f>SUM(J60:J64)</f>
        <v>0</v>
      </c>
      <c r="K59" s="97">
        <f>SUM(K60:K64)</f>
        <v>0</v>
      </c>
      <c r="L59" s="29"/>
      <c r="M59" s="29"/>
      <c r="N59" s="31"/>
      <c r="O59" s="28"/>
      <c r="P59" s="28"/>
      <c r="Q59" s="111"/>
      <c r="R59" s="111"/>
      <c r="S59" s="114"/>
      <c r="T59" s="114">
        <f>SUM(T60:T64)</f>
        <v>19163760</v>
      </c>
      <c r="U59" s="114">
        <f>SUM(U60:U64)</f>
        <v>4353.6684273300389</v>
      </c>
      <c r="V59" s="97"/>
      <c r="W59" s="97">
        <f>SUM(W60:W64)</f>
        <v>0</v>
      </c>
      <c r="X59" s="97">
        <f>SUM(X60:X64)</f>
        <v>0</v>
      </c>
      <c r="Y59" s="29"/>
      <c r="Z59" s="29"/>
      <c r="AA59" s="31"/>
      <c r="AB59" s="28"/>
      <c r="AC59" s="28"/>
      <c r="AD59" s="111"/>
      <c r="AE59" s="111"/>
      <c r="AF59" s="114"/>
      <c r="AG59" s="114">
        <f>SUM(AG60:AG64)</f>
        <v>5635872</v>
      </c>
      <c r="AH59" s="114">
        <f>SUM(AH60:AH64)</f>
        <v>1280.3707616288975</v>
      </c>
      <c r="AI59" s="97"/>
      <c r="AJ59" s="97">
        <f>SUM(AJ60:AJ64)</f>
        <v>0</v>
      </c>
      <c r="AK59" s="97">
        <f>SUM(AK60:AK64)</f>
        <v>0</v>
      </c>
      <c r="AL59" s="29"/>
      <c r="AM59" s="29"/>
      <c r="AN59" s="121"/>
      <c r="AO59" s="32"/>
      <c r="AP59" s="133">
        <f t="shared" ref="AP59:AU59" si="145">SUM(AP60:AP64)</f>
        <v>48721232</v>
      </c>
      <c r="AQ59" s="133">
        <f t="shared" si="145"/>
        <v>11068.604986653036</v>
      </c>
      <c r="AR59" s="141">
        <f t="shared" si="145"/>
        <v>48721232</v>
      </c>
      <c r="AS59" s="141">
        <f t="shared" si="145"/>
        <v>11068.604986653036</v>
      </c>
      <c r="AT59" s="142">
        <f t="shared" si="145"/>
        <v>0</v>
      </c>
      <c r="AU59" s="142">
        <f t="shared" si="145"/>
        <v>0</v>
      </c>
      <c r="AW59" s="13"/>
      <c r="AX59" s="13"/>
      <c r="AZ59" s="37"/>
      <c r="BH59" s="13">
        <f t="shared" si="126"/>
        <v>0</v>
      </c>
    </row>
    <row r="60" spans="1:60" ht="29" x14ac:dyDescent="0.35">
      <c r="A60" s="202" t="s">
        <v>138</v>
      </c>
      <c r="B60" s="26" t="s">
        <v>139</v>
      </c>
      <c r="C60" s="26">
        <v>5</v>
      </c>
      <c r="D60" s="115">
        <v>700000</v>
      </c>
      <c r="E60" s="239">
        <f>+D60/$A$1</f>
        <v>159.0276594536264</v>
      </c>
      <c r="F60" s="240">
        <v>1</v>
      </c>
      <c r="G60" s="116">
        <f>L60*F60</f>
        <v>3500000</v>
      </c>
      <c r="H60" s="116">
        <f t="shared" ref="H60:H64" si="146">+G60/$A$1</f>
        <v>795.13829726813196</v>
      </c>
      <c r="I60" s="242">
        <v>0</v>
      </c>
      <c r="J60" s="117">
        <f>L60*I60</f>
        <v>0</v>
      </c>
      <c r="K60" s="117">
        <f t="shared" ref="K60:K65" si="147">+J60/$A$1</f>
        <v>0</v>
      </c>
      <c r="L60" s="122">
        <f>+C60*D60</f>
        <v>3500000</v>
      </c>
      <c r="M60" s="122">
        <f t="shared" ref="M60:M65" si="148">+L60/$A$1</f>
        <v>795.13829726813196</v>
      </c>
      <c r="N60" s="31"/>
      <c r="O60" s="26" t="str">
        <f t="shared" ref="O60:O65" si="149">B60</f>
        <v>new staff</v>
      </c>
      <c r="P60" s="26"/>
      <c r="Q60" s="115"/>
      <c r="R60" s="115">
        <f t="shared" ref="R60:R65" si="150">+Q60/$A$1</f>
        <v>0</v>
      </c>
      <c r="S60" s="240">
        <v>1</v>
      </c>
      <c r="T60" s="116">
        <f>+S60*Y60</f>
        <v>0</v>
      </c>
      <c r="U60" s="116">
        <f t="shared" ref="U60:U65" si="151">+T60/$A$1</f>
        <v>0</v>
      </c>
      <c r="V60" s="242">
        <v>0</v>
      </c>
      <c r="W60" s="117">
        <f>+V60*Y60</f>
        <v>0</v>
      </c>
      <c r="X60" s="117">
        <f t="shared" ref="X60:X65" si="152">+W60/$A$1</f>
        <v>0</v>
      </c>
      <c r="Y60" s="122">
        <f>+P60*Q60</f>
        <v>0</v>
      </c>
      <c r="Z60" s="122">
        <f>+Y60/$A$1</f>
        <v>0</v>
      </c>
      <c r="AA60" s="31"/>
      <c r="AB60" s="26" t="str">
        <f t="shared" ref="AB60:AB65" si="153">B60</f>
        <v>new staff</v>
      </c>
      <c r="AC60" s="26"/>
      <c r="AD60" s="115"/>
      <c r="AE60" s="115">
        <f t="shared" ref="AE60:AE65" si="154">+AD60/$A$1</f>
        <v>0</v>
      </c>
      <c r="AF60" s="240">
        <v>1</v>
      </c>
      <c r="AG60" s="116">
        <f>+AF60*AL60</f>
        <v>0</v>
      </c>
      <c r="AH60" s="116">
        <f>+AG60/$A$1</f>
        <v>0</v>
      </c>
      <c r="AI60" s="242">
        <v>0</v>
      </c>
      <c r="AJ60" s="117">
        <f>+AI60*AL60</f>
        <v>0</v>
      </c>
      <c r="AK60" s="117">
        <f>+AJ60/$A$1</f>
        <v>0</v>
      </c>
      <c r="AL60" s="122">
        <f t="shared" ref="AL60" si="155">+AC60*AD60</f>
        <v>0</v>
      </c>
      <c r="AM60" s="122">
        <f>+AL60/$A$1</f>
        <v>0</v>
      </c>
      <c r="AN60" s="121"/>
      <c r="AO60" s="32"/>
      <c r="AP60" s="115">
        <f t="shared" ref="AP60:AP65" si="156">+L60+Y60+AL60</f>
        <v>3500000</v>
      </c>
      <c r="AQ60" s="115">
        <f>+AP60/$A$1</f>
        <v>795.13829726813196</v>
      </c>
      <c r="AR60" s="120">
        <f>+AP60*F60</f>
        <v>3500000</v>
      </c>
      <c r="AS60" s="120">
        <f>+AR60/$A$1</f>
        <v>795.13829726813196</v>
      </c>
      <c r="AT60" s="138">
        <f>+AP60*I60</f>
        <v>0</v>
      </c>
      <c r="AU60" s="138">
        <f>+AT60/$A$1</f>
        <v>0</v>
      </c>
      <c r="AW60" s="13"/>
      <c r="AX60" s="13"/>
      <c r="AZ60" s="37"/>
      <c r="BH60" s="105">
        <f t="shared" si="126"/>
        <v>0</v>
      </c>
    </row>
    <row r="61" spans="1:60" x14ac:dyDescent="0.35">
      <c r="A61" s="202" t="s">
        <v>142</v>
      </c>
      <c r="B61" s="26" t="s">
        <v>34</v>
      </c>
      <c r="C61" s="26">
        <v>12</v>
      </c>
      <c r="D61" s="115">
        <v>300000</v>
      </c>
      <c r="E61" s="239">
        <f t="shared" ref="E61:E64" si="157">+D61/$A$1</f>
        <v>68.15471119441132</v>
      </c>
      <c r="F61" s="240">
        <v>1</v>
      </c>
      <c r="G61" s="116">
        <f>L61*F61</f>
        <v>3600000</v>
      </c>
      <c r="H61" s="116">
        <f t="shared" si="146"/>
        <v>817.85653433293578</v>
      </c>
      <c r="I61" s="242">
        <v>0</v>
      </c>
      <c r="J61" s="117">
        <f>L61*I61</f>
        <v>0</v>
      </c>
      <c r="K61" s="117">
        <f t="shared" si="147"/>
        <v>0</v>
      </c>
      <c r="L61" s="122">
        <f>+C61*D61</f>
        <v>3600000</v>
      </c>
      <c r="M61" s="122">
        <f t="shared" si="148"/>
        <v>817.85653433293578</v>
      </c>
      <c r="N61" s="31"/>
      <c r="O61" s="26" t="str">
        <f t="shared" si="149"/>
        <v>month</v>
      </c>
      <c r="P61" s="26">
        <v>12</v>
      </c>
      <c r="Q61" s="115">
        <f>+D61*(1+10%)</f>
        <v>330000</v>
      </c>
      <c r="R61" s="115">
        <f t="shared" si="150"/>
        <v>74.970182313852447</v>
      </c>
      <c r="S61" s="240">
        <v>1</v>
      </c>
      <c r="T61" s="116">
        <f t="shared" ref="T61:T64" si="158">+S61*Y61</f>
        <v>3960000</v>
      </c>
      <c r="U61" s="116">
        <f t="shared" si="151"/>
        <v>899.64218776622931</v>
      </c>
      <c r="V61" s="242">
        <v>0</v>
      </c>
      <c r="W61" s="117">
        <f t="shared" ref="W61:W63" si="159">+V61*Y61</f>
        <v>0</v>
      </c>
      <c r="X61" s="117">
        <f t="shared" si="152"/>
        <v>0</v>
      </c>
      <c r="Y61" s="122">
        <f>+P61*Q61</f>
        <v>3960000</v>
      </c>
      <c r="Z61" s="122">
        <f>+Y61/$A$1</f>
        <v>899.64218776622931</v>
      </c>
      <c r="AA61" s="31"/>
      <c r="AB61" s="26" t="str">
        <f t="shared" si="153"/>
        <v>month</v>
      </c>
      <c r="AC61" s="26">
        <v>4</v>
      </c>
      <c r="AD61" s="115">
        <f>+Q61*(1+8%)</f>
        <v>356400</v>
      </c>
      <c r="AE61" s="115">
        <f t="shared" si="154"/>
        <v>80.967796898960643</v>
      </c>
      <c r="AF61" s="240">
        <v>1</v>
      </c>
      <c r="AG61" s="116">
        <f>+AF61*AL61</f>
        <v>1425600</v>
      </c>
      <c r="AH61" s="116">
        <f>+AG61/$A$1</f>
        <v>323.87118759584257</v>
      </c>
      <c r="AI61" s="242">
        <v>0</v>
      </c>
      <c r="AJ61" s="117">
        <f>+AI61*AL61</f>
        <v>0</v>
      </c>
      <c r="AK61" s="117">
        <f>+AJ61/$A$1</f>
        <v>0</v>
      </c>
      <c r="AL61" s="122">
        <f>+AC61*AD61</f>
        <v>1425600</v>
      </c>
      <c r="AM61" s="122">
        <f>+AL61/$A$1</f>
        <v>323.87118759584257</v>
      </c>
      <c r="AN61" s="121"/>
      <c r="AO61" s="32"/>
      <c r="AP61" s="115">
        <f t="shared" si="156"/>
        <v>8985600</v>
      </c>
      <c r="AQ61" s="115">
        <f>+AP61/$A$1</f>
        <v>2041.3699096950077</v>
      </c>
      <c r="AR61" s="120">
        <f>+AP61*F61</f>
        <v>8985600</v>
      </c>
      <c r="AS61" s="120">
        <f>+AR61/$A$1</f>
        <v>2041.3699096950077</v>
      </c>
      <c r="AT61" s="138">
        <f>+AP61*I61</f>
        <v>0</v>
      </c>
      <c r="AU61" s="138">
        <f>+AT61/$A$1</f>
        <v>0</v>
      </c>
      <c r="AW61" s="13"/>
      <c r="AX61" s="13"/>
      <c r="AZ61" s="37"/>
      <c r="BA61" s="44">
        <f>+BA51/AP51</f>
        <v>0.22222222222222224</v>
      </c>
      <c r="BH61" s="105">
        <f t="shared" si="126"/>
        <v>0</v>
      </c>
    </row>
    <row r="62" spans="1:60" x14ac:dyDescent="0.35">
      <c r="A62" s="202" t="s">
        <v>194</v>
      </c>
      <c r="B62" s="26" t="s">
        <v>146</v>
      </c>
      <c r="C62" s="26">
        <v>3</v>
      </c>
      <c r="D62" s="115">
        <v>1000000</v>
      </c>
      <c r="E62" s="239">
        <f t="shared" si="157"/>
        <v>227.1823706480377</v>
      </c>
      <c r="F62" s="240">
        <v>1</v>
      </c>
      <c r="G62" s="116">
        <f>L62*F62</f>
        <v>3000000</v>
      </c>
      <c r="H62" s="116">
        <f t="shared" si="146"/>
        <v>681.54711194411311</v>
      </c>
      <c r="I62" s="242">
        <v>0</v>
      </c>
      <c r="J62" s="117">
        <f>L62*I62</f>
        <v>0</v>
      </c>
      <c r="K62" s="117">
        <f t="shared" si="147"/>
        <v>0</v>
      </c>
      <c r="L62" s="122">
        <f>+C62*D62</f>
        <v>3000000</v>
      </c>
      <c r="M62" s="122">
        <f t="shared" si="148"/>
        <v>681.54711194411311</v>
      </c>
      <c r="N62" s="31"/>
      <c r="O62" s="26" t="str">
        <f t="shared" si="149"/>
        <v>license</v>
      </c>
      <c r="P62" s="26"/>
      <c r="Q62" s="115"/>
      <c r="R62" s="115">
        <f t="shared" si="150"/>
        <v>0</v>
      </c>
      <c r="S62" s="240">
        <v>1</v>
      </c>
      <c r="T62" s="116">
        <f t="shared" si="158"/>
        <v>0</v>
      </c>
      <c r="U62" s="116">
        <f t="shared" si="151"/>
        <v>0</v>
      </c>
      <c r="V62" s="242">
        <v>0</v>
      </c>
      <c r="W62" s="117">
        <f t="shared" si="159"/>
        <v>0</v>
      </c>
      <c r="X62" s="117">
        <f t="shared" si="152"/>
        <v>0</v>
      </c>
      <c r="Y62" s="122"/>
      <c r="Z62" s="122">
        <f>+Y62/$A$1</f>
        <v>0</v>
      </c>
      <c r="AA62" s="31"/>
      <c r="AB62" s="26" t="str">
        <f t="shared" si="153"/>
        <v>license</v>
      </c>
      <c r="AC62" s="26"/>
      <c r="AD62" s="115"/>
      <c r="AE62" s="115">
        <f t="shared" si="154"/>
        <v>0</v>
      </c>
      <c r="AF62" s="240">
        <v>1</v>
      </c>
      <c r="AG62" s="116">
        <f>+AF62*AL62</f>
        <v>0</v>
      </c>
      <c r="AH62" s="116">
        <f>+AG62/$A$1</f>
        <v>0</v>
      </c>
      <c r="AI62" s="242">
        <v>0</v>
      </c>
      <c r="AJ62" s="117">
        <f>+AI62*AL62</f>
        <v>0</v>
      </c>
      <c r="AK62" s="117">
        <f>+AJ62/$A$1</f>
        <v>0</v>
      </c>
      <c r="AL62" s="122"/>
      <c r="AM62" s="122">
        <f>+AL62/$A$1</f>
        <v>0</v>
      </c>
      <c r="AN62" s="121"/>
      <c r="AO62" s="32"/>
      <c r="AP62" s="115">
        <f t="shared" si="156"/>
        <v>3000000</v>
      </c>
      <c r="AQ62" s="115">
        <f>+AP62/$A$1</f>
        <v>681.54711194411311</v>
      </c>
      <c r="AR62" s="120">
        <f>+AP62*F62</f>
        <v>3000000</v>
      </c>
      <c r="AS62" s="120">
        <f>+AR62/$A$1</f>
        <v>681.54711194411311</v>
      </c>
      <c r="AT62" s="138">
        <f>+AP62*I62</f>
        <v>0</v>
      </c>
      <c r="AU62" s="138">
        <f>+AT62/$A$1</f>
        <v>0</v>
      </c>
      <c r="AW62" s="13"/>
      <c r="AX62" s="13"/>
      <c r="AZ62" s="37"/>
      <c r="BC62" s="37"/>
      <c r="BH62" s="105">
        <f t="shared" si="126"/>
        <v>0</v>
      </c>
    </row>
    <row r="63" spans="1:60" x14ac:dyDescent="0.35">
      <c r="A63" s="202" t="s">
        <v>195</v>
      </c>
      <c r="B63" s="26" t="s">
        <v>34</v>
      </c>
      <c r="C63" s="26">
        <v>12</v>
      </c>
      <c r="D63" s="115">
        <f>(2200+68000)*13</f>
        <v>912600</v>
      </c>
      <c r="E63" s="239">
        <f t="shared" si="157"/>
        <v>207.32663145339922</v>
      </c>
      <c r="F63" s="240">
        <v>1</v>
      </c>
      <c r="G63" s="116">
        <f>L63*F63</f>
        <v>10951200</v>
      </c>
      <c r="H63" s="116">
        <f t="shared" si="146"/>
        <v>2487.9195774407908</v>
      </c>
      <c r="I63" s="242">
        <v>0</v>
      </c>
      <c r="J63" s="117">
        <f>L63*I63</f>
        <v>0</v>
      </c>
      <c r="K63" s="117">
        <f t="shared" si="147"/>
        <v>0</v>
      </c>
      <c r="L63" s="122">
        <f>+C63*D63</f>
        <v>10951200</v>
      </c>
      <c r="M63" s="122">
        <f t="shared" si="148"/>
        <v>2487.9195774407908</v>
      </c>
      <c r="N63" s="31"/>
      <c r="O63" s="26" t="str">
        <f t="shared" si="149"/>
        <v>month</v>
      </c>
      <c r="P63" s="26">
        <v>12</v>
      </c>
      <c r="Q63" s="115">
        <f>+(2200+68000)*(1+10%)*13</f>
        <v>1003860</v>
      </c>
      <c r="R63" s="115">
        <f t="shared" si="150"/>
        <v>228.05929459873914</v>
      </c>
      <c r="S63" s="240">
        <v>1</v>
      </c>
      <c r="T63" s="116">
        <f t="shared" si="158"/>
        <v>12046320</v>
      </c>
      <c r="U63" s="116">
        <f t="shared" si="151"/>
        <v>2736.7115351848697</v>
      </c>
      <c r="V63" s="242">
        <v>0</v>
      </c>
      <c r="W63" s="117">
        <f t="shared" si="159"/>
        <v>0</v>
      </c>
      <c r="X63" s="117">
        <f t="shared" si="152"/>
        <v>0</v>
      </c>
      <c r="Y63" s="122">
        <f>+P63*Q63</f>
        <v>12046320</v>
      </c>
      <c r="Z63" s="122">
        <f>+Y63/$A$1</f>
        <v>2736.7115351848697</v>
      </c>
      <c r="AA63" s="31"/>
      <c r="AB63" s="26" t="str">
        <f t="shared" si="153"/>
        <v>month</v>
      </c>
      <c r="AC63" s="26">
        <v>4</v>
      </c>
      <c r="AD63" s="115">
        <f>+(2200+68000)*(1+10%)*(1+8%)*10</f>
        <v>833976</v>
      </c>
      <c r="AE63" s="115">
        <f t="shared" si="154"/>
        <v>189.4646447435679</v>
      </c>
      <c r="AF63" s="240">
        <v>1</v>
      </c>
      <c r="AG63" s="116">
        <f>+AF63*AL63</f>
        <v>3335904</v>
      </c>
      <c r="AH63" s="116">
        <f>+AG63/$A$1</f>
        <v>757.85857897427161</v>
      </c>
      <c r="AI63" s="242">
        <v>0</v>
      </c>
      <c r="AJ63" s="117">
        <f>+AI63*AL63</f>
        <v>0</v>
      </c>
      <c r="AK63" s="117">
        <f>+AJ63/$A$1</f>
        <v>0</v>
      </c>
      <c r="AL63" s="122">
        <f>+AC63*AD63</f>
        <v>3335904</v>
      </c>
      <c r="AM63" s="122">
        <f>+AL63/$A$1</f>
        <v>757.85857897427161</v>
      </c>
      <c r="AN63" s="121"/>
      <c r="AO63" s="32"/>
      <c r="AP63" s="115">
        <f t="shared" si="156"/>
        <v>26333424</v>
      </c>
      <c r="AQ63" s="115">
        <f>+AP63/$A$1</f>
        <v>5982.4896915999316</v>
      </c>
      <c r="AR63" s="120">
        <f>+AP63*F63</f>
        <v>26333424</v>
      </c>
      <c r="AS63" s="120">
        <f>+AR63/$A$1</f>
        <v>5982.4896915999316</v>
      </c>
      <c r="AT63" s="138">
        <f>+AP63*I63</f>
        <v>0</v>
      </c>
      <c r="AU63" s="138">
        <f>+AT63/$A$1</f>
        <v>0</v>
      </c>
      <c r="AW63" s="13"/>
      <c r="AX63" s="13"/>
      <c r="AZ63" s="37">
        <v>42982618</v>
      </c>
      <c r="BA63" s="36">
        <f>+AZ63/16</f>
        <v>2686413.625</v>
      </c>
      <c r="BB63" s="36">
        <f>+BA63*3</f>
        <v>8059240.875</v>
      </c>
      <c r="BC63" s="37"/>
      <c r="BH63" s="105">
        <f t="shared" si="126"/>
        <v>0</v>
      </c>
    </row>
    <row r="64" spans="1:60" x14ac:dyDescent="0.35">
      <c r="A64" s="202" t="s">
        <v>196</v>
      </c>
      <c r="B64" s="26" t="s">
        <v>34</v>
      </c>
      <c r="C64" s="26">
        <v>12</v>
      </c>
      <c r="D64" s="115">
        <f>18400*13</f>
        <v>239200</v>
      </c>
      <c r="E64" s="239">
        <f t="shared" si="157"/>
        <v>54.342023059010621</v>
      </c>
      <c r="F64" s="241">
        <v>1</v>
      </c>
      <c r="G64" s="116">
        <f>L64*F64</f>
        <v>2870400</v>
      </c>
      <c r="H64" s="116">
        <f t="shared" si="146"/>
        <v>652.10427670812749</v>
      </c>
      <c r="I64" s="243">
        <v>0</v>
      </c>
      <c r="J64" s="117">
        <f>L64*I64</f>
        <v>0</v>
      </c>
      <c r="K64" s="117">
        <f t="shared" si="147"/>
        <v>0</v>
      </c>
      <c r="L64" s="122">
        <f>+C64*D64</f>
        <v>2870400</v>
      </c>
      <c r="M64" s="122">
        <f t="shared" si="148"/>
        <v>652.10427670812749</v>
      </c>
      <c r="N64" s="31"/>
      <c r="O64" s="26" t="str">
        <f t="shared" si="149"/>
        <v>month</v>
      </c>
      <c r="P64" s="26">
        <v>12</v>
      </c>
      <c r="Q64" s="115">
        <f>18400*(1+10%)*13</f>
        <v>263120</v>
      </c>
      <c r="R64" s="115">
        <f t="shared" si="150"/>
        <v>59.776225364911681</v>
      </c>
      <c r="S64" s="241">
        <v>1</v>
      </c>
      <c r="T64" s="116">
        <f t="shared" si="158"/>
        <v>3157440</v>
      </c>
      <c r="U64" s="116">
        <f t="shared" si="151"/>
        <v>717.31470437894018</v>
      </c>
      <c r="V64" s="243">
        <v>0</v>
      </c>
      <c r="W64" s="117">
        <f>+V64*Y64</f>
        <v>0</v>
      </c>
      <c r="X64" s="117">
        <f t="shared" si="152"/>
        <v>0</v>
      </c>
      <c r="Y64" s="122">
        <f>+P64*Q64</f>
        <v>3157440</v>
      </c>
      <c r="Z64" s="122">
        <f>+Y64/$A$1</f>
        <v>717.31470437894018</v>
      </c>
      <c r="AA64" s="31"/>
      <c r="AB64" s="26" t="str">
        <f t="shared" si="153"/>
        <v>month</v>
      </c>
      <c r="AC64" s="26">
        <v>4</v>
      </c>
      <c r="AD64" s="115">
        <f>18400*(1+10%)*(1+8%)*10</f>
        <v>218592</v>
      </c>
      <c r="AE64" s="115">
        <f t="shared" si="154"/>
        <v>49.660248764695858</v>
      </c>
      <c r="AF64" s="241">
        <v>1</v>
      </c>
      <c r="AG64" s="116">
        <f>+AF64*AL64</f>
        <v>874368</v>
      </c>
      <c r="AH64" s="116">
        <f>+AG64/$A$1</f>
        <v>198.64099505878343</v>
      </c>
      <c r="AI64" s="243">
        <v>0</v>
      </c>
      <c r="AJ64" s="117">
        <f>+AI64*AL64</f>
        <v>0</v>
      </c>
      <c r="AK64" s="117">
        <f>+AJ64/$A$1</f>
        <v>0</v>
      </c>
      <c r="AL64" s="122">
        <f>+AC64*AD64</f>
        <v>874368</v>
      </c>
      <c r="AM64" s="122">
        <f>+AL64/$A$1</f>
        <v>198.64099505878343</v>
      </c>
      <c r="AN64" s="121"/>
      <c r="AO64" s="32"/>
      <c r="AP64" s="115">
        <f t="shared" si="156"/>
        <v>6902208</v>
      </c>
      <c r="AQ64" s="115">
        <f>+AP64/$A$1</f>
        <v>1568.0599761458511</v>
      </c>
      <c r="AR64" s="120">
        <f>+AP64*F64</f>
        <v>6902208</v>
      </c>
      <c r="AS64" s="120">
        <f>+AR64/$A$1</f>
        <v>1568.0599761458511</v>
      </c>
      <c r="AT64" s="138">
        <f>+AP64*I64</f>
        <v>0</v>
      </c>
      <c r="AU64" s="138">
        <f>+AT64/$A$1</f>
        <v>0</v>
      </c>
      <c r="AW64" s="13"/>
      <c r="AX64" s="13"/>
      <c r="AZ64" s="37"/>
      <c r="BC64" s="36">
        <f>+AP64/16</f>
        <v>431388</v>
      </c>
      <c r="BD64" s="36">
        <f>+BC64*3</f>
        <v>1294164</v>
      </c>
      <c r="BE64" s="44">
        <f>+BD64/AP64</f>
        <v>0.1875</v>
      </c>
      <c r="BH64" s="105">
        <f t="shared" si="126"/>
        <v>0</v>
      </c>
    </row>
    <row r="65" spans="1:60" x14ac:dyDescent="0.35">
      <c r="A65" s="238" t="str">
        <f>+'Summary Budget'!E68</f>
        <v>Administrative expenses</v>
      </c>
      <c r="B65" s="28" t="s">
        <v>156</v>
      </c>
      <c r="C65" s="53">
        <v>0.05</v>
      </c>
      <c r="D65" s="111"/>
      <c r="E65" s="111"/>
      <c r="F65" s="111"/>
      <c r="G65" s="111">
        <f>(G52+G50+G46+G41+G22+G59+G3)*C65</f>
        <v>73312868.560000002</v>
      </c>
      <c r="H65" s="111">
        <f>+G65/$A$1</f>
        <v>16655.391278468793</v>
      </c>
      <c r="I65" s="104"/>
      <c r="J65" s="111">
        <f>(J52+J50+J46+J41+J22+J59+J3)*C65</f>
        <v>13543517</v>
      </c>
      <c r="K65" s="111">
        <f t="shared" si="147"/>
        <v>3076.8482989719996</v>
      </c>
      <c r="L65" s="111">
        <f>(L52+L50+L46+L41+L22+L3)*C65</f>
        <v>86856385.560000002</v>
      </c>
      <c r="M65" s="111">
        <f t="shared" si="148"/>
        <v>19732.239577440792</v>
      </c>
      <c r="N65" s="31"/>
      <c r="O65" s="84" t="str">
        <f t="shared" si="149"/>
        <v>%</v>
      </c>
      <c r="P65" s="85">
        <f>C65</f>
        <v>0.05</v>
      </c>
      <c r="Q65" s="128"/>
      <c r="R65" s="128">
        <f t="shared" si="150"/>
        <v>0</v>
      </c>
      <c r="S65" s="103"/>
      <c r="T65" s="128">
        <f>(T52+T50+T46+T41+T22+T59+T3)*P65</f>
        <v>79177105.415999994</v>
      </c>
      <c r="U65" s="128">
        <f t="shared" si="151"/>
        <v>17987.642509456466</v>
      </c>
      <c r="V65" s="104"/>
      <c r="W65" s="128">
        <f>(W52+W50+W46+W41+W22+W3)*P65</f>
        <v>63307868.700000003</v>
      </c>
      <c r="X65" s="128">
        <f t="shared" si="152"/>
        <v>14382.431691940707</v>
      </c>
      <c r="Y65" s="111">
        <f>(Y52+Y50+Y46+Y41+Y22+Y3)*P65</f>
        <v>142484974.116</v>
      </c>
      <c r="Z65" s="111">
        <f>+Y65/A1</f>
        <v>32370.074201397172</v>
      </c>
      <c r="AA65" s="31"/>
      <c r="AB65" s="26" t="str">
        <f t="shared" si="153"/>
        <v>%</v>
      </c>
      <c r="AC65" s="85">
        <f>C65</f>
        <v>0.05</v>
      </c>
      <c r="AD65" s="128"/>
      <c r="AE65" s="128">
        <f t="shared" si="154"/>
        <v>0</v>
      </c>
      <c r="AF65" s="103"/>
      <c r="AG65" s="128">
        <f>(AG52+AG50+AG46+AG41+AG22+AG59+AG3)*AC65</f>
        <v>15067454.219760001</v>
      </c>
      <c r="AH65" s="128">
        <f>+AG65/A1</f>
        <v>3423.0599692758565</v>
      </c>
      <c r="AI65" s="104"/>
      <c r="AJ65" s="128">
        <f>(AJ52+AJ50+AJ46+AJ41+AJ22+AJ59+AJ3)*AC65</f>
        <v>3174662.9120000005</v>
      </c>
      <c r="AK65" s="128">
        <f>+AJ65/A1</f>
        <v>721.22744635656284</v>
      </c>
      <c r="AL65" s="111">
        <f>(AL52+AL50+AL46+AL41+AL22+AL3)*AC65</f>
        <v>18242117.131759997</v>
      </c>
      <c r="AM65" s="111">
        <f>+AL65/A1</f>
        <v>4144.2874156324187</v>
      </c>
      <c r="AN65" s="121"/>
      <c r="AO65" s="32"/>
      <c r="AP65" s="115">
        <f t="shared" si="156"/>
        <v>247583476.80776</v>
      </c>
      <c r="AQ65" s="115">
        <f t="shared" si="142"/>
        <v>56246.601194470379</v>
      </c>
      <c r="AR65" s="251">
        <f>(AR52+AR50+AR46+AR41+AR3+AR59+AR22)*C65</f>
        <v>167557428.19576001</v>
      </c>
      <c r="AS65" s="251">
        <f t="shared" si="143"/>
        <v>38066.093757201117</v>
      </c>
      <c r="AT65" s="138">
        <f>(AT52+AT50+AT46+AT41+AT22+AT59+AT3)*C65</f>
        <v>80026048.612000003</v>
      </c>
      <c r="AU65" s="138">
        <f t="shared" si="144"/>
        <v>18180.507437269269</v>
      </c>
      <c r="AW65" s="13"/>
      <c r="AX65" s="13"/>
      <c r="AZ65" s="44" t="e">
        <f>+#REF!/AP65</f>
        <v>#REF!</v>
      </c>
      <c r="BH65" s="105"/>
    </row>
    <row r="66" spans="1:60" x14ac:dyDescent="0.35">
      <c r="A66" s="155" t="s">
        <v>158</v>
      </c>
      <c r="B66" s="155"/>
      <c r="C66" s="155"/>
      <c r="D66" s="155"/>
      <c r="E66" s="155"/>
      <c r="F66" s="114"/>
      <c r="G66" s="114">
        <f>(G52+G50+G46+G41+G22+G3+G59+G65)</f>
        <v>1539570239.76</v>
      </c>
      <c r="H66" s="114">
        <f>+H3+H22+H41+H46+H50+H52+H59+H65</f>
        <v>349763.2168478446</v>
      </c>
      <c r="I66" s="100"/>
      <c r="J66" s="97">
        <f>(J52+J50+J46+J41+J22+J3+J65)</f>
        <v>284413857</v>
      </c>
      <c r="K66" s="97">
        <f>+K3+K22+K41+K46+K50+K52+K59+K65</f>
        <v>64613.814278411992</v>
      </c>
      <c r="L66" s="29">
        <f>+SUM(L3,L65,L52,L50,L46,L41,L22)</f>
        <v>1823984096.76</v>
      </c>
      <c r="M66" s="29">
        <f>+M3+M22+M41+M46+M50+M52+M65</f>
        <v>414377.03112625662</v>
      </c>
      <c r="N66" s="129"/>
      <c r="O66" s="29"/>
      <c r="P66" s="29"/>
      <c r="Q66" s="29"/>
      <c r="R66" s="29"/>
      <c r="S66" s="64"/>
      <c r="T66" s="114">
        <f>(T52+T50+T46+T41+T22+T59+T3+T65)</f>
        <v>1662719213.7359998</v>
      </c>
      <c r="U66" s="114">
        <f>+U3+U22+U41+U46+U50+U59+U52+U65</f>
        <v>377740.49269858579</v>
      </c>
      <c r="V66" s="100"/>
      <c r="W66" s="97">
        <f>(W52+W50+W46+W41+W22+W3+W59+W65)</f>
        <v>1329465242.7</v>
      </c>
      <c r="X66" s="97">
        <f>+X3+X22+X41+X46+X50+X52+X59+X65</f>
        <v>302031.0655307548</v>
      </c>
      <c r="Y66" s="29">
        <f>+SUM(Y3,Y65,Y52,Y50,Y46,Y41,Y22)</f>
        <v>2992184456.4360003</v>
      </c>
      <c r="Z66" s="29">
        <f>+Z3+Z22+Z41+Z46+Z50+Z52+Z65</f>
        <v>679771.55822934059</v>
      </c>
      <c r="AA66" s="129"/>
      <c r="AB66" s="29"/>
      <c r="AC66" s="29"/>
      <c r="AD66" s="29"/>
      <c r="AE66" s="29"/>
      <c r="AF66" s="64"/>
      <c r="AG66" s="114">
        <f>(AG52+AG50+AG46+AG41+AG22+AG3+AG59+AG65)</f>
        <v>316416538.61496001</v>
      </c>
      <c r="AH66" s="114">
        <f>+AH3+AH22+AH41+AH46+AH50+AH52+AH59+AH65</f>
        <v>71884.259354792986</v>
      </c>
      <c r="AI66" s="100"/>
      <c r="AJ66" s="97">
        <f>(AJ52+AJ50+AJ46+AJ41+AJ22+AJ3+AJ59+AJ65)</f>
        <v>66667921.152000003</v>
      </c>
      <c r="AK66" s="97">
        <f>+AK3+AK22+AK41+AK46+AK50+AK52+AK59+AK65</f>
        <v>15145.776373487817</v>
      </c>
      <c r="AL66" s="29">
        <f>+SUM(AL3,AL65,AL52,AL50,AL46,AL41,AL22)</f>
        <v>383084459.76695997</v>
      </c>
      <c r="AM66" s="29">
        <f>+AM3+AM22+AM41+AM46+AM50+AM52+AM65</f>
        <v>87030.035728280796</v>
      </c>
      <c r="AN66" s="130"/>
      <c r="AO66" s="33"/>
      <c r="AP66" s="131"/>
      <c r="AQ66" s="170"/>
      <c r="AR66" s="253"/>
      <c r="AS66" s="250"/>
      <c r="AT66" s="254"/>
      <c r="AU66" s="138"/>
      <c r="AW66" s="13"/>
      <c r="AX66" s="13"/>
      <c r="AZ66" s="44"/>
      <c r="BH66" s="105"/>
    </row>
    <row r="67" spans="1:60" x14ac:dyDescent="0.35">
      <c r="A67" s="89" t="s">
        <v>197</v>
      </c>
      <c r="B67" s="89"/>
      <c r="C67" s="89"/>
      <c r="D67" s="89"/>
      <c r="E67" s="89"/>
      <c r="F67" s="49">
        <f>+AR67/AP67</f>
        <v>0.67677144838652759</v>
      </c>
      <c r="G67" s="89"/>
      <c r="H67" s="89"/>
      <c r="I67" s="89"/>
      <c r="J67" s="89"/>
      <c r="K67" s="89"/>
      <c r="L67" s="132">
        <f>+G66</f>
        <v>1539570239.76</v>
      </c>
      <c r="M67" s="165"/>
      <c r="N67" s="129"/>
      <c r="O67" s="165"/>
      <c r="P67" s="165"/>
      <c r="Q67" s="165"/>
      <c r="R67" s="165"/>
      <c r="S67" s="165"/>
      <c r="T67" s="165"/>
      <c r="U67" s="165"/>
      <c r="V67" s="165"/>
      <c r="W67" s="165"/>
      <c r="X67" s="165"/>
      <c r="Y67" s="132">
        <f>+T66</f>
        <v>1662719213.7359998</v>
      </c>
      <c r="Z67" s="132"/>
      <c r="AA67" s="129"/>
      <c r="AB67" s="132"/>
      <c r="AC67" s="132"/>
      <c r="AD67" s="132"/>
      <c r="AE67" s="132"/>
      <c r="AF67" s="132"/>
      <c r="AG67" s="132"/>
      <c r="AH67" s="132"/>
      <c r="AI67" s="132"/>
      <c r="AJ67" s="132"/>
      <c r="AK67" s="132"/>
      <c r="AL67" s="169">
        <f>+AG66</f>
        <v>316416538.61496001</v>
      </c>
      <c r="AM67" s="168"/>
      <c r="AN67" s="130"/>
      <c r="AO67" s="33"/>
      <c r="AP67" s="133">
        <f>+AP52+AP50+AP46+AP41+AP22+AP3+AP59+AP65</f>
        <v>5199253012.9629602</v>
      </c>
      <c r="AQ67" s="133">
        <f>+AQ3+AQ22+AQ41+AQ46+AQ50+AQ52+AQ59+AQ65</f>
        <v>1181178.6250838777</v>
      </c>
      <c r="AR67" s="252">
        <f>AR3+AR22+AR41+AR46+AR50+AR52+AR59+AR65</f>
        <v>3518705992.11096</v>
      </c>
      <c r="AS67" s="252">
        <f>+AS3+AS22+AS41+AS46+AS50+AS52+AS59+AS65</f>
        <v>799387.96890122339</v>
      </c>
      <c r="AT67" s="138">
        <f>+AP67*I67</f>
        <v>0</v>
      </c>
      <c r="AU67" s="138"/>
      <c r="BH67" s="105"/>
    </row>
    <row r="68" spans="1:60" x14ac:dyDescent="0.35">
      <c r="A68" s="90" t="s">
        <v>198</v>
      </c>
      <c r="B68" s="90"/>
      <c r="C68" s="90"/>
      <c r="D68" s="90"/>
      <c r="E68" s="90"/>
      <c r="F68" s="90"/>
      <c r="G68" s="90"/>
      <c r="H68" s="90"/>
      <c r="I68" s="34"/>
      <c r="J68" s="90"/>
      <c r="K68" s="90"/>
      <c r="L68" s="90"/>
      <c r="M68" s="90"/>
      <c r="N68" s="129"/>
      <c r="O68" s="30"/>
      <c r="P68" s="30"/>
      <c r="Q68" s="30"/>
      <c r="R68" s="30"/>
      <c r="S68" s="66"/>
      <c r="T68" s="30"/>
      <c r="U68" s="30"/>
      <c r="V68" s="249"/>
      <c r="W68" s="30"/>
      <c r="X68" s="30"/>
      <c r="Y68" s="30"/>
      <c r="Z68" s="129"/>
      <c r="AA68" s="129"/>
      <c r="AB68" s="30"/>
      <c r="AC68" s="30"/>
      <c r="AD68" s="30"/>
      <c r="AE68" s="30"/>
      <c r="AF68" s="66"/>
      <c r="AG68" s="30"/>
      <c r="AH68" s="30"/>
      <c r="AI68" s="249"/>
      <c r="AJ68" s="30"/>
      <c r="AK68" s="30"/>
      <c r="AL68" s="30"/>
      <c r="AM68" s="130"/>
      <c r="AN68" s="130"/>
      <c r="AO68" s="33"/>
      <c r="AP68" s="66"/>
      <c r="AQ68" s="66"/>
      <c r="AR68" s="145"/>
      <c r="AS68" s="145"/>
      <c r="AT68" s="142">
        <f>+AT3+AT22+AT41+AT46+AT50+AT52+AT65</f>
        <v>1680547020.852</v>
      </c>
      <c r="AU68" s="142">
        <f>+AU3+AU22+AU41+AU46+AU50+AU52+AU65</f>
        <v>381790.65618265461</v>
      </c>
    </row>
    <row r="69" spans="1:60" x14ac:dyDescent="0.35">
      <c r="AR69" s="146"/>
      <c r="AS69" s="146"/>
    </row>
    <row r="70" spans="1:60" x14ac:dyDescent="0.35">
      <c r="AR70" s="110"/>
      <c r="AS70" s="110"/>
      <c r="AW70" s="106"/>
      <c r="AX70" s="106"/>
    </row>
    <row r="71" spans="1:60" x14ac:dyDescent="0.35">
      <c r="C71" s="79"/>
      <c r="D71" s="135" t="e">
        <f>#REF!*F67</f>
        <v>#REF!</v>
      </c>
      <c r="E71" s="135"/>
      <c r="F71" s="108"/>
      <c r="G71" s="135"/>
      <c r="H71" s="135"/>
      <c r="J71" s="135"/>
      <c r="K71" s="135"/>
      <c r="L71" s="136"/>
      <c r="M71" s="136"/>
      <c r="N71" s="80"/>
      <c r="O71" s="79"/>
      <c r="P71" s="79"/>
      <c r="Q71" s="135"/>
      <c r="R71" s="135"/>
      <c r="S71" s="108"/>
      <c r="T71" s="135"/>
      <c r="U71" s="135"/>
      <c r="W71" s="135"/>
      <c r="X71" s="135"/>
      <c r="Y71" s="136" t="e">
        <f>#REF!*F67</f>
        <v>#REF!</v>
      </c>
      <c r="Z71" s="136"/>
      <c r="AA71" s="80"/>
      <c r="AB71" s="79"/>
      <c r="AC71" s="79"/>
      <c r="AF71" s="108"/>
      <c r="AO71" s="55"/>
      <c r="AP71" s="108"/>
      <c r="AQ71" s="108"/>
      <c r="AR71" s="146"/>
      <c r="AS71" s="146"/>
      <c r="AT71" s="109"/>
      <c r="AU71" s="109"/>
      <c r="AV71" s="108"/>
      <c r="AW71" s="107"/>
      <c r="AX71" s="107"/>
    </row>
    <row r="72" spans="1:60" x14ac:dyDescent="0.35">
      <c r="F72" s="108"/>
      <c r="I72" s="108"/>
      <c r="S72" s="108"/>
      <c r="V72" s="108"/>
      <c r="AF72" s="108"/>
      <c r="AI72" s="108"/>
      <c r="AO72" s="55"/>
      <c r="AP72" s="110"/>
      <c r="AQ72" s="110"/>
      <c r="AT72" s="109"/>
      <c r="AU72" s="109"/>
      <c r="AV72" s="108"/>
    </row>
    <row r="73" spans="1:60" x14ac:dyDescent="0.35">
      <c r="F73" s="108"/>
      <c r="I73" s="108"/>
      <c r="S73" s="108"/>
      <c r="V73" s="108"/>
      <c r="AF73" s="108"/>
      <c r="AI73" s="108"/>
      <c r="AO73" s="55"/>
      <c r="AP73" s="110"/>
      <c r="AQ73" s="110"/>
      <c r="AT73" s="109"/>
      <c r="AU73" s="109"/>
      <c r="AV73" s="108"/>
      <c r="AW73" s="107"/>
      <c r="AX73" s="107"/>
    </row>
    <row r="74" spans="1:60" x14ac:dyDescent="0.35">
      <c r="F74" s="108"/>
      <c r="I74" s="108"/>
      <c r="S74" s="108"/>
      <c r="V74" s="108"/>
      <c r="AF74" s="108"/>
      <c r="AI74" s="108"/>
      <c r="AO74" s="55"/>
      <c r="AP74" s="110"/>
      <c r="AQ74" s="110"/>
      <c r="AR74" s="110"/>
      <c r="AS74" s="110"/>
      <c r="AT74" s="109"/>
      <c r="AU74" s="109"/>
      <c r="AV74" s="108"/>
      <c r="AW74" s="107"/>
      <c r="AX74" s="107"/>
    </row>
    <row r="75" spans="1:60" x14ac:dyDescent="0.35">
      <c r="F75" s="108"/>
      <c r="I75" s="108"/>
      <c r="S75" s="108"/>
      <c r="V75" s="108"/>
      <c r="AF75" s="108"/>
      <c r="AI75" s="108"/>
      <c r="AO75" s="55"/>
      <c r="AP75" s="110"/>
      <c r="AQ75" s="110"/>
      <c r="AR75" s="110"/>
      <c r="AS75" s="110"/>
      <c r="AT75" s="109"/>
      <c r="AU75" s="109"/>
      <c r="AV75" s="108"/>
      <c r="AW75" s="107"/>
      <c r="AX75" s="107"/>
    </row>
    <row r="76" spans="1:60" x14ac:dyDescent="0.35">
      <c r="F76" s="108"/>
      <c r="I76" s="108"/>
      <c r="K76" s="166"/>
      <c r="S76" s="108"/>
      <c r="V76" s="108"/>
      <c r="Z76" s="166"/>
      <c r="AF76" s="108"/>
      <c r="AI76" s="108"/>
      <c r="AN76" s="167"/>
      <c r="AO76" s="55"/>
      <c r="AP76" s="108"/>
      <c r="AQ76" s="108"/>
      <c r="AT76" s="109"/>
      <c r="AU76" s="109"/>
      <c r="AV76" s="108"/>
      <c r="AW76" s="107"/>
      <c r="AX76" s="107"/>
    </row>
    <row r="77" spans="1:60" x14ac:dyDescent="0.35">
      <c r="F77" s="108"/>
      <c r="I77" s="108"/>
      <c r="S77" s="108"/>
      <c r="V77" s="108"/>
      <c r="AF77" s="108"/>
      <c r="AI77" s="108"/>
      <c r="AO77" s="55"/>
      <c r="AP77" s="108"/>
      <c r="AQ77" s="108"/>
      <c r="AT77" s="109"/>
      <c r="AU77" s="109"/>
      <c r="AV77" s="108"/>
      <c r="AW77" s="107"/>
      <c r="AX77" s="10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N87"/>
  <sheetViews>
    <sheetView workbookViewId="0">
      <selection activeCell="A92" sqref="A92"/>
    </sheetView>
  </sheetViews>
  <sheetFormatPr defaultRowHeight="14.5" x14ac:dyDescent="0.35"/>
  <cols>
    <col min="1" max="1" width="36.81640625" customWidth="1"/>
    <col min="2" max="2" width="13.54296875" bestFit="1" customWidth="1"/>
    <col min="3" max="3" width="13.7265625" bestFit="1" customWidth="1"/>
    <col min="4" max="4" width="14.7265625" bestFit="1" customWidth="1"/>
    <col min="5" max="5" width="15.81640625" bestFit="1" customWidth="1"/>
    <col min="6" max="6" width="12.1796875" bestFit="1" customWidth="1"/>
    <col min="7" max="7" width="20" bestFit="1" customWidth="1"/>
    <col min="9" max="9" width="12.1796875" bestFit="1" customWidth="1"/>
    <col min="10" max="10" width="13.7265625" bestFit="1" customWidth="1"/>
    <col min="11" max="13" width="12.1796875" bestFit="1" customWidth="1"/>
    <col min="14" max="14" width="15.81640625" bestFit="1" customWidth="1"/>
  </cols>
  <sheetData>
    <row r="2" spans="1:14" x14ac:dyDescent="0.35">
      <c r="A2" s="217" t="s">
        <v>199</v>
      </c>
      <c r="B2" s="210" t="s">
        <v>200</v>
      </c>
      <c r="C2" s="210" t="s">
        <v>201</v>
      </c>
      <c r="D2" s="210" t="s">
        <v>202</v>
      </c>
    </row>
    <row r="3" spans="1:14" x14ac:dyDescent="0.35">
      <c r="A3" s="198" t="s">
        <v>203</v>
      </c>
      <c r="B3" s="11">
        <v>6</v>
      </c>
      <c r="C3" s="12">
        <v>3</v>
      </c>
      <c r="D3" s="12">
        <v>3</v>
      </c>
    </row>
    <row r="4" spans="1:14" x14ac:dyDescent="0.35">
      <c r="A4" s="198" t="s">
        <v>204</v>
      </c>
      <c r="B4" s="11">
        <v>5</v>
      </c>
      <c r="C4" s="12"/>
      <c r="D4" s="12"/>
    </row>
    <row r="5" spans="1:14" x14ac:dyDescent="0.35">
      <c r="A5" s="198" t="s">
        <v>205</v>
      </c>
      <c r="B5" s="11">
        <v>6</v>
      </c>
      <c r="C5" s="12"/>
      <c r="D5" s="12"/>
    </row>
    <row r="6" spans="1:14" x14ac:dyDescent="0.35">
      <c r="A6" s="198" t="s">
        <v>206</v>
      </c>
      <c r="B6" s="11">
        <v>1</v>
      </c>
      <c r="C6" s="12">
        <v>1</v>
      </c>
      <c r="D6" s="12">
        <v>3</v>
      </c>
    </row>
    <row r="7" spans="1:14" x14ac:dyDescent="0.35">
      <c r="A7" s="198" t="s">
        <v>207</v>
      </c>
      <c r="B7" s="11">
        <v>1</v>
      </c>
      <c r="C7" s="12"/>
      <c r="D7" s="12"/>
    </row>
    <row r="8" spans="1:14" x14ac:dyDescent="0.35">
      <c r="A8" s="198" t="s">
        <v>208</v>
      </c>
      <c r="B8" s="11">
        <v>7</v>
      </c>
      <c r="C8" s="12"/>
      <c r="D8" s="12"/>
    </row>
    <row r="9" spans="1:14" x14ac:dyDescent="0.35">
      <c r="A9" s="198" t="s">
        <v>209</v>
      </c>
      <c r="B9" s="11">
        <v>1</v>
      </c>
      <c r="C9" s="12"/>
      <c r="D9" s="12"/>
    </row>
    <row r="10" spans="1:14" x14ac:dyDescent="0.35">
      <c r="A10" s="198" t="s">
        <v>210</v>
      </c>
      <c r="B10" s="11">
        <v>7</v>
      </c>
      <c r="C10" s="268">
        <v>2</v>
      </c>
      <c r="D10" s="270">
        <v>2</v>
      </c>
    </row>
    <row r="11" spans="1:14" x14ac:dyDescent="0.35">
      <c r="A11" s="198" t="s">
        <v>211</v>
      </c>
      <c r="B11" s="11">
        <v>3</v>
      </c>
      <c r="C11" s="269"/>
      <c r="D11" s="271"/>
    </row>
    <row r="12" spans="1:14" x14ac:dyDescent="0.35">
      <c r="A12" s="198" t="s">
        <v>212</v>
      </c>
      <c r="B12" s="11">
        <v>6</v>
      </c>
      <c r="C12" s="11">
        <v>1</v>
      </c>
      <c r="D12" s="12">
        <v>1</v>
      </c>
    </row>
    <row r="13" spans="1:14" x14ac:dyDescent="0.35">
      <c r="A13" s="198" t="s">
        <v>213</v>
      </c>
      <c r="B13" s="11">
        <v>31</v>
      </c>
      <c r="C13" s="11">
        <v>2</v>
      </c>
      <c r="D13" s="12">
        <v>3</v>
      </c>
    </row>
    <row r="14" spans="1:14" x14ac:dyDescent="0.35">
      <c r="A14" s="218" t="s">
        <v>214</v>
      </c>
      <c r="B14" s="210">
        <f>+SUM(B3:B13)</f>
        <v>74</v>
      </c>
      <c r="C14" s="210">
        <f>+SUM(C3:C13)</f>
        <v>9</v>
      </c>
      <c r="D14" s="211">
        <f>+SUM(D3:D13)</f>
        <v>12</v>
      </c>
    </row>
    <row r="15" spans="1:14" ht="15" thickBot="1" x14ac:dyDescent="0.4">
      <c r="D15" s="13"/>
    </row>
    <row r="16" spans="1:14" x14ac:dyDescent="0.35">
      <c r="A16" s="272" t="s">
        <v>215</v>
      </c>
      <c r="B16" s="273"/>
      <c r="C16" s="273"/>
      <c r="D16" s="273"/>
      <c r="E16" s="273"/>
      <c r="F16" s="273"/>
      <c r="G16" s="273"/>
      <c r="H16" s="273"/>
      <c r="I16" s="273"/>
      <c r="J16" s="273"/>
      <c r="K16" s="273"/>
      <c r="L16" s="273"/>
      <c r="M16" s="273"/>
      <c r="N16" s="274"/>
    </row>
    <row r="17" spans="1:14" x14ac:dyDescent="0.35">
      <c r="A17" s="219"/>
      <c r="B17" s="264" t="s">
        <v>216</v>
      </c>
      <c r="C17" s="264"/>
      <c r="D17" s="264"/>
      <c r="E17" s="264"/>
      <c r="F17" s="264"/>
      <c r="G17" s="264"/>
      <c r="I17" s="265" t="s">
        <v>217</v>
      </c>
      <c r="J17" s="266"/>
      <c r="K17" s="266"/>
      <c r="L17" s="266"/>
      <c r="M17" s="266"/>
      <c r="N17" s="267"/>
    </row>
    <row r="18" spans="1:14" ht="43.5" x14ac:dyDescent="0.35">
      <c r="A18" s="178" t="s">
        <v>218</v>
      </c>
      <c r="B18" s="14" t="s">
        <v>219</v>
      </c>
      <c r="C18" s="14" t="s">
        <v>220</v>
      </c>
      <c r="D18" s="14" t="s">
        <v>221</v>
      </c>
      <c r="E18" s="14" t="s">
        <v>222</v>
      </c>
      <c r="F18" s="14" t="s">
        <v>223</v>
      </c>
      <c r="G18" s="14" t="s">
        <v>224</v>
      </c>
      <c r="I18" s="14" t="s">
        <v>219</v>
      </c>
      <c r="J18" s="14" t="s">
        <v>220</v>
      </c>
      <c r="K18" s="14" t="s">
        <v>221</v>
      </c>
      <c r="L18" s="14" t="s">
        <v>222</v>
      </c>
      <c r="M18" s="14" t="s">
        <v>223</v>
      </c>
      <c r="N18" s="179" t="s">
        <v>224</v>
      </c>
    </row>
    <row r="19" spans="1:14" x14ac:dyDescent="0.35">
      <c r="A19" s="191" t="str">
        <f>+'Summary Budget'!E7</f>
        <v>1.1. Program Coordinator</v>
      </c>
      <c r="B19" s="11">
        <v>1</v>
      </c>
      <c r="C19" s="15">
        <v>1000000</v>
      </c>
      <c r="D19" s="16">
        <v>400000</v>
      </c>
      <c r="E19" s="16">
        <f>90000*5</f>
        <v>450000</v>
      </c>
      <c r="F19" s="16">
        <v>150000</v>
      </c>
      <c r="G19" s="16">
        <f>+SUM(C19:F19)*B19</f>
        <v>2000000</v>
      </c>
      <c r="I19" s="11">
        <v>3</v>
      </c>
      <c r="J19" s="15">
        <v>1000000</v>
      </c>
      <c r="K19" s="16">
        <v>400000</v>
      </c>
      <c r="L19" s="16">
        <f>90000*5</f>
        <v>450000</v>
      </c>
      <c r="M19" s="16">
        <v>150000</v>
      </c>
      <c r="N19" s="180">
        <f>+SUM(J19:M19)*I19</f>
        <v>6000000</v>
      </c>
    </row>
    <row r="20" spans="1:14" x14ac:dyDescent="0.35">
      <c r="A20" s="191" t="str">
        <f>+'Summary Budget'!E8</f>
        <v>1.2. Business Strengthening Coordinator</v>
      </c>
      <c r="B20" s="11">
        <v>4</v>
      </c>
      <c r="C20" s="15">
        <v>1000000</v>
      </c>
      <c r="D20" s="16">
        <v>400000</v>
      </c>
      <c r="E20" s="16">
        <f t="shared" ref="E20:E32" si="0">90000*5</f>
        <v>450000</v>
      </c>
      <c r="F20" s="16">
        <v>150000</v>
      </c>
      <c r="G20" s="16">
        <f>+SUM(C20:F20)*B20</f>
        <v>8000000</v>
      </c>
      <c r="I20" s="11">
        <v>9</v>
      </c>
      <c r="J20" s="15">
        <v>1000000</v>
      </c>
      <c r="K20" s="16">
        <v>400000</v>
      </c>
      <c r="L20" s="16">
        <f t="shared" ref="L20:L32" si="1">90000*5</f>
        <v>450000</v>
      </c>
      <c r="M20" s="16">
        <v>150000</v>
      </c>
      <c r="N20" s="180">
        <f t="shared" ref="N20:N32" si="2">+SUM(J20:M20)*I20</f>
        <v>18000000</v>
      </c>
    </row>
    <row r="21" spans="1:14" x14ac:dyDescent="0.35">
      <c r="A21" s="191" t="str">
        <f>+'Summary Budget'!E9</f>
        <v>1.3. Cacao technical specialist</v>
      </c>
      <c r="B21" s="11">
        <v>4</v>
      </c>
      <c r="C21" s="15">
        <v>1000000</v>
      </c>
      <c r="D21" s="16">
        <v>400000</v>
      </c>
      <c r="E21" s="16">
        <f t="shared" si="0"/>
        <v>450000</v>
      </c>
      <c r="F21" s="16">
        <v>150000</v>
      </c>
      <c r="G21" s="16">
        <f t="shared" ref="G21:G32" si="3">+SUM(C21:F21)*B21</f>
        <v>8000000</v>
      </c>
      <c r="I21" s="11">
        <v>9</v>
      </c>
      <c r="J21" s="15">
        <v>1000000</v>
      </c>
      <c r="K21" s="16">
        <v>400000</v>
      </c>
      <c r="L21" s="16">
        <f t="shared" si="1"/>
        <v>450000</v>
      </c>
      <c r="M21" s="16">
        <v>150000</v>
      </c>
      <c r="N21" s="180">
        <f t="shared" si="2"/>
        <v>18000000</v>
      </c>
    </row>
    <row r="22" spans="1:14" x14ac:dyDescent="0.35">
      <c r="A22" s="191" t="str">
        <f>+'Summary Budget'!E10</f>
        <v>1.4. Organizational Professional</v>
      </c>
      <c r="B22" s="11">
        <v>3</v>
      </c>
      <c r="C22" s="15">
        <v>1000000</v>
      </c>
      <c r="D22" s="16">
        <v>400000</v>
      </c>
      <c r="E22" s="16">
        <f t="shared" si="0"/>
        <v>450000</v>
      </c>
      <c r="F22" s="16">
        <v>150000</v>
      </c>
      <c r="G22" s="16">
        <f t="shared" si="3"/>
        <v>6000000</v>
      </c>
      <c r="I22" s="11">
        <v>9</v>
      </c>
      <c r="J22" s="15">
        <v>1000000</v>
      </c>
      <c r="K22" s="16">
        <v>400000</v>
      </c>
      <c r="L22" s="16">
        <f t="shared" si="1"/>
        <v>450000</v>
      </c>
      <c r="M22" s="16">
        <v>150000</v>
      </c>
      <c r="N22" s="180">
        <f t="shared" si="2"/>
        <v>18000000</v>
      </c>
    </row>
    <row r="23" spans="1:14" x14ac:dyDescent="0.35">
      <c r="A23" s="191" t="str">
        <f>+'Summary Budget'!E11</f>
        <v>1.5. F&amp;A Specialist</v>
      </c>
      <c r="B23" s="11">
        <v>3</v>
      </c>
      <c r="C23" s="15">
        <v>1000000</v>
      </c>
      <c r="D23" s="16">
        <v>400000</v>
      </c>
      <c r="E23" s="16">
        <f t="shared" si="0"/>
        <v>450000</v>
      </c>
      <c r="F23" s="16">
        <v>150000</v>
      </c>
      <c r="G23" s="16">
        <f t="shared" si="3"/>
        <v>6000000</v>
      </c>
      <c r="I23" s="11">
        <v>6</v>
      </c>
      <c r="J23" s="15">
        <v>1000000</v>
      </c>
      <c r="K23" s="16">
        <v>400000</v>
      </c>
      <c r="L23" s="16">
        <f t="shared" si="1"/>
        <v>450000</v>
      </c>
      <c r="M23" s="16">
        <v>150000</v>
      </c>
      <c r="N23" s="180">
        <f t="shared" si="2"/>
        <v>12000000</v>
      </c>
    </row>
    <row r="24" spans="1:14" ht="29" x14ac:dyDescent="0.35">
      <c r="A24" s="191" t="str">
        <f>+'Summary Budget'!E12</f>
        <v>1.6. Business Partner Professional Antioquia, Córdoba 1</v>
      </c>
      <c r="B24" s="11">
        <v>3</v>
      </c>
      <c r="C24" s="15">
        <v>0</v>
      </c>
      <c r="D24" s="16">
        <v>400000</v>
      </c>
      <c r="E24" s="16">
        <f t="shared" si="0"/>
        <v>450000</v>
      </c>
      <c r="F24" s="16">
        <v>300000</v>
      </c>
      <c r="G24" s="16">
        <f t="shared" si="3"/>
        <v>3450000</v>
      </c>
      <c r="I24" s="11">
        <v>15</v>
      </c>
      <c r="J24" s="15">
        <v>0</v>
      </c>
      <c r="K24" s="16">
        <v>400000</v>
      </c>
      <c r="L24" s="16">
        <f t="shared" si="1"/>
        <v>450000</v>
      </c>
      <c r="M24" s="16">
        <v>300000</v>
      </c>
      <c r="N24" s="180">
        <f t="shared" si="2"/>
        <v>17250000</v>
      </c>
    </row>
    <row r="25" spans="1:14" ht="29" x14ac:dyDescent="0.35">
      <c r="A25" s="191" t="str">
        <f>+'Summary Budget'!E13</f>
        <v>1.7. Business Partner Professional Antioquia, Córdoba 2</v>
      </c>
      <c r="B25" s="11">
        <v>3</v>
      </c>
      <c r="C25" s="15">
        <v>0</v>
      </c>
      <c r="D25" s="16">
        <v>400000</v>
      </c>
      <c r="E25" s="16">
        <f t="shared" si="0"/>
        <v>450000</v>
      </c>
      <c r="F25" s="16">
        <v>300000</v>
      </c>
      <c r="G25" s="16">
        <f t="shared" si="3"/>
        <v>3450000</v>
      </c>
      <c r="I25" s="11">
        <v>15</v>
      </c>
      <c r="J25" s="15">
        <v>0</v>
      </c>
      <c r="K25" s="16">
        <v>400000</v>
      </c>
      <c r="L25" s="16">
        <f t="shared" si="1"/>
        <v>450000</v>
      </c>
      <c r="M25" s="16">
        <v>300000</v>
      </c>
      <c r="N25" s="180">
        <f t="shared" si="2"/>
        <v>17250000</v>
      </c>
    </row>
    <row r="26" spans="1:14" x14ac:dyDescent="0.35">
      <c r="A26" s="191" t="str">
        <f>+'Summary Budget'!E14</f>
        <v>1.8. Business Partner Professional Caldas</v>
      </c>
      <c r="B26" s="11">
        <v>3</v>
      </c>
      <c r="C26" s="15">
        <v>0</v>
      </c>
      <c r="D26" s="16">
        <v>400000</v>
      </c>
      <c r="E26" s="16">
        <f t="shared" si="0"/>
        <v>450000</v>
      </c>
      <c r="F26" s="16">
        <v>300000</v>
      </c>
      <c r="G26" s="16">
        <f t="shared" si="3"/>
        <v>3450000</v>
      </c>
      <c r="I26" s="11">
        <v>15</v>
      </c>
      <c r="J26" s="15">
        <v>0</v>
      </c>
      <c r="K26" s="16">
        <v>400000</v>
      </c>
      <c r="L26" s="16">
        <f t="shared" si="1"/>
        <v>450000</v>
      </c>
      <c r="M26" s="16">
        <v>300000</v>
      </c>
      <c r="N26" s="180">
        <f t="shared" si="2"/>
        <v>17250000</v>
      </c>
    </row>
    <row r="27" spans="1:14" ht="29" x14ac:dyDescent="0.35">
      <c r="A27" s="191" t="str">
        <f>+'Summary Budget'!E15</f>
        <v>1.9. Business Partner Professional Guajira, Cesar, Magdalena</v>
      </c>
      <c r="B27" s="11">
        <v>3</v>
      </c>
      <c r="C27" s="15">
        <v>0</v>
      </c>
      <c r="D27" s="16">
        <v>400000</v>
      </c>
      <c r="E27" s="16">
        <f t="shared" si="0"/>
        <v>450000</v>
      </c>
      <c r="F27" s="16">
        <v>300000</v>
      </c>
      <c r="G27" s="16">
        <f t="shared" si="3"/>
        <v>3450000</v>
      </c>
      <c r="I27" s="11">
        <v>15</v>
      </c>
      <c r="J27" s="15">
        <v>0</v>
      </c>
      <c r="K27" s="16">
        <v>400000</v>
      </c>
      <c r="L27" s="16">
        <f t="shared" si="1"/>
        <v>450000</v>
      </c>
      <c r="M27" s="16">
        <v>300000</v>
      </c>
      <c r="N27" s="180">
        <f t="shared" si="2"/>
        <v>17250000</v>
      </c>
    </row>
    <row r="28" spans="1:14" x14ac:dyDescent="0.35">
      <c r="A28" s="191" t="str">
        <f>+'Summary Budget'!E16</f>
        <v>1.10. Business Partner Professional Huila</v>
      </c>
      <c r="B28" s="11">
        <v>3</v>
      </c>
      <c r="C28" s="15">
        <v>0</v>
      </c>
      <c r="D28" s="16">
        <v>400000</v>
      </c>
      <c r="E28" s="16">
        <f t="shared" si="0"/>
        <v>450000</v>
      </c>
      <c r="F28" s="16">
        <v>300000</v>
      </c>
      <c r="G28" s="16">
        <f t="shared" si="3"/>
        <v>3450000</v>
      </c>
      <c r="I28" s="11">
        <v>15</v>
      </c>
      <c r="J28" s="15">
        <v>0</v>
      </c>
      <c r="K28" s="16">
        <v>400000</v>
      </c>
      <c r="L28" s="16">
        <f t="shared" si="1"/>
        <v>450000</v>
      </c>
      <c r="M28" s="16">
        <v>300000</v>
      </c>
      <c r="N28" s="180">
        <f t="shared" si="2"/>
        <v>17250000</v>
      </c>
    </row>
    <row r="29" spans="1:14" ht="29" x14ac:dyDescent="0.35">
      <c r="A29" s="220" t="str">
        <f>+'Summary Budget'!E17</f>
        <v>1.11. Business Partner Professional Santander and Bolivar</v>
      </c>
      <c r="B29" s="11">
        <v>3</v>
      </c>
      <c r="C29" s="23">
        <v>0</v>
      </c>
      <c r="D29" s="24">
        <v>400000</v>
      </c>
      <c r="E29" s="16">
        <f t="shared" si="0"/>
        <v>450000</v>
      </c>
      <c r="F29" s="24">
        <v>300000</v>
      </c>
      <c r="G29" s="24">
        <f t="shared" si="3"/>
        <v>3450000</v>
      </c>
      <c r="I29" s="11">
        <v>15</v>
      </c>
      <c r="J29" s="23">
        <v>0</v>
      </c>
      <c r="K29" s="24">
        <v>400000</v>
      </c>
      <c r="L29" s="16">
        <f t="shared" si="1"/>
        <v>450000</v>
      </c>
      <c r="M29" s="24">
        <v>300000</v>
      </c>
      <c r="N29" s="181">
        <f t="shared" si="2"/>
        <v>17250000</v>
      </c>
    </row>
    <row r="30" spans="1:14" x14ac:dyDescent="0.35">
      <c r="A30" s="191" t="str">
        <f>+'Summary Budget'!E18</f>
        <v>1.12. Business Partner Professional Cauca</v>
      </c>
      <c r="B30" s="11">
        <v>3</v>
      </c>
      <c r="C30" s="15">
        <v>0</v>
      </c>
      <c r="D30" s="16">
        <v>400000</v>
      </c>
      <c r="E30" s="16">
        <f t="shared" si="0"/>
        <v>450000</v>
      </c>
      <c r="F30" s="16">
        <v>300000</v>
      </c>
      <c r="G30" s="16">
        <f t="shared" si="3"/>
        <v>3450000</v>
      </c>
      <c r="I30" s="11">
        <v>15</v>
      </c>
      <c r="J30" s="15">
        <v>0</v>
      </c>
      <c r="K30" s="16">
        <v>400000</v>
      </c>
      <c r="L30" s="16">
        <f t="shared" si="1"/>
        <v>450000</v>
      </c>
      <c r="M30" s="16">
        <v>300000</v>
      </c>
      <c r="N30" s="180">
        <f t="shared" si="2"/>
        <v>17250000</v>
      </c>
    </row>
    <row r="31" spans="1:14" ht="29" x14ac:dyDescent="0.35">
      <c r="A31" s="191" t="str">
        <f>+'Summary Budget'!E19</f>
        <v>1.13. Business Partner Professional Tolima 1</v>
      </c>
      <c r="B31" s="11">
        <v>3</v>
      </c>
      <c r="C31" s="15">
        <v>0</v>
      </c>
      <c r="D31" s="16">
        <v>400000</v>
      </c>
      <c r="E31" s="16">
        <f t="shared" si="0"/>
        <v>450000</v>
      </c>
      <c r="F31" s="16">
        <v>300000</v>
      </c>
      <c r="G31" s="16">
        <f t="shared" si="3"/>
        <v>3450000</v>
      </c>
      <c r="I31" s="11">
        <v>15</v>
      </c>
      <c r="J31" s="15">
        <v>0</v>
      </c>
      <c r="K31" s="16">
        <v>400000</v>
      </c>
      <c r="L31" s="16">
        <f t="shared" si="1"/>
        <v>450000</v>
      </c>
      <c r="M31" s="16">
        <v>300000</v>
      </c>
      <c r="N31" s="180">
        <f t="shared" si="2"/>
        <v>17250000</v>
      </c>
    </row>
    <row r="32" spans="1:14" ht="29" x14ac:dyDescent="0.35">
      <c r="A32" s="191" t="str">
        <f>+'Summary Budget'!E20</f>
        <v>1.14. Business Partner Professional Tolima 2</v>
      </c>
      <c r="B32" s="11">
        <v>3</v>
      </c>
      <c r="C32" s="15">
        <v>0</v>
      </c>
      <c r="D32" s="16">
        <v>400000</v>
      </c>
      <c r="E32" s="16">
        <f t="shared" si="0"/>
        <v>450000</v>
      </c>
      <c r="F32" s="16">
        <v>300000</v>
      </c>
      <c r="G32" s="16">
        <f t="shared" si="3"/>
        <v>3450000</v>
      </c>
      <c r="I32" s="11">
        <v>15</v>
      </c>
      <c r="J32" s="15">
        <v>0</v>
      </c>
      <c r="K32" s="16">
        <v>400000</v>
      </c>
      <c r="L32" s="16">
        <f t="shared" si="1"/>
        <v>450000</v>
      </c>
      <c r="M32" s="16">
        <v>300000</v>
      </c>
      <c r="N32" s="180">
        <f t="shared" si="2"/>
        <v>17250000</v>
      </c>
    </row>
    <row r="33" spans="1:14" x14ac:dyDescent="0.35">
      <c r="A33" s="219"/>
      <c r="C33" s="182"/>
      <c r="D33" s="182"/>
      <c r="E33" s="182"/>
      <c r="F33" s="182"/>
      <c r="G33" s="17">
        <f>+SUM(G19:G32)</f>
        <v>61050000</v>
      </c>
      <c r="N33" s="183">
        <f>+SUM(N19:N32)</f>
        <v>227250000</v>
      </c>
    </row>
    <row r="34" spans="1:14" x14ac:dyDescent="0.35">
      <c r="A34" s="219"/>
      <c r="B34" s="9" t="s">
        <v>216</v>
      </c>
      <c r="C34" s="9"/>
      <c r="D34" s="9"/>
      <c r="N34" s="184"/>
    </row>
    <row r="35" spans="1:14" x14ac:dyDescent="0.35">
      <c r="A35" s="191" t="s">
        <v>225</v>
      </c>
      <c r="B35" s="11">
        <f>+SUM(B19:B23)</f>
        <v>15</v>
      </c>
      <c r="C35" s="18">
        <f>+C22</f>
        <v>1000000</v>
      </c>
      <c r="D35" s="19">
        <f>+B35*C35</f>
        <v>15000000</v>
      </c>
      <c r="N35" s="184"/>
    </row>
    <row r="36" spans="1:14" x14ac:dyDescent="0.35">
      <c r="A36" s="191" t="s">
        <v>226</v>
      </c>
      <c r="B36" s="11">
        <f>+SUM(B19:B23)+(SUM(B24:B32)*2)</f>
        <v>69</v>
      </c>
      <c r="C36" s="20">
        <v>150000</v>
      </c>
      <c r="D36" s="19">
        <f t="shared" ref="D36:D38" si="4">+B36*C36</f>
        <v>10350000</v>
      </c>
      <c r="N36" s="184"/>
    </row>
    <row r="37" spans="1:14" x14ac:dyDescent="0.35">
      <c r="A37" s="191" t="s">
        <v>227</v>
      </c>
      <c r="B37" s="11">
        <f>+SUM(B19:B32)*4</f>
        <v>168</v>
      </c>
      <c r="C37" s="20">
        <v>100000</v>
      </c>
      <c r="D37" s="19">
        <f t="shared" si="4"/>
        <v>16800000</v>
      </c>
      <c r="N37" s="184"/>
    </row>
    <row r="38" spans="1:14" x14ac:dyDescent="0.35">
      <c r="A38" s="191" t="s">
        <v>228</v>
      </c>
      <c r="B38" s="11">
        <f>+SUM(B19:B32)*5</f>
        <v>210</v>
      </c>
      <c r="C38" s="20">
        <v>90000</v>
      </c>
      <c r="D38" s="19">
        <f t="shared" si="4"/>
        <v>18900000</v>
      </c>
      <c r="E38" s="17">
        <f>+SUM(D35:D38)</f>
        <v>61050000</v>
      </c>
      <c r="N38" s="184"/>
    </row>
    <row r="39" spans="1:14" x14ac:dyDescent="0.35">
      <c r="A39" s="219"/>
      <c r="N39" s="184"/>
    </row>
    <row r="40" spans="1:14" x14ac:dyDescent="0.35">
      <c r="A40" s="191"/>
      <c r="B40" s="9" t="s">
        <v>229</v>
      </c>
      <c r="C40" s="9" t="s">
        <v>230</v>
      </c>
      <c r="D40" s="9" t="s">
        <v>231</v>
      </c>
      <c r="E40" s="9" t="s">
        <v>224</v>
      </c>
      <c r="N40" s="184"/>
    </row>
    <row r="41" spans="1:14" ht="29" x14ac:dyDescent="0.35">
      <c r="A41" s="191" t="s">
        <v>232</v>
      </c>
      <c r="B41" s="11">
        <f>+B14</f>
        <v>74</v>
      </c>
      <c r="C41" s="11">
        <v>10</v>
      </c>
      <c r="D41" s="19">
        <f>20000+14000+5000</f>
        <v>39000</v>
      </c>
      <c r="E41" s="21">
        <f>+D41*C41*B41</f>
        <v>28860000</v>
      </c>
      <c r="N41" s="184"/>
    </row>
    <row r="42" spans="1:14" ht="29" x14ac:dyDescent="0.35">
      <c r="A42" s="215" t="s">
        <v>233</v>
      </c>
      <c r="B42" s="12">
        <f>+B41</f>
        <v>74</v>
      </c>
      <c r="C42" s="12">
        <f>+C41</f>
        <v>10</v>
      </c>
      <c r="D42" s="223">
        <v>3500</v>
      </c>
      <c r="E42" s="224">
        <f>+D42*C42*B42</f>
        <v>2590000</v>
      </c>
      <c r="N42" s="225"/>
    </row>
    <row r="43" spans="1:14" ht="29" x14ac:dyDescent="0.35">
      <c r="A43" s="191" t="s">
        <v>234</v>
      </c>
      <c r="B43" s="11">
        <f>74*3</f>
        <v>222</v>
      </c>
      <c r="C43" s="11">
        <v>8</v>
      </c>
      <c r="D43" s="19">
        <f>20000+14000+5000</f>
        <v>39000</v>
      </c>
      <c r="E43" s="21">
        <f>+D43*C43*B43</f>
        <v>69264000</v>
      </c>
      <c r="N43" s="184"/>
    </row>
    <row r="44" spans="1:14" ht="29" x14ac:dyDescent="0.35">
      <c r="A44" s="215" t="s">
        <v>235</v>
      </c>
      <c r="B44" s="12">
        <f>74*3</f>
        <v>222</v>
      </c>
      <c r="C44" s="12">
        <f>+C43</f>
        <v>8</v>
      </c>
      <c r="D44" s="223">
        <v>3500</v>
      </c>
      <c r="E44" s="224">
        <f>+D44*C44*B44</f>
        <v>6216000</v>
      </c>
      <c r="N44" s="225"/>
    </row>
    <row r="45" spans="1:14" x14ac:dyDescent="0.35">
      <c r="A45" s="219"/>
      <c r="N45" s="184"/>
    </row>
    <row r="46" spans="1:14" x14ac:dyDescent="0.35">
      <c r="A46" s="219"/>
      <c r="B46" s="9" t="s">
        <v>236</v>
      </c>
      <c r="C46" s="9"/>
      <c r="D46" s="9"/>
      <c r="N46" s="184"/>
    </row>
    <row r="47" spans="1:14" x14ac:dyDescent="0.35">
      <c r="A47" s="191" t="s">
        <v>225</v>
      </c>
      <c r="B47" s="11">
        <f>+SUM(I19:I23)</f>
        <v>36</v>
      </c>
      <c r="C47" s="18">
        <v>1000000</v>
      </c>
      <c r="D47" s="19">
        <f>+B47*C47</f>
        <v>36000000</v>
      </c>
      <c r="N47" s="184"/>
    </row>
    <row r="48" spans="1:14" x14ac:dyDescent="0.35">
      <c r="A48" s="191" t="s">
        <v>226</v>
      </c>
      <c r="B48" s="11">
        <f>+SUM(I19:I23)+(SUM(I24:I32)*2)</f>
        <v>306</v>
      </c>
      <c r="C48" s="20">
        <v>150000</v>
      </c>
      <c r="D48" s="19">
        <f t="shared" ref="D48:D50" si="5">+B48*C48</f>
        <v>45900000</v>
      </c>
      <c r="N48" s="184"/>
    </row>
    <row r="49" spans="1:14" x14ac:dyDescent="0.35">
      <c r="A49" s="191" t="s">
        <v>227</v>
      </c>
      <c r="B49" s="11">
        <f>+SUM(I19:I32)*4</f>
        <v>684</v>
      </c>
      <c r="C49" s="20">
        <v>100000</v>
      </c>
      <c r="D49" s="19">
        <f t="shared" si="5"/>
        <v>68400000</v>
      </c>
      <c r="N49" s="184"/>
    </row>
    <row r="50" spans="1:14" ht="19" thickBot="1" x14ac:dyDescent="0.5">
      <c r="A50" s="222" t="s">
        <v>228</v>
      </c>
      <c r="B50" s="185">
        <f>+SUM(I19:I32)*5</f>
        <v>855</v>
      </c>
      <c r="C50" s="186">
        <v>90000</v>
      </c>
      <c r="D50" s="187">
        <f t="shared" si="5"/>
        <v>76950000</v>
      </c>
      <c r="E50" s="188">
        <f>+SUM(D47:D50)</f>
        <v>227250000</v>
      </c>
      <c r="F50" s="189"/>
      <c r="G50" s="209">
        <f>+E50+E38</f>
        <v>288300000</v>
      </c>
      <c r="H50" s="189"/>
      <c r="I50" s="189"/>
      <c r="J50" s="189"/>
      <c r="K50" s="189"/>
      <c r="L50" s="189"/>
      <c r="M50" s="189"/>
      <c r="N50" s="190"/>
    </row>
    <row r="53" spans="1:14" x14ac:dyDescent="0.35">
      <c r="A53" s="275" t="s">
        <v>237</v>
      </c>
      <c r="B53" s="276"/>
      <c r="C53" s="276"/>
      <c r="D53" s="276"/>
      <c r="E53" s="276"/>
      <c r="F53" s="276"/>
      <c r="G53" s="276"/>
      <c r="H53" s="276"/>
      <c r="I53" s="276"/>
      <c r="J53" s="276"/>
      <c r="K53" s="276"/>
      <c r="L53" s="276"/>
      <c r="M53" s="276"/>
      <c r="N53" s="277"/>
    </row>
    <row r="54" spans="1:14" x14ac:dyDescent="0.35">
      <c r="A54" s="230"/>
      <c r="B54" s="265" t="s">
        <v>216</v>
      </c>
      <c r="C54" s="266"/>
      <c r="D54" s="266"/>
      <c r="E54" s="266"/>
      <c r="F54" s="266"/>
      <c r="G54" s="278"/>
      <c r="I54" s="265" t="s">
        <v>217</v>
      </c>
      <c r="J54" s="266"/>
      <c r="K54" s="266"/>
      <c r="L54" s="266"/>
      <c r="M54" s="266"/>
      <c r="N54" s="267"/>
    </row>
    <row r="55" spans="1:14" ht="43.5" x14ac:dyDescent="0.35">
      <c r="A55" s="221" t="s">
        <v>218</v>
      </c>
      <c r="B55" s="14" t="s">
        <v>219</v>
      </c>
      <c r="C55" s="14" t="s">
        <v>220</v>
      </c>
      <c r="D55" s="14" t="s">
        <v>221</v>
      </c>
      <c r="E55" s="14" t="s">
        <v>222</v>
      </c>
      <c r="F55" s="14" t="s">
        <v>223</v>
      </c>
      <c r="G55" s="14" t="s">
        <v>224</v>
      </c>
      <c r="I55" s="14" t="s">
        <v>219</v>
      </c>
      <c r="J55" s="14" t="s">
        <v>220</v>
      </c>
      <c r="K55" s="14" t="s">
        <v>221</v>
      </c>
      <c r="L55" s="14" t="s">
        <v>222</v>
      </c>
      <c r="M55" s="14" t="s">
        <v>223</v>
      </c>
      <c r="N55" s="179" t="s">
        <v>224</v>
      </c>
    </row>
    <row r="56" spans="1:14" x14ac:dyDescent="0.35">
      <c r="A56" s="215" t="s">
        <v>171</v>
      </c>
      <c r="B56" s="12">
        <v>1</v>
      </c>
      <c r="C56" s="212">
        <v>227</v>
      </c>
      <c r="D56" s="212">
        <v>91</v>
      </c>
      <c r="E56" s="212">
        <v>102</v>
      </c>
      <c r="F56" s="212">
        <v>34</v>
      </c>
      <c r="G56" s="212">
        <v>454</v>
      </c>
      <c r="H56" s="237"/>
      <c r="I56" s="12">
        <v>3</v>
      </c>
      <c r="J56" s="213">
        <v>227</v>
      </c>
      <c r="K56" s="213">
        <v>91</v>
      </c>
      <c r="L56" s="213">
        <v>102</v>
      </c>
      <c r="M56" s="213">
        <v>34</v>
      </c>
      <c r="N56" s="214">
        <v>1363</v>
      </c>
    </row>
    <row r="57" spans="1:14" x14ac:dyDescent="0.35">
      <c r="A57" s="215" t="s">
        <v>82</v>
      </c>
      <c r="B57" s="12">
        <v>4</v>
      </c>
      <c r="C57" s="212">
        <v>227</v>
      </c>
      <c r="D57" s="212">
        <v>91</v>
      </c>
      <c r="E57" s="212">
        <v>102</v>
      </c>
      <c r="F57" s="212">
        <v>34</v>
      </c>
      <c r="G57" s="212">
        <v>1817</v>
      </c>
      <c r="H57" s="237"/>
      <c r="I57" s="12">
        <v>9</v>
      </c>
      <c r="J57" s="213">
        <v>227</v>
      </c>
      <c r="K57" s="213">
        <v>91</v>
      </c>
      <c r="L57" s="213">
        <v>102</v>
      </c>
      <c r="M57" s="213">
        <v>34</v>
      </c>
      <c r="N57" s="214">
        <v>4089</v>
      </c>
    </row>
    <row r="58" spans="1:14" x14ac:dyDescent="0.35">
      <c r="A58" s="215" t="s">
        <v>86</v>
      </c>
      <c r="B58" s="12">
        <v>4</v>
      </c>
      <c r="C58" s="212">
        <v>227</v>
      </c>
      <c r="D58" s="212">
        <v>91</v>
      </c>
      <c r="E58" s="212">
        <v>102</v>
      </c>
      <c r="F58" s="212">
        <v>34</v>
      </c>
      <c r="G58" s="212">
        <v>1817</v>
      </c>
      <c r="H58" s="237"/>
      <c r="I58" s="12">
        <v>9</v>
      </c>
      <c r="J58" s="213">
        <v>227</v>
      </c>
      <c r="K58" s="213">
        <v>91</v>
      </c>
      <c r="L58" s="213">
        <v>102</v>
      </c>
      <c r="M58" s="213">
        <v>34</v>
      </c>
      <c r="N58" s="214">
        <v>4089</v>
      </c>
    </row>
    <row r="59" spans="1:14" x14ac:dyDescent="0.35">
      <c r="A59" s="215" t="s">
        <v>90</v>
      </c>
      <c r="B59" s="12">
        <v>3</v>
      </c>
      <c r="C59" s="212">
        <v>227</v>
      </c>
      <c r="D59" s="212">
        <v>91</v>
      </c>
      <c r="E59" s="212">
        <v>102</v>
      </c>
      <c r="F59" s="212">
        <v>34</v>
      </c>
      <c r="G59" s="212">
        <v>1363</v>
      </c>
      <c r="H59" s="237"/>
      <c r="I59" s="12">
        <v>9</v>
      </c>
      <c r="J59" s="213">
        <v>227</v>
      </c>
      <c r="K59" s="213">
        <v>91</v>
      </c>
      <c r="L59" s="213">
        <v>102</v>
      </c>
      <c r="M59" s="213">
        <v>34</v>
      </c>
      <c r="N59" s="214">
        <v>4089</v>
      </c>
    </row>
    <row r="60" spans="1:14" x14ac:dyDescent="0.35">
      <c r="A60" s="215" t="s">
        <v>94</v>
      </c>
      <c r="B60" s="12">
        <v>3</v>
      </c>
      <c r="C60" s="212">
        <v>227</v>
      </c>
      <c r="D60" s="212">
        <v>91</v>
      </c>
      <c r="E60" s="212">
        <v>102</v>
      </c>
      <c r="F60" s="212">
        <v>34</v>
      </c>
      <c r="G60" s="212">
        <v>1363</v>
      </c>
      <c r="H60" s="237"/>
      <c r="I60" s="12">
        <v>6</v>
      </c>
      <c r="J60" s="213">
        <v>227</v>
      </c>
      <c r="K60" s="213">
        <v>91</v>
      </c>
      <c r="L60" s="213">
        <v>102</v>
      </c>
      <c r="M60" s="213">
        <v>34</v>
      </c>
      <c r="N60" s="214">
        <v>2726</v>
      </c>
    </row>
    <row r="61" spans="1:14" x14ac:dyDescent="0.35">
      <c r="A61" s="215" t="s">
        <v>97</v>
      </c>
      <c r="B61" s="12">
        <v>3</v>
      </c>
      <c r="C61" s="212">
        <v>0</v>
      </c>
      <c r="D61" s="212">
        <v>91</v>
      </c>
      <c r="E61" s="212">
        <v>102</v>
      </c>
      <c r="F61" s="212">
        <v>68</v>
      </c>
      <c r="G61" s="212">
        <v>784</v>
      </c>
      <c r="H61" s="237"/>
      <c r="I61" s="12">
        <v>15</v>
      </c>
      <c r="J61" s="213">
        <v>0</v>
      </c>
      <c r="K61" s="213">
        <v>91</v>
      </c>
      <c r="L61" s="213">
        <v>102</v>
      </c>
      <c r="M61" s="213">
        <v>68</v>
      </c>
      <c r="N61" s="214">
        <v>3919</v>
      </c>
    </row>
    <row r="62" spans="1:14" ht="43.5" x14ac:dyDescent="0.35">
      <c r="A62" s="215" t="s">
        <v>238</v>
      </c>
      <c r="B62" s="12">
        <v>3</v>
      </c>
      <c r="C62" s="212">
        <v>0</v>
      </c>
      <c r="D62" s="212">
        <v>91</v>
      </c>
      <c r="E62" s="212">
        <v>102</v>
      </c>
      <c r="F62" s="212">
        <v>68</v>
      </c>
      <c r="G62" s="212">
        <v>784</v>
      </c>
      <c r="H62" s="237"/>
      <c r="I62" s="12">
        <v>15</v>
      </c>
      <c r="J62" s="213">
        <v>0</v>
      </c>
      <c r="K62" s="213">
        <v>91</v>
      </c>
      <c r="L62" s="213">
        <v>102</v>
      </c>
      <c r="M62" s="213">
        <v>68</v>
      </c>
      <c r="N62" s="214">
        <v>3919</v>
      </c>
    </row>
    <row r="63" spans="1:14" x14ac:dyDescent="0.35">
      <c r="A63" s="215" t="s">
        <v>103</v>
      </c>
      <c r="B63" s="12">
        <v>3</v>
      </c>
      <c r="C63" s="212">
        <v>0</v>
      </c>
      <c r="D63" s="212">
        <v>91</v>
      </c>
      <c r="E63" s="212">
        <v>102</v>
      </c>
      <c r="F63" s="212">
        <v>68</v>
      </c>
      <c r="G63" s="212">
        <v>784</v>
      </c>
      <c r="H63" s="237"/>
      <c r="I63" s="12">
        <v>15</v>
      </c>
      <c r="J63" s="213">
        <v>0</v>
      </c>
      <c r="K63" s="213">
        <v>91</v>
      </c>
      <c r="L63" s="213">
        <v>102</v>
      </c>
      <c r="M63" s="213">
        <v>68</v>
      </c>
      <c r="N63" s="214">
        <v>3919</v>
      </c>
    </row>
    <row r="64" spans="1:14" ht="43.5" x14ac:dyDescent="0.35">
      <c r="A64" s="215" t="s">
        <v>107</v>
      </c>
      <c r="B64" s="12">
        <v>3</v>
      </c>
      <c r="C64" s="212">
        <v>0</v>
      </c>
      <c r="D64" s="212">
        <v>91</v>
      </c>
      <c r="E64" s="212">
        <v>102</v>
      </c>
      <c r="F64" s="212">
        <v>68</v>
      </c>
      <c r="G64" s="212">
        <v>784</v>
      </c>
      <c r="H64" s="237"/>
      <c r="I64" s="12">
        <v>15</v>
      </c>
      <c r="J64" s="213">
        <v>0</v>
      </c>
      <c r="K64" s="213">
        <v>91</v>
      </c>
      <c r="L64" s="213">
        <v>102</v>
      </c>
      <c r="M64" s="213">
        <v>68</v>
      </c>
      <c r="N64" s="214">
        <v>3919</v>
      </c>
    </row>
    <row r="65" spans="1:14" x14ac:dyDescent="0.35">
      <c r="A65" s="215" t="s">
        <v>172</v>
      </c>
      <c r="B65" s="12">
        <v>3</v>
      </c>
      <c r="C65" s="212">
        <v>0</v>
      </c>
      <c r="D65" s="212">
        <v>91</v>
      </c>
      <c r="E65" s="212">
        <v>102</v>
      </c>
      <c r="F65" s="212">
        <v>68</v>
      </c>
      <c r="G65" s="212">
        <v>784</v>
      </c>
      <c r="H65" s="237"/>
      <c r="I65" s="12">
        <v>15</v>
      </c>
      <c r="J65" s="213">
        <v>0</v>
      </c>
      <c r="K65" s="213">
        <v>91</v>
      </c>
      <c r="L65" s="213">
        <v>102</v>
      </c>
      <c r="M65" s="213">
        <v>68</v>
      </c>
      <c r="N65" s="214">
        <v>3919</v>
      </c>
    </row>
    <row r="66" spans="1:14" ht="29" x14ac:dyDescent="0.35">
      <c r="A66" s="215" t="s">
        <v>239</v>
      </c>
      <c r="B66" s="12">
        <v>3</v>
      </c>
      <c r="C66" s="212">
        <v>0</v>
      </c>
      <c r="D66" s="212">
        <v>91</v>
      </c>
      <c r="E66" s="212">
        <v>102</v>
      </c>
      <c r="F66" s="212">
        <v>68</v>
      </c>
      <c r="G66" s="212">
        <v>784</v>
      </c>
      <c r="H66" s="237"/>
      <c r="I66" s="12">
        <v>15</v>
      </c>
      <c r="J66" s="213">
        <v>0</v>
      </c>
      <c r="K66" s="213">
        <v>91</v>
      </c>
      <c r="L66" s="213">
        <v>102</v>
      </c>
      <c r="M66" s="213">
        <v>68</v>
      </c>
      <c r="N66" s="214">
        <v>3919</v>
      </c>
    </row>
    <row r="67" spans="1:14" ht="29" x14ac:dyDescent="0.35">
      <c r="A67" s="215" t="s">
        <v>240</v>
      </c>
      <c r="B67" s="12">
        <v>3</v>
      </c>
      <c r="C67" s="212">
        <v>0</v>
      </c>
      <c r="D67" s="212">
        <v>91</v>
      </c>
      <c r="E67" s="212">
        <v>102</v>
      </c>
      <c r="F67" s="212">
        <v>68</v>
      </c>
      <c r="G67" s="212">
        <v>784</v>
      </c>
      <c r="H67" s="237"/>
      <c r="I67" s="12">
        <v>15</v>
      </c>
      <c r="J67" s="213">
        <v>0</v>
      </c>
      <c r="K67" s="213">
        <v>91</v>
      </c>
      <c r="L67" s="213">
        <v>102</v>
      </c>
      <c r="M67" s="213">
        <v>68</v>
      </c>
      <c r="N67" s="214">
        <v>3919</v>
      </c>
    </row>
    <row r="68" spans="1:14" ht="29" x14ac:dyDescent="0.35">
      <c r="A68" s="215" t="s">
        <v>241</v>
      </c>
      <c r="B68" s="12">
        <v>3</v>
      </c>
      <c r="C68" s="212">
        <v>0</v>
      </c>
      <c r="D68" s="212">
        <v>91</v>
      </c>
      <c r="E68" s="212">
        <v>102</v>
      </c>
      <c r="F68" s="212">
        <v>68</v>
      </c>
      <c r="G68" s="212">
        <v>784</v>
      </c>
      <c r="H68" s="237"/>
      <c r="I68" s="12">
        <v>15</v>
      </c>
      <c r="J68" s="213">
        <v>0</v>
      </c>
      <c r="K68" s="213">
        <v>91</v>
      </c>
      <c r="L68" s="213">
        <v>102</v>
      </c>
      <c r="M68" s="213">
        <v>68</v>
      </c>
      <c r="N68" s="214">
        <v>3919</v>
      </c>
    </row>
    <row r="69" spans="1:14" ht="43.5" x14ac:dyDescent="0.35">
      <c r="A69" s="215" t="s">
        <v>242</v>
      </c>
      <c r="B69" s="12">
        <v>3</v>
      </c>
      <c r="C69" s="212">
        <v>0</v>
      </c>
      <c r="D69" s="212">
        <v>91</v>
      </c>
      <c r="E69" s="212">
        <v>102</v>
      </c>
      <c r="F69" s="212">
        <v>68</v>
      </c>
      <c r="G69" s="212">
        <v>784</v>
      </c>
      <c r="H69" s="237"/>
      <c r="I69" s="12">
        <v>15</v>
      </c>
      <c r="J69" s="213">
        <v>0</v>
      </c>
      <c r="K69" s="213">
        <v>91</v>
      </c>
      <c r="L69" s="213">
        <v>102</v>
      </c>
      <c r="M69" s="213">
        <v>68</v>
      </c>
      <c r="N69" s="214">
        <v>3919</v>
      </c>
    </row>
    <row r="70" spans="1:14" x14ac:dyDescent="0.35">
      <c r="A70" s="219"/>
      <c r="C70" s="204"/>
      <c r="D70" s="205"/>
      <c r="E70" s="205"/>
      <c r="F70" s="205"/>
      <c r="G70" s="203">
        <v>13869</v>
      </c>
      <c r="N70" s="216">
        <v>51627</v>
      </c>
    </row>
    <row r="71" spans="1:14" x14ac:dyDescent="0.35">
      <c r="A71" s="219"/>
      <c r="B71" s="9" t="s">
        <v>216</v>
      </c>
      <c r="C71" s="9"/>
      <c r="D71" s="9"/>
      <c r="N71" s="184"/>
    </row>
    <row r="72" spans="1:14" x14ac:dyDescent="0.35">
      <c r="A72" s="191" t="s">
        <v>225</v>
      </c>
      <c r="B72" s="11">
        <v>15</v>
      </c>
      <c r="C72" s="192">
        <v>227</v>
      </c>
      <c r="D72" s="193">
        <v>3407.74</v>
      </c>
      <c r="E72" s="206"/>
      <c r="N72" s="184"/>
    </row>
    <row r="73" spans="1:14" x14ac:dyDescent="0.35">
      <c r="A73" s="191" t="s">
        <v>226</v>
      </c>
      <c r="B73" s="11">
        <v>69</v>
      </c>
      <c r="C73" s="192">
        <v>34</v>
      </c>
      <c r="D73" s="193">
        <v>2351.34</v>
      </c>
      <c r="E73" s="206"/>
      <c r="N73" s="184"/>
    </row>
    <row r="74" spans="1:14" x14ac:dyDescent="0.35">
      <c r="A74" s="191" t="s">
        <v>227</v>
      </c>
      <c r="B74" s="11">
        <v>168</v>
      </c>
      <c r="C74" s="192">
        <v>23</v>
      </c>
      <c r="D74" s="193">
        <v>3816.66</v>
      </c>
      <c r="E74" s="206"/>
      <c r="N74" s="184"/>
    </row>
    <row r="75" spans="1:14" x14ac:dyDescent="0.35">
      <c r="A75" s="191" t="s">
        <v>228</v>
      </c>
      <c r="B75" s="11">
        <v>210</v>
      </c>
      <c r="C75" s="192">
        <v>20</v>
      </c>
      <c r="D75" s="193">
        <v>4293.75</v>
      </c>
      <c r="E75" s="203">
        <v>13869.48</v>
      </c>
      <c r="N75" s="184"/>
    </row>
    <row r="76" spans="1:14" x14ac:dyDescent="0.35">
      <c r="A76" s="219"/>
      <c r="D76" s="10"/>
      <c r="E76" s="207"/>
      <c r="N76" s="184"/>
    </row>
    <row r="77" spans="1:14" x14ac:dyDescent="0.35">
      <c r="A77" s="219"/>
      <c r="B77" s="9" t="s">
        <v>229</v>
      </c>
      <c r="C77" s="9" t="s">
        <v>230</v>
      </c>
      <c r="D77" s="9" t="s">
        <v>231</v>
      </c>
      <c r="E77" s="9" t="s">
        <v>224</v>
      </c>
      <c r="N77" s="184"/>
    </row>
    <row r="78" spans="1:14" ht="29" x14ac:dyDescent="0.35">
      <c r="A78" s="215" t="s">
        <v>232</v>
      </c>
      <c r="B78" s="12">
        <v>0</v>
      </c>
      <c r="C78" s="12">
        <v>10</v>
      </c>
      <c r="D78" s="226">
        <v>8.86</v>
      </c>
      <c r="E78" s="227">
        <v>6556.48</v>
      </c>
      <c r="N78" s="225"/>
    </row>
    <row r="79" spans="1:14" ht="29" x14ac:dyDescent="0.35">
      <c r="A79" s="215" t="s">
        <v>233</v>
      </c>
      <c r="B79" s="12">
        <v>0</v>
      </c>
      <c r="C79" s="12">
        <v>10</v>
      </c>
      <c r="D79" s="226">
        <v>0.8</v>
      </c>
      <c r="E79" s="227">
        <v>588.4</v>
      </c>
      <c r="N79" s="225"/>
    </row>
    <row r="80" spans="1:14" ht="29" x14ac:dyDescent="0.35">
      <c r="A80" s="215" t="s">
        <v>234</v>
      </c>
      <c r="B80" s="12">
        <v>222</v>
      </c>
      <c r="C80" s="12">
        <v>8</v>
      </c>
      <c r="D80" s="226">
        <v>8.86</v>
      </c>
      <c r="E80" s="227">
        <v>15735.56</v>
      </c>
      <c r="N80" s="225"/>
    </row>
    <row r="81" spans="1:14" ht="29" x14ac:dyDescent="0.35">
      <c r="A81" s="215" t="s">
        <v>235</v>
      </c>
      <c r="B81" s="12">
        <v>222</v>
      </c>
      <c r="C81" s="12">
        <v>8</v>
      </c>
      <c r="D81" s="226">
        <v>0.8</v>
      </c>
      <c r="E81" s="227">
        <v>1412.17</v>
      </c>
      <c r="N81" s="225"/>
    </row>
    <row r="82" spans="1:14" x14ac:dyDescent="0.35">
      <c r="A82" s="228"/>
      <c r="B82" s="13"/>
      <c r="C82" s="13"/>
      <c r="E82" s="229"/>
      <c r="N82" s="225"/>
    </row>
    <row r="83" spans="1:14" x14ac:dyDescent="0.35">
      <c r="A83" s="219"/>
      <c r="B83" s="9" t="s">
        <v>217</v>
      </c>
      <c r="C83" s="9"/>
      <c r="D83" s="9"/>
      <c r="N83" s="184"/>
    </row>
    <row r="84" spans="1:14" x14ac:dyDescent="0.35">
      <c r="A84" s="191" t="s">
        <v>225</v>
      </c>
      <c r="B84" s="11">
        <v>36</v>
      </c>
      <c r="C84" s="195">
        <v>227.18</v>
      </c>
      <c r="D84" s="194">
        <v>8178.57</v>
      </c>
      <c r="N84" s="184"/>
    </row>
    <row r="85" spans="1:14" x14ac:dyDescent="0.35">
      <c r="A85" s="191" t="s">
        <v>226</v>
      </c>
      <c r="B85" s="11">
        <v>306</v>
      </c>
      <c r="C85" s="195">
        <v>34.08</v>
      </c>
      <c r="D85" s="194">
        <v>10427.67</v>
      </c>
      <c r="N85" s="184"/>
    </row>
    <row r="86" spans="1:14" x14ac:dyDescent="0.35">
      <c r="A86" s="191" t="s">
        <v>227</v>
      </c>
      <c r="B86" s="11">
        <v>684</v>
      </c>
      <c r="C86" s="195">
        <v>22.72</v>
      </c>
      <c r="D86" s="194">
        <v>15539.27</v>
      </c>
      <c r="N86" s="184"/>
    </row>
    <row r="87" spans="1:14" ht="19" thickBot="1" x14ac:dyDescent="0.5">
      <c r="A87" s="222" t="s">
        <v>228</v>
      </c>
      <c r="B87" s="185">
        <v>855</v>
      </c>
      <c r="C87" s="196">
        <v>20.45</v>
      </c>
      <c r="D87" s="197">
        <v>17481.68</v>
      </c>
      <c r="E87" s="208">
        <v>51627.19</v>
      </c>
      <c r="F87" s="189"/>
      <c r="G87" s="209">
        <v>65496.68</v>
      </c>
      <c r="H87" s="189"/>
      <c r="I87" s="189"/>
      <c r="J87" s="189"/>
      <c r="K87" s="189"/>
      <c r="L87" s="189"/>
      <c r="M87" s="189"/>
      <c r="N87" s="19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9"/>
  <sheetViews>
    <sheetView workbookViewId="0">
      <selection activeCell="C8" sqref="C8"/>
    </sheetView>
  </sheetViews>
  <sheetFormatPr defaultRowHeight="14.5" x14ac:dyDescent="0.35"/>
  <cols>
    <col min="1" max="1" width="2.7265625" bestFit="1" customWidth="1"/>
    <col min="2" max="2" width="7.7265625" bestFit="1" customWidth="1"/>
    <col min="3" max="3" width="77.81640625" customWidth="1"/>
    <col min="4" max="4" width="7.81640625" bestFit="1" customWidth="1"/>
  </cols>
  <sheetData>
    <row r="1" spans="1:4" ht="29" x14ac:dyDescent="0.35">
      <c r="A1" s="234" t="s">
        <v>243</v>
      </c>
      <c r="B1" s="234" t="s">
        <v>244</v>
      </c>
      <c r="C1" s="234" t="s">
        <v>245</v>
      </c>
      <c r="D1" s="234" t="s">
        <v>246</v>
      </c>
    </row>
    <row r="2" spans="1:4" ht="43.5" x14ac:dyDescent="0.35">
      <c r="A2" s="3">
        <v>1</v>
      </c>
      <c r="B2" s="3" t="s">
        <v>247</v>
      </c>
      <c r="C2" s="233" t="s">
        <v>248</v>
      </c>
      <c r="D2" s="235" t="s">
        <v>249</v>
      </c>
    </row>
    <row r="3" spans="1:4" ht="58" x14ac:dyDescent="0.35">
      <c r="A3" s="3">
        <v>2</v>
      </c>
      <c r="B3" s="236" t="s">
        <v>250</v>
      </c>
      <c r="C3" s="233" t="s">
        <v>251</v>
      </c>
      <c r="D3" s="235" t="s">
        <v>252</v>
      </c>
    </row>
    <row r="4" spans="1:4" ht="29" x14ac:dyDescent="0.35">
      <c r="A4" s="3">
        <v>3</v>
      </c>
      <c r="B4" s="3" t="s">
        <v>253</v>
      </c>
      <c r="C4" s="233" t="s">
        <v>254</v>
      </c>
      <c r="D4" s="235" t="s">
        <v>255</v>
      </c>
    </row>
    <row r="5" spans="1:4" ht="58" x14ac:dyDescent="0.35">
      <c r="A5" s="3">
        <v>4</v>
      </c>
      <c r="B5" s="3" t="s">
        <v>256</v>
      </c>
      <c r="C5" s="233" t="s">
        <v>257</v>
      </c>
      <c r="D5" s="235" t="s">
        <v>255</v>
      </c>
    </row>
    <row r="6" spans="1:4" ht="72.5" x14ac:dyDescent="0.35">
      <c r="A6" s="3">
        <v>5</v>
      </c>
      <c r="B6" s="3" t="s">
        <v>258</v>
      </c>
      <c r="C6" s="233" t="s">
        <v>259</v>
      </c>
      <c r="D6" s="235" t="s">
        <v>260</v>
      </c>
    </row>
    <row r="7" spans="1:4" x14ac:dyDescent="0.35">
      <c r="A7" s="3">
        <v>6</v>
      </c>
      <c r="B7" s="3" t="s">
        <v>261</v>
      </c>
      <c r="C7" s="233" t="s">
        <v>262</v>
      </c>
      <c r="D7" s="235" t="s">
        <v>260</v>
      </c>
    </row>
    <row r="8" spans="1:4" ht="58" x14ac:dyDescent="0.35">
      <c r="A8" s="3">
        <v>7</v>
      </c>
      <c r="B8" s="3"/>
      <c r="C8" s="233" t="s">
        <v>263</v>
      </c>
      <c r="D8" s="235" t="s">
        <v>264</v>
      </c>
    </row>
    <row r="9" spans="1:4" ht="87" x14ac:dyDescent="0.35">
      <c r="A9" s="3">
        <v>8</v>
      </c>
      <c r="B9" s="3" t="s">
        <v>265</v>
      </c>
      <c r="C9" s="233" t="s">
        <v>266</v>
      </c>
      <c r="D9" s="235" t="s">
        <v>264</v>
      </c>
    </row>
    <row r="10" spans="1:4" ht="29" x14ac:dyDescent="0.35">
      <c r="A10" s="3">
        <v>9</v>
      </c>
      <c r="B10" s="3"/>
      <c r="C10" s="233" t="s">
        <v>267</v>
      </c>
      <c r="D10" s="235" t="s">
        <v>264</v>
      </c>
    </row>
    <row r="11" spans="1:4" ht="101.5" x14ac:dyDescent="0.35">
      <c r="A11" s="3">
        <v>10</v>
      </c>
      <c r="B11" s="3"/>
      <c r="C11" s="233" t="s">
        <v>268</v>
      </c>
      <c r="D11" s="235" t="s">
        <v>264</v>
      </c>
    </row>
    <row r="12" spans="1:4" ht="43.5" x14ac:dyDescent="0.35">
      <c r="A12" s="3">
        <v>11</v>
      </c>
      <c r="B12" s="3" t="s">
        <v>269</v>
      </c>
      <c r="C12" s="233" t="s">
        <v>270</v>
      </c>
      <c r="D12" s="235" t="s">
        <v>271</v>
      </c>
    </row>
    <row r="13" spans="1:4" x14ac:dyDescent="0.35">
      <c r="A13" s="3">
        <v>12</v>
      </c>
      <c r="B13" s="3"/>
      <c r="C13" s="233" t="s">
        <v>272</v>
      </c>
      <c r="D13" s="235" t="s">
        <v>273</v>
      </c>
    </row>
    <row r="14" spans="1:4" ht="43.5" x14ac:dyDescent="0.35">
      <c r="A14" s="3">
        <v>13</v>
      </c>
      <c r="B14" s="3" t="s">
        <v>274</v>
      </c>
      <c r="C14" s="233" t="s">
        <v>275</v>
      </c>
      <c r="D14" s="235" t="s">
        <v>271</v>
      </c>
    </row>
    <row r="15" spans="1:4" ht="43.5" x14ac:dyDescent="0.35">
      <c r="A15" s="3">
        <v>14</v>
      </c>
      <c r="B15" s="279" t="s">
        <v>276</v>
      </c>
      <c r="C15" s="233" t="s">
        <v>277</v>
      </c>
      <c r="D15" s="235" t="s">
        <v>271</v>
      </c>
    </row>
    <row r="16" spans="1:4" x14ac:dyDescent="0.35">
      <c r="A16" s="3"/>
      <c r="B16" s="280"/>
      <c r="C16" s="233" t="s">
        <v>278</v>
      </c>
      <c r="D16" s="235"/>
    </row>
    <row r="17" spans="1:4" x14ac:dyDescent="0.35">
      <c r="A17" s="3"/>
      <c r="B17" s="280"/>
      <c r="C17" s="233" t="s">
        <v>279</v>
      </c>
      <c r="D17" s="235"/>
    </row>
    <row r="18" spans="1:4" x14ac:dyDescent="0.35">
      <c r="A18" s="3"/>
      <c r="B18" s="280"/>
      <c r="C18" s="233" t="s">
        <v>278</v>
      </c>
      <c r="D18" s="235"/>
    </row>
    <row r="19" spans="1:4" ht="29" x14ac:dyDescent="0.35">
      <c r="A19" s="3"/>
      <c r="B19" s="281"/>
      <c r="C19" s="233" t="s">
        <v>280</v>
      </c>
      <c r="D19" s="23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9" ma:contentTypeDescription="Create a new document." ma:contentTypeScope="" ma:versionID="a5577d833b9f28dcc6be37a04859b9a8">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ae50cb7862d574a2d96b6910b4abdc85"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F2EAEC-2353-49B3-95E4-566A612C72FA}">
  <ds:schemaRefs>
    <ds:schemaRef ds:uri="http://schemas.microsoft.com/office/2006/metadata/properties"/>
    <ds:schemaRef ds:uri="http://schemas.microsoft.com/office/infopath/2007/PartnerControls"/>
    <ds:schemaRef ds:uri="dc808d36-874f-4b27-aec2-2fd649817929"/>
    <ds:schemaRef ds:uri="f2466082-b6bf-4153-98c3-3c41e85fda18"/>
  </ds:schemaRefs>
</ds:datastoreItem>
</file>

<file path=customXml/itemProps2.xml><?xml version="1.0" encoding="utf-8"?>
<ds:datastoreItem xmlns:ds="http://schemas.openxmlformats.org/officeDocument/2006/customXml" ds:itemID="{5920F190-1BEA-4FC6-AA70-28DAF6EB59FC}">
  <ds:schemaRefs>
    <ds:schemaRef ds:uri="http://schemas.microsoft.com/sharepoint/v3/contenttype/forms"/>
  </ds:schemaRefs>
</ds:datastoreItem>
</file>

<file path=customXml/itemProps3.xml><?xml version="1.0" encoding="utf-8"?>
<ds:datastoreItem xmlns:ds="http://schemas.openxmlformats.org/officeDocument/2006/customXml" ds:itemID="{0202E4A5-78DB-49C6-A81F-AE1EFA9983A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 Budget</vt:lpstr>
      <vt:lpstr>NM</vt:lpstr>
      <vt:lpstr>Detailed Budget</vt:lpstr>
      <vt:lpstr>Travels</vt:lpstr>
      <vt:lpstr>Deliverables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Gloria Ortiz</dc:creator>
  <cp:keywords/>
  <dc:description/>
  <cp:lastModifiedBy>Arlette G. Gutierrez</cp:lastModifiedBy>
  <cp:revision/>
  <dcterms:created xsi:type="dcterms:W3CDTF">2021-10-27T16:04:30Z</dcterms:created>
  <dcterms:modified xsi:type="dcterms:W3CDTF">2024-08-12T17:36:36Z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